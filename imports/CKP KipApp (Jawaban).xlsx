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00C70C-06C6-443A-8FF0-9BAF043134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  <sheet name="Monitoring" sheetId="2" r:id="rId2"/>
    <sheet name="Document Studio Logs" sheetId="3" state="hidden" r:id="rId3"/>
  </sheets>
  <definedNames>
    <definedName name="_xlnm._FilterDatabase" localSheetId="0" hidden="1">'Form Responses 1'!$A$1:$K$1791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40" i="2" l="1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35" i="1"/>
  <c r="F1234" i="1"/>
  <c r="F1233" i="1"/>
  <c r="F1232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Move Files for {{Upload File Lapkin}} 
Workflow #lvxirc71 CKP KipApp
Created by bpsdemak3321@gmail.com on 08-May-2024 02:58 PM</t>
        </r>
      </text>
    </comment>
    <comment ref="G1" authorId="0" shapeId="0" xr:uid="{00000000-0006-0000-0000-000002000000}">
      <text>
        <r>
          <rPr>
            <sz val="10"/>
            <color rgb="FF000000"/>
            <rFont val="Arial"/>
            <scheme val="minor"/>
          </rPr>
          <t>Workflow #lvxirc71 CKP KipApp
Created by bpsdemak3321@gmail.com on 08-May-2024 03:44 PM</t>
        </r>
      </text>
    </comment>
    <comment ref="H1" authorId="0" shapeId="0" xr:uid="{00000000-0006-0000-0000-000003000000}">
      <text>
        <r>
          <rPr>
            <sz val="10"/>
            <color rgb="FF000000"/>
            <rFont val="Arial"/>
            <scheme val="minor"/>
          </rPr>
          <t>Workflow #lvxirc71 CKP KipApp
Created by bpsdemak3321@gmail.com on 08-May-2024 03:44 PM</t>
        </r>
      </text>
    </comment>
    <comment ref="F594" authorId="0" shapeId="0" xr:uid="{00000000-0006-0000-0000-000004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595" authorId="0" shapeId="0" xr:uid="{00000000-0006-0000-0000-000005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596" authorId="0" shapeId="0" xr:uid="{00000000-0006-0000-0000-000006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597" authorId="0" shapeId="0" xr:uid="{00000000-0006-0000-0000-000007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598" authorId="0" shapeId="0" xr:uid="{00000000-0006-0000-0000-000008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599" authorId="0" shapeId="0" xr:uid="{00000000-0006-0000-0000-000009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600" authorId="0" shapeId="0" xr:uid="{00000000-0006-0000-0000-00000A000000}">
      <text>
        <r>
          <rPr>
            <sz val="10"/>
            <color rgb="FF000000"/>
            <rFont val="Arial"/>
            <scheme val="minor"/>
          </rPr>
          <t>Updated on 08-May-2024 03:09 PM</t>
        </r>
      </text>
    </comment>
    <comment ref="F601" authorId="0" shapeId="0" xr:uid="{00000000-0006-0000-0000-00000B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2" authorId="0" shapeId="0" xr:uid="{00000000-0006-0000-0000-00000C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3" authorId="0" shapeId="0" xr:uid="{00000000-0006-0000-0000-00000D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4" authorId="0" shapeId="0" xr:uid="{00000000-0006-0000-0000-00000E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5" authorId="0" shapeId="0" xr:uid="{00000000-0006-0000-0000-00000F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6" authorId="0" shapeId="0" xr:uid="{00000000-0006-0000-0000-000010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7" authorId="0" shapeId="0" xr:uid="{00000000-0006-0000-0000-000011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8" authorId="0" shapeId="0" xr:uid="{00000000-0006-0000-0000-000012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09" authorId="0" shapeId="0" xr:uid="{00000000-0006-0000-0000-000013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10" authorId="0" shapeId="0" xr:uid="{00000000-0006-0000-0000-000014000000}">
      <text>
        <r>
          <rPr>
            <sz val="10"/>
            <color rgb="FF000000"/>
            <rFont val="Arial"/>
            <scheme val="minor"/>
          </rPr>
          <t>Updated on 08-May-2024 03:10 PM</t>
        </r>
      </text>
    </comment>
    <comment ref="F611" authorId="0" shapeId="0" xr:uid="{00000000-0006-0000-0000-000015000000}">
      <text>
        <r>
          <rPr>
            <sz val="10"/>
            <color rgb="FF000000"/>
            <rFont val="Arial"/>
            <scheme val="minor"/>
          </rPr>
          <t>Updated on 08-May-2024 03:44 PM</t>
        </r>
      </text>
    </comment>
    <comment ref="G611" authorId="0" shapeId="0" xr:uid="{00000000-0006-0000-0000-000016000000}">
      <text>
        <r>
          <rPr>
            <sz val="10"/>
            <color rgb="FF000000"/>
            <rFont val="Arial"/>
            <scheme val="minor"/>
          </rPr>
          <t>Updated on 08-May-2024 03:44 PM</t>
        </r>
      </text>
    </comment>
    <comment ref="H611" authorId="0" shapeId="0" xr:uid="{00000000-0006-0000-0000-000017000000}">
      <text>
        <r>
          <rPr>
            <sz val="10"/>
            <color rgb="FF000000"/>
            <rFont val="Arial"/>
            <scheme val="minor"/>
          </rPr>
          <t>Updated on 08-May-2024 03:44 PM</t>
        </r>
      </text>
    </comment>
    <comment ref="F612" authorId="0" shapeId="0" xr:uid="{00000000-0006-0000-0000-000018000000}">
      <text>
        <r>
          <rPr>
            <sz val="10"/>
            <color rgb="FF000000"/>
            <rFont val="Arial"/>
            <scheme val="minor"/>
          </rPr>
          <t>Updated on 13-May-2024 09:10 AM</t>
        </r>
      </text>
    </comment>
    <comment ref="G612" authorId="0" shapeId="0" xr:uid="{00000000-0006-0000-0000-000019000000}">
      <text>
        <r>
          <rPr>
            <sz val="10"/>
            <color rgb="FF000000"/>
            <rFont val="Arial"/>
            <scheme val="minor"/>
          </rPr>
          <t>Updated on 13-May-2024 09:10 AM</t>
        </r>
      </text>
    </comment>
    <comment ref="H612" authorId="0" shapeId="0" xr:uid="{00000000-0006-0000-0000-00001A000000}">
      <text>
        <r>
          <rPr>
            <sz val="10"/>
            <color rgb="FF000000"/>
            <rFont val="Arial"/>
            <scheme val="minor"/>
          </rPr>
          <t>Updated on 13-May-2024 09:10 AM</t>
        </r>
      </text>
    </comment>
    <comment ref="F613" authorId="0" shapeId="0" xr:uid="{00000000-0006-0000-0000-00001B000000}">
      <text>
        <r>
          <rPr>
            <sz val="10"/>
            <color rgb="FF000000"/>
            <rFont val="Arial"/>
            <scheme val="minor"/>
          </rPr>
          <t>Updated on 13-May-2024 09:19 AM</t>
        </r>
      </text>
    </comment>
    <comment ref="G613" authorId="0" shapeId="0" xr:uid="{00000000-0006-0000-0000-00001C000000}">
      <text>
        <r>
          <rPr>
            <sz val="10"/>
            <color rgb="FF000000"/>
            <rFont val="Arial"/>
            <scheme val="minor"/>
          </rPr>
          <t>Updated on 13-May-2024 09:19 AM</t>
        </r>
      </text>
    </comment>
    <comment ref="H613" authorId="0" shapeId="0" xr:uid="{00000000-0006-0000-0000-00001D000000}">
      <text>
        <r>
          <rPr>
            <sz val="10"/>
            <color rgb="FF000000"/>
            <rFont val="Arial"/>
            <scheme val="minor"/>
          </rPr>
          <t>Updated on 13-May-2024 09:19 AM</t>
        </r>
      </text>
    </comment>
    <comment ref="F614" authorId="0" shapeId="0" xr:uid="{00000000-0006-0000-0000-00001E000000}">
      <text>
        <r>
          <rPr>
            <sz val="10"/>
            <color rgb="FF000000"/>
            <rFont val="Arial"/>
            <scheme val="minor"/>
          </rPr>
          <t>Updated on 14-May-2024 09:08 AM</t>
        </r>
      </text>
    </comment>
    <comment ref="G614" authorId="0" shapeId="0" xr:uid="{00000000-0006-0000-0000-00001F000000}">
      <text>
        <r>
          <rPr>
            <sz val="10"/>
            <color rgb="FF000000"/>
            <rFont val="Arial"/>
            <scheme val="minor"/>
          </rPr>
          <t>Updated on 14-May-2024 09:08 AM</t>
        </r>
      </text>
    </comment>
    <comment ref="H614" authorId="0" shapeId="0" xr:uid="{00000000-0006-0000-0000-000020000000}">
      <text>
        <r>
          <rPr>
            <sz val="10"/>
            <color rgb="FF000000"/>
            <rFont val="Arial"/>
            <scheme val="minor"/>
          </rPr>
          <t>Updated on 14-May-2024 09:08 AM</t>
        </r>
      </text>
    </comment>
    <comment ref="F615" authorId="0" shapeId="0" xr:uid="{00000000-0006-0000-0000-000021000000}">
      <text>
        <r>
          <rPr>
            <sz val="10"/>
            <color rgb="FF000000"/>
            <rFont val="Arial"/>
            <scheme val="minor"/>
          </rPr>
          <t>Updated on 14-May-2024 10:42 AM</t>
        </r>
      </text>
    </comment>
    <comment ref="G615" authorId="0" shapeId="0" xr:uid="{00000000-0006-0000-0000-000022000000}">
      <text>
        <r>
          <rPr>
            <sz val="10"/>
            <color rgb="FF000000"/>
            <rFont val="Arial"/>
            <scheme val="minor"/>
          </rPr>
          <t>Updated on 14-May-2024 10:42 AM</t>
        </r>
      </text>
    </comment>
    <comment ref="H615" authorId="0" shapeId="0" xr:uid="{00000000-0006-0000-0000-000023000000}">
      <text>
        <r>
          <rPr>
            <sz val="10"/>
            <color rgb="FF000000"/>
            <rFont val="Arial"/>
            <scheme val="minor"/>
          </rPr>
          <t>Updated on 14-May-2024 10:42 AM</t>
        </r>
      </text>
    </comment>
    <comment ref="F616" authorId="0" shapeId="0" xr:uid="{00000000-0006-0000-0000-000024000000}">
      <text>
        <r>
          <rPr>
            <sz val="10"/>
            <color rgb="FF000000"/>
            <rFont val="Arial"/>
            <scheme val="minor"/>
          </rPr>
          <t>Updated on 14-May-2024 10:44 AM</t>
        </r>
      </text>
    </comment>
    <comment ref="G616" authorId="0" shapeId="0" xr:uid="{00000000-0006-0000-0000-000025000000}">
      <text>
        <r>
          <rPr>
            <sz val="10"/>
            <color rgb="FF000000"/>
            <rFont val="Arial"/>
            <scheme val="minor"/>
          </rPr>
          <t>Updated on 14-May-2024 10:44 AM</t>
        </r>
      </text>
    </comment>
    <comment ref="H616" authorId="0" shapeId="0" xr:uid="{00000000-0006-0000-0000-000026000000}">
      <text>
        <r>
          <rPr>
            <sz val="10"/>
            <color rgb="FF000000"/>
            <rFont val="Arial"/>
            <scheme val="minor"/>
          </rPr>
          <t>Updated on 14-May-2024 10:44 AM</t>
        </r>
      </text>
    </comment>
    <comment ref="F617" authorId="0" shapeId="0" xr:uid="{00000000-0006-0000-0000-000027000000}">
      <text>
        <r>
          <rPr>
            <sz val="10"/>
            <color rgb="FF000000"/>
            <rFont val="Arial"/>
            <scheme val="minor"/>
          </rPr>
          <t>Updated on 15-May-2024 02:15 PM</t>
        </r>
      </text>
    </comment>
    <comment ref="G617" authorId="0" shapeId="0" xr:uid="{00000000-0006-0000-0000-000028000000}">
      <text>
        <r>
          <rPr>
            <sz val="10"/>
            <color rgb="FF000000"/>
            <rFont val="Arial"/>
            <scheme val="minor"/>
          </rPr>
          <t>Updated on 15-May-2024 02:15 PM</t>
        </r>
      </text>
    </comment>
    <comment ref="H617" authorId="0" shapeId="0" xr:uid="{00000000-0006-0000-0000-000029000000}">
      <text>
        <r>
          <rPr>
            <sz val="10"/>
            <color rgb="FF000000"/>
            <rFont val="Arial"/>
            <scheme val="minor"/>
          </rPr>
          <t>Updated on 15-May-2024 02:15 PM</t>
        </r>
      </text>
    </comment>
    <comment ref="F618" authorId="0" shapeId="0" xr:uid="{00000000-0006-0000-0000-00002A000000}">
      <text>
        <r>
          <rPr>
            <sz val="10"/>
            <color rgb="FF000000"/>
            <rFont val="Arial"/>
            <scheme val="minor"/>
          </rPr>
          <t>Updated on 15-May-2024 02:59 PM</t>
        </r>
      </text>
    </comment>
    <comment ref="G618" authorId="0" shapeId="0" xr:uid="{00000000-0006-0000-0000-00002B000000}">
      <text>
        <r>
          <rPr>
            <sz val="10"/>
            <color rgb="FF000000"/>
            <rFont val="Arial"/>
            <scheme val="minor"/>
          </rPr>
          <t>Updated on 15-May-2024 02:59 PM</t>
        </r>
      </text>
    </comment>
    <comment ref="H618" authorId="0" shapeId="0" xr:uid="{00000000-0006-0000-0000-00002C000000}">
      <text>
        <r>
          <rPr>
            <sz val="10"/>
            <color rgb="FF000000"/>
            <rFont val="Arial"/>
            <scheme val="minor"/>
          </rPr>
          <t>Updated on 15-May-2024 02:59 PM</t>
        </r>
      </text>
    </comment>
    <comment ref="F619" authorId="0" shapeId="0" xr:uid="{00000000-0006-0000-0000-00002D000000}">
      <text>
        <r>
          <rPr>
            <sz val="10"/>
            <color rgb="FF000000"/>
            <rFont val="Arial"/>
            <scheme val="minor"/>
          </rPr>
          <t>Updated on 17-May-2024 07:16 AM</t>
        </r>
      </text>
    </comment>
    <comment ref="G619" authorId="0" shapeId="0" xr:uid="{00000000-0006-0000-0000-00002E000000}">
      <text>
        <r>
          <rPr>
            <sz val="10"/>
            <color rgb="FF000000"/>
            <rFont val="Arial"/>
            <scheme val="minor"/>
          </rPr>
          <t>Updated on 17-May-2024 07:16 AM</t>
        </r>
      </text>
    </comment>
    <comment ref="H619" authorId="0" shapeId="0" xr:uid="{00000000-0006-0000-0000-00002F000000}">
      <text>
        <r>
          <rPr>
            <sz val="10"/>
            <color rgb="FF000000"/>
            <rFont val="Arial"/>
            <scheme val="minor"/>
          </rPr>
          <t>Updated on 17-May-2024 07:16 AM</t>
        </r>
      </text>
    </comment>
    <comment ref="F620" authorId="0" shapeId="0" xr:uid="{00000000-0006-0000-0000-000030000000}">
      <text>
        <r>
          <rPr>
            <sz val="10"/>
            <color rgb="FF000000"/>
            <rFont val="Arial"/>
            <scheme val="minor"/>
          </rPr>
          <t>Updated on 17-May-2024 04:48 PM</t>
        </r>
      </text>
    </comment>
    <comment ref="G620" authorId="0" shapeId="0" xr:uid="{00000000-0006-0000-0000-000031000000}">
      <text>
        <r>
          <rPr>
            <sz val="10"/>
            <color rgb="FF000000"/>
            <rFont val="Arial"/>
            <scheme val="minor"/>
          </rPr>
          <t>Updated on 17-May-2024 04:47 PM</t>
        </r>
      </text>
    </comment>
    <comment ref="H620" authorId="0" shapeId="0" xr:uid="{00000000-0006-0000-0000-000032000000}">
      <text>
        <r>
          <rPr>
            <sz val="10"/>
            <color rgb="FF000000"/>
            <rFont val="Arial"/>
            <scheme val="minor"/>
          </rPr>
          <t>Updated on 17-May-2024 04:47 PM</t>
        </r>
      </text>
    </comment>
    <comment ref="F621" authorId="0" shapeId="0" xr:uid="{00000000-0006-0000-0000-000033000000}">
      <text>
        <r>
          <rPr>
            <sz val="10"/>
            <color rgb="FF000000"/>
            <rFont val="Arial"/>
            <scheme val="minor"/>
          </rPr>
          <t>Updated on 28-May-2024 09:55 AM</t>
        </r>
      </text>
    </comment>
    <comment ref="G621" authorId="0" shapeId="0" xr:uid="{00000000-0006-0000-0000-000034000000}">
      <text>
        <r>
          <rPr>
            <sz val="10"/>
            <color rgb="FF000000"/>
            <rFont val="Arial"/>
            <scheme val="minor"/>
          </rPr>
          <t>Updated on 28-May-2024 09:55 AM</t>
        </r>
      </text>
    </comment>
    <comment ref="H621" authorId="0" shapeId="0" xr:uid="{00000000-0006-0000-0000-000035000000}">
      <text>
        <r>
          <rPr>
            <sz val="10"/>
            <color rgb="FF000000"/>
            <rFont val="Arial"/>
            <scheme val="minor"/>
          </rPr>
          <t>Updated on 28-May-2024 09:55 AM</t>
        </r>
      </text>
    </comment>
    <comment ref="F622" authorId="0" shapeId="0" xr:uid="{00000000-0006-0000-0000-000036000000}">
      <text>
        <r>
          <rPr>
            <sz val="10"/>
            <color rgb="FF000000"/>
            <rFont val="Arial"/>
            <scheme val="minor"/>
          </rPr>
          <t>Updated on 03-Jun-2024 10:01 AM</t>
        </r>
      </text>
    </comment>
    <comment ref="G622" authorId="0" shapeId="0" xr:uid="{00000000-0006-0000-0000-000037000000}">
      <text>
        <r>
          <rPr>
            <sz val="10"/>
            <color rgb="FF000000"/>
            <rFont val="Arial"/>
            <scheme val="minor"/>
          </rPr>
          <t>Updated on 03-Jun-2024 10:01 AM</t>
        </r>
      </text>
    </comment>
    <comment ref="H622" authorId="0" shapeId="0" xr:uid="{00000000-0006-0000-0000-000038000000}">
      <text>
        <r>
          <rPr>
            <sz val="10"/>
            <color rgb="FF000000"/>
            <rFont val="Arial"/>
            <scheme val="minor"/>
          </rPr>
          <t>Updated on 03-Jun-2024 10:01 AM</t>
        </r>
      </text>
    </comment>
    <comment ref="F623" authorId="0" shapeId="0" xr:uid="{00000000-0006-0000-0000-000039000000}">
      <text>
        <r>
          <rPr>
            <sz val="10"/>
            <color rgb="FF000000"/>
            <rFont val="Arial"/>
            <scheme val="minor"/>
          </rPr>
          <t>Updated on 03-Jun-2024 10:05 AM</t>
        </r>
      </text>
    </comment>
    <comment ref="G623" authorId="0" shapeId="0" xr:uid="{00000000-0006-0000-0000-00003A000000}">
      <text>
        <r>
          <rPr>
            <sz val="10"/>
            <color rgb="FF000000"/>
            <rFont val="Arial"/>
            <scheme val="minor"/>
          </rPr>
          <t>Updated on 03-Jun-2024 10:05 AM</t>
        </r>
      </text>
    </comment>
    <comment ref="H623" authorId="0" shapeId="0" xr:uid="{00000000-0006-0000-0000-00003B000000}">
      <text>
        <r>
          <rPr>
            <sz val="10"/>
            <color rgb="FF000000"/>
            <rFont val="Arial"/>
            <scheme val="minor"/>
          </rPr>
          <t>Updated on 03-Jun-2024 10:05 AM</t>
        </r>
      </text>
    </comment>
    <comment ref="F624" authorId="0" shapeId="0" xr:uid="{00000000-0006-0000-0000-00003C000000}">
      <text>
        <r>
          <rPr>
            <sz val="10"/>
            <color rgb="FF000000"/>
            <rFont val="Arial"/>
            <scheme val="minor"/>
          </rPr>
          <t>Updated on 03-Jun-2024 10:06 AM</t>
        </r>
      </text>
    </comment>
    <comment ref="G624" authorId="0" shapeId="0" xr:uid="{00000000-0006-0000-0000-00003D000000}">
      <text>
        <r>
          <rPr>
            <sz val="10"/>
            <color rgb="FF000000"/>
            <rFont val="Arial"/>
            <scheme val="minor"/>
          </rPr>
          <t>Updated on 03-Jun-2024 10:06 AM</t>
        </r>
      </text>
    </comment>
    <comment ref="H624" authorId="0" shapeId="0" xr:uid="{00000000-0006-0000-0000-00003E000000}">
      <text>
        <r>
          <rPr>
            <sz val="10"/>
            <color rgb="FF000000"/>
            <rFont val="Arial"/>
            <scheme val="minor"/>
          </rPr>
          <t>Updated on 03-Jun-2024 10:06 AM</t>
        </r>
      </text>
    </comment>
    <comment ref="F625" authorId="0" shapeId="0" xr:uid="{00000000-0006-0000-0000-00003F000000}">
      <text>
        <r>
          <rPr>
            <sz val="10"/>
            <color rgb="FF000000"/>
            <rFont val="Arial"/>
            <scheme val="minor"/>
          </rPr>
          <t>Updated on 03-Jun-2024 10:09 AM</t>
        </r>
      </text>
    </comment>
    <comment ref="G625" authorId="0" shapeId="0" xr:uid="{00000000-0006-0000-0000-000040000000}">
      <text>
        <r>
          <rPr>
            <sz val="10"/>
            <color rgb="FF000000"/>
            <rFont val="Arial"/>
            <scheme val="minor"/>
          </rPr>
          <t>Updated on 03-Jun-2024 10:09 AM</t>
        </r>
      </text>
    </comment>
    <comment ref="H625" authorId="0" shapeId="0" xr:uid="{00000000-0006-0000-0000-000041000000}">
      <text>
        <r>
          <rPr>
            <sz val="10"/>
            <color rgb="FF000000"/>
            <rFont val="Arial"/>
            <scheme val="minor"/>
          </rPr>
          <t>Updated on 03-Jun-2024 10:09 AM</t>
        </r>
      </text>
    </comment>
    <comment ref="F626" authorId="0" shapeId="0" xr:uid="{00000000-0006-0000-0000-000042000000}">
      <text>
        <r>
          <rPr>
            <sz val="10"/>
            <color rgb="FF000000"/>
            <rFont val="Arial"/>
            <scheme val="minor"/>
          </rPr>
          <t>Updated on 03-Jun-2024 10:15 AM</t>
        </r>
      </text>
    </comment>
    <comment ref="G626" authorId="0" shapeId="0" xr:uid="{00000000-0006-0000-0000-000043000000}">
      <text>
        <r>
          <rPr>
            <sz val="10"/>
            <color rgb="FF000000"/>
            <rFont val="Arial"/>
            <scheme val="minor"/>
          </rPr>
          <t>Updated on 03-Jun-2024 10:15 AM</t>
        </r>
      </text>
    </comment>
    <comment ref="H626" authorId="0" shapeId="0" xr:uid="{00000000-0006-0000-0000-000044000000}">
      <text>
        <r>
          <rPr>
            <sz val="10"/>
            <color rgb="FF000000"/>
            <rFont val="Arial"/>
            <scheme val="minor"/>
          </rPr>
          <t>Updated on 03-Jun-2024 10:15 AM</t>
        </r>
      </text>
    </comment>
    <comment ref="F627" authorId="0" shapeId="0" xr:uid="{00000000-0006-0000-0000-000045000000}">
      <text>
        <r>
          <rPr>
            <sz val="10"/>
            <color rgb="FF000000"/>
            <rFont val="Arial"/>
            <scheme val="minor"/>
          </rPr>
          <t>Updated on 03-Jun-2024 10:15 AM</t>
        </r>
      </text>
    </comment>
    <comment ref="G627" authorId="0" shapeId="0" xr:uid="{00000000-0006-0000-0000-000046000000}">
      <text>
        <r>
          <rPr>
            <sz val="10"/>
            <color rgb="FF000000"/>
            <rFont val="Arial"/>
            <scheme val="minor"/>
          </rPr>
          <t>Updated on 03-Jun-2024 10:15 AM</t>
        </r>
      </text>
    </comment>
    <comment ref="H627" authorId="0" shapeId="0" xr:uid="{00000000-0006-0000-0000-000047000000}">
      <text>
        <r>
          <rPr>
            <sz val="10"/>
            <color rgb="FF000000"/>
            <rFont val="Arial"/>
            <scheme val="minor"/>
          </rPr>
          <t>Updated on 03-Jun-2024 10:15 AM</t>
        </r>
      </text>
    </comment>
    <comment ref="F628" authorId="0" shapeId="0" xr:uid="{00000000-0006-0000-0000-000048000000}">
      <text>
        <r>
          <rPr>
            <sz val="10"/>
            <color rgb="FF000000"/>
            <rFont val="Arial"/>
            <scheme val="minor"/>
          </rPr>
          <t>Updated on 03-Jun-2024 10:16 AM</t>
        </r>
      </text>
    </comment>
    <comment ref="G628" authorId="0" shapeId="0" xr:uid="{00000000-0006-0000-0000-000049000000}">
      <text>
        <r>
          <rPr>
            <sz val="10"/>
            <color rgb="FF000000"/>
            <rFont val="Arial"/>
            <scheme val="minor"/>
          </rPr>
          <t>Updated on 03-Jun-2024 10:16 AM</t>
        </r>
      </text>
    </comment>
    <comment ref="H628" authorId="0" shapeId="0" xr:uid="{00000000-0006-0000-0000-00004A000000}">
      <text>
        <r>
          <rPr>
            <sz val="10"/>
            <color rgb="FF000000"/>
            <rFont val="Arial"/>
            <scheme val="minor"/>
          </rPr>
          <t>Updated on 03-Jun-2024 10:16 AM</t>
        </r>
      </text>
    </comment>
    <comment ref="F629" authorId="0" shapeId="0" xr:uid="{00000000-0006-0000-0000-00004B000000}">
      <text>
        <r>
          <rPr>
            <sz val="10"/>
            <color rgb="FF000000"/>
            <rFont val="Arial"/>
            <scheme val="minor"/>
          </rPr>
          <t>Updated on 03-Jun-2024 10:21 AM</t>
        </r>
      </text>
    </comment>
    <comment ref="G629" authorId="0" shapeId="0" xr:uid="{00000000-0006-0000-0000-00004C000000}">
      <text>
        <r>
          <rPr>
            <sz val="10"/>
            <color rgb="FF000000"/>
            <rFont val="Arial"/>
            <scheme val="minor"/>
          </rPr>
          <t>Updated on 03-Jun-2024 10:21 AM</t>
        </r>
      </text>
    </comment>
    <comment ref="H629" authorId="0" shapeId="0" xr:uid="{00000000-0006-0000-0000-00004D000000}">
      <text>
        <r>
          <rPr>
            <sz val="10"/>
            <color rgb="FF000000"/>
            <rFont val="Arial"/>
            <scheme val="minor"/>
          </rPr>
          <t>Updated on 03-Jun-2024 10:21 AM</t>
        </r>
      </text>
    </comment>
    <comment ref="F630" authorId="0" shapeId="0" xr:uid="{00000000-0006-0000-0000-00004E000000}">
      <text>
        <r>
          <rPr>
            <sz val="10"/>
            <color rgb="FF000000"/>
            <rFont val="Arial"/>
            <scheme val="minor"/>
          </rPr>
          <t>Updated on 03-Jun-2024 10:28 AM</t>
        </r>
      </text>
    </comment>
    <comment ref="G630" authorId="0" shapeId="0" xr:uid="{00000000-0006-0000-0000-00004F000000}">
      <text>
        <r>
          <rPr>
            <sz val="10"/>
            <color rgb="FF000000"/>
            <rFont val="Arial"/>
            <scheme val="minor"/>
          </rPr>
          <t>Updated on 03-Jun-2024 10:28 AM</t>
        </r>
      </text>
    </comment>
    <comment ref="H630" authorId="0" shapeId="0" xr:uid="{00000000-0006-0000-0000-000050000000}">
      <text>
        <r>
          <rPr>
            <sz val="10"/>
            <color rgb="FF000000"/>
            <rFont val="Arial"/>
            <scheme val="minor"/>
          </rPr>
          <t>Updated on 03-Jun-2024 10:28 AM</t>
        </r>
      </text>
    </comment>
    <comment ref="F631" authorId="0" shapeId="0" xr:uid="{00000000-0006-0000-0000-000051000000}">
      <text>
        <r>
          <rPr>
            <sz val="10"/>
            <color rgb="FF000000"/>
            <rFont val="Arial"/>
            <scheme val="minor"/>
          </rPr>
          <t>Updated on 03-Jun-2024 10:29 AM</t>
        </r>
      </text>
    </comment>
    <comment ref="G631" authorId="0" shapeId="0" xr:uid="{00000000-0006-0000-0000-000052000000}">
      <text>
        <r>
          <rPr>
            <sz val="10"/>
            <color rgb="FF000000"/>
            <rFont val="Arial"/>
            <scheme val="minor"/>
          </rPr>
          <t>Updated on 03-Jun-2024 10:29 AM</t>
        </r>
      </text>
    </comment>
    <comment ref="H631" authorId="0" shapeId="0" xr:uid="{00000000-0006-0000-0000-000053000000}">
      <text>
        <r>
          <rPr>
            <sz val="10"/>
            <color rgb="FF000000"/>
            <rFont val="Arial"/>
            <scheme val="minor"/>
          </rPr>
          <t>Updated on 03-Jun-2024 10:29 AM</t>
        </r>
      </text>
    </comment>
    <comment ref="F632" authorId="0" shapeId="0" xr:uid="{00000000-0006-0000-0000-000054000000}">
      <text>
        <r>
          <rPr>
            <sz val="10"/>
            <color rgb="FF000000"/>
            <rFont val="Arial"/>
            <scheme val="minor"/>
          </rPr>
          <t>Updated on 03-Jun-2024 10:30 AM</t>
        </r>
      </text>
    </comment>
    <comment ref="G632" authorId="0" shapeId="0" xr:uid="{00000000-0006-0000-0000-000055000000}">
      <text>
        <r>
          <rPr>
            <sz val="10"/>
            <color rgb="FF000000"/>
            <rFont val="Arial"/>
            <scheme val="minor"/>
          </rPr>
          <t>Updated on 03-Jun-2024 10:30 AM</t>
        </r>
      </text>
    </comment>
    <comment ref="H632" authorId="0" shapeId="0" xr:uid="{00000000-0006-0000-0000-000056000000}">
      <text>
        <r>
          <rPr>
            <sz val="10"/>
            <color rgb="FF000000"/>
            <rFont val="Arial"/>
            <scheme val="minor"/>
          </rPr>
          <t>Updated on 03-Jun-2024 10:30 AM</t>
        </r>
      </text>
    </comment>
    <comment ref="F633" authorId="0" shapeId="0" xr:uid="{00000000-0006-0000-0000-000057000000}">
      <text>
        <r>
          <rPr>
            <sz val="10"/>
            <color rgb="FF000000"/>
            <rFont val="Arial"/>
            <scheme val="minor"/>
          </rPr>
          <t>Updated on 03-Jun-2024 10:30 AM</t>
        </r>
      </text>
    </comment>
    <comment ref="G633" authorId="0" shapeId="0" xr:uid="{00000000-0006-0000-0000-000058000000}">
      <text>
        <r>
          <rPr>
            <sz val="10"/>
            <color rgb="FF000000"/>
            <rFont val="Arial"/>
            <scheme val="minor"/>
          </rPr>
          <t>Updated on 03-Jun-2024 10:30 AM</t>
        </r>
      </text>
    </comment>
    <comment ref="H633" authorId="0" shapeId="0" xr:uid="{00000000-0006-0000-0000-000059000000}">
      <text>
        <r>
          <rPr>
            <sz val="10"/>
            <color rgb="FF000000"/>
            <rFont val="Arial"/>
            <scheme val="minor"/>
          </rPr>
          <t>Updated on 03-Jun-2024 10:30 AM</t>
        </r>
      </text>
    </comment>
    <comment ref="F634" authorId="0" shapeId="0" xr:uid="{00000000-0006-0000-0000-00005A000000}">
      <text>
        <r>
          <rPr>
            <sz val="10"/>
            <color rgb="FF000000"/>
            <rFont val="Arial"/>
            <scheme val="minor"/>
          </rPr>
          <t>Updated on 03-Jun-2024 10:37 AM</t>
        </r>
      </text>
    </comment>
    <comment ref="G634" authorId="0" shapeId="0" xr:uid="{00000000-0006-0000-0000-00005B000000}">
      <text>
        <r>
          <rPr>
            <sz val="10"/>
            <color rgb="FF000000"/>
            <rFont val="Arial"/>
            <scheme val="minor"/>
          </rPr>
          <t>Updated on 03-Jun-2024 10:37 AM</t>
        </r>
      </text>
    </comment>
    <comment ref="H634" authorId="0" shapeId="0" xr:uid="{00000000-0006-0000-0000-00005C000000}">
      <text>
        <r>
          <rPr>
            <sz val="10"/>
            <color rgb="FF000000"/>
            <rFont val="Arial"/>
            <scheme val="minor"/>
          </rPr>
          <t>Updated on 03-Jun-2024 10:37 AM</t>
        </r>
      </text>
    </comment>
    <comment ref="F635" authorId="0" shapeId="0" xr:uid="{00000000-0006-0000-0000-00005D000000}">
      <text>
        <r>
          <rPr>
            <sz val="10"/>
            <color rgb="FF000000"/>
            <rFont val="Arial"/>
            <scheme val="minor"/>
          </rPr>
          <t>Updated on 03-Jun-2024 11:31 AM</t>
        </r>
      </text>
    </comment>
    <comment ref="G635" authorId="0" shapeId="0" xr:uid="{00000000-0006-0000-0000-00005E000000}">
      <text>
        <r>
          <rPr>
            <sz val="10"/>
            <color rgb="FF000000"/>
            <rFont val="Arial"/>
            <scheme val="minor"/>
          </rPr>
          <t>Updated on 03-Jun-2024 11:31 AM</t>
        </r>
      </text>
    </comment>
    <comment ref="H635" authorId="0" shapeId="0" xr:uid="{00000000-0006-0000-0000-00005F000000}">
      <text>
        <r>
          <rPr>
            <sz val="10"/>
            <color rgb="FF000000"/>
            <rFont val="Arial"/>
            <scheme val="minor"/>
          </rPr>
          <t>Updated on 03-Jun-2024 11:31 AM</t>
        </r>
      </text>
    </comment>
    <comment ref="F636" authorId="0" shapeId="0" xr:uid="{00000000-0006-0000-0000-000060000000}">
      <text>
        <r>
          <rPr>
            <sz val="10"/>
            <color rgb="FF000000"/>
            <rFont val="Arial"/>
            <scheme val="minor"/>
          </rPr>
          <t>Updated on 03-Jun-2024 11:32 AM</t>
        </r>
      </text>
    </comment>
    <comment ref="G636" authorId="0" shapeId="0" xr:uid="{00000000-0006-0000-0000-000061000000}">
      <text>
        <r>
          <rPr>
            <sz val="10"/>
            <color rgb="FF000000"/>
            <rFont val="Arial"/>
            <scheme val="minor"/>
          </rPr>
          <t>Updated on 03-Jun-2024 11:32 AM</t>
        </r>
      </text>
    </comment>
    <comment ref="H636" authorId="0" shapeId="0" xr:uid="{00000000-0006-0000-0000-000062000000}">
      <text>
        <r>
          <rPr>
            <sz val="10"/>
            <color rgb="FF000000"/>
            <rFont val="Arial"/>
            <scheme val="minor"/>
          </rPr>
          <t>Updated on 03-Jun-2024 11:32 AM</t>
        </r>
      </text>
    </comment>
    <comment ref="F637" authorId="0" shapeId="0" xr:uid="{00000000-0006-0000-0000-000063000000}">
      <text>
        <r>
          <rPr>
            <sz val="10"/>
            <color rgb="FF000000"/>
            <rFont val="Arial"/>
            <scheme val="minor"/>
          </rPr>
          <t>Updated on 03-Jun-2024 11:32 AM</t>
        </r>
      </text>
    </comment>
    <comment ref="G637" authorId="0" shapeId="0" xr:uid="{00000000-0006-0000-0000-000064000000}">
      <text>
        <r>
          <rPr>
            <sz val="10"/>
            <color rgb="FF000000"/>
            <rFont val="Arial"/>
            <scheme val="minor"/>
          </rPr>
          <t>Updated on 03-Jun-2024 11:32 AM</t>
        </r>
      </text>
    </comment>
    <comment ref="H637" authorId="0" shapeId="0" xr:uid="{00000000-0006-0000-0000-000065000000}">
      <text>
        <r>
          <rPr>
            <sz val="10"/>
            <color rgb="FF000000"/>
            <rFont val="Arial"/>
            <scheme val="minor"/>
          </rPr>
          <t>Updated on 03-Jun-2024 11:32 AM</t>
        </r>
      </text>
    </comment>
    <comment ref="F638" authorId="0" shapeId="0" xr:uid="{00000000-0006-0000-0000-000066000000}">
      <text>
        <r>
          <rPr>
            <sz val="10"/>
            <color rgb="FF000000"/>
            <rFont val="Arial"/>
            <scheme val="minor"/>
          </rPr>
          <t>Updated on 03-Jun-2024 11:33 AM</t>
        </r>
      </text>
    </comment>
    <comment ref="G638" authorId="0" shapeId="0" xr:uid="{00000000-0006-0000-0000-000067000000}">
      <text>
        <r>
          <rPr>
            <sz val="10"/>
            <color rgb="FF000000"/>
            <rFont val="Arial"/>
            <scheme val="minor"/>
          </rPr>
          <t>Updated on 03-Jun-2024 11:33 AM</t>
        </r>
      </text>
    </comment>
    <comment ref="H638" authorId="0" shapeId="0" xr:uid="{00000000-0006-0000-0000-000068000000}">
      <text>
        <r>
          <rPr>
            <sz val="10"/>
            <color rgb="FF000000"/>
            <rFont val="Arial"/>
            <scheme val="minor"/>
          </rPr>
          <t>Updated on 03-Jun-2024 11:33 AM</t>
        </r>
      </text>
    </comment>
    <comment ref="F639" authorId="0" shapeId="0" xr:uid="{00000000-0006-0000-0000-000069000000}">
      <text>
        <r>
          <rPr>
            <sz val="10"/>
            <color rgb="FF000000"/>
            <rFont val="Arial"/>
            <scheme val="minor"/>
          </rPr>
          <t>Updated on 03-Jun-2024 11:36 AM</t>
        </r>
      </text>
    </comment>
    <comment ref="G639" authorId="0" shapeId="0" xr:uid="{00000000-0006-0000-0000-00006A000000}">
      <text>
        <r>
          <rPr>
            <sz val="10"/>
            <color rgb="FF000000"/>
            <rFont val="Arial"/>
            <scheme val="minor"/>
          </rPr>
          <t>Updated on 03-Jun-2024 11:36 AM</t>
        </r>
      </text>
    </comment>
    <comment ref="H639" authorId="0" shapeId="0" xr:uid="{00000000-0006-0000-0000-00006B000000}">
      <text>
        <r>
          <rPr>
            <sz val="10"/>
            <color rgb="FF000000"/>
            <rFont val="Arial"/>
            <scheme val="minor"/>
          </rPr>
          <t>Updated on 03-Jun-2024 11:36 AM</t>
        </r>
      </text>
    </comment>
    <comment ref="F640" authorId="0" shapeId="0" xr:uid="{00000000-0006-0000-0000-00006C000000}">
      <text>
        <r>
          <rPr>
            <sz val="10"/>
            <color rgb="FF000000"/>
            <rFont val="Arial"/>
            <scheme val="minor"/>
          </rPr>
          <t>Updated on 03-Jun-2024 11:36 AM</t>
        </r>
      </text>
    </comment>
    <comment ref="G640" authorId="0" shapeId="0" xr:uid="{00000000-0006-0000-0000-00006D000000}">
      <text>
        <r>
          <rPr>
            <sz val="10"/>
            <color rgb="FF000000"/>
            <rFont val="Arial"/>
            <scheme val="minor"/>
          </rPr>
          <t>Updated on 03-Jun-2024 11:36 AM</t>
        </r>
      </text>
    </comment>
    <comment ref="H640" authorId="0" shapeId="0" xr:uid="{00000000-0006-0000-0000-00006E000000}">
      <text>
        <r>
          <rPr>
            <sz val="10"/>
            <color rgb="FF000000"/>
            <rFont val="Arial"/>
            <scheme val="minor"/>
          </rPr>
          <t>Updated on 03-Jun-2024 11:36 AM</t>
        </r>
      </text>
    </comment>
    <comment ref="F641" authorId="0" shapeId="0" xr:uid="{00000000-0006-0000-0000-00006F000000}">
      <text>
        <r>
          <rPr>
            <sz val="10"/>
            <color rgb="FF000000"/>
            <rFont val="Arial"/>
            <scheme val="minor"/>
          </rPr>
          <t>Updated on 03-Jun-2024 11:40 AM</t>
        </r>
      </text>
    </comment>
    <comment ref="G641" authorId="0" shapeId="0" xr:uid="{00000000-0006-0000-0000-000070000000}">
      <text>
        <r>
          <rPr>
            <sz val="10"/>
            <color rgb="FF000000"/>
            <rFont val="Arial"/>
            <scheme val="minor"/>
          </rPr>
          <t>Updated on 03-Jun-2024 11:40 AM</t>
        </r>
      </text>
    </comment>
    <comment ref="H641" authorId="0" shapeId="0" xr:uid="{00000000-0006-0000-0000-000071000000}">
      <text>
        <r>
          <rPr>
            <sz val="10"/>
            <color rgb="FF000000"/>
            <rFont val="Arial"/>
            <scheme val="minor"/>
          </rPr>
          <t>Updated on 03-Jun-2024 11:40 AM</t>
        </r>
      </text>
    </comment>
    <comment ref="F642" authorId="0" shapeId="0" xr:uid="{00000000-0006-0000-0000-000072000000}">
      <text>
        <r>
          <rPr>
            <sz val="10"/>
            <color rgb="FF000000"/>
            <rFont val="Arial"/>
            <scheme val="minor"/>
          </rPr>
          <t>Updated on 03-Jun-2024 11:42 AM</t>
        </r>
      </text>
    </comment>
    <comment ref="G642" authorId="0" shapeId="0" xr:uid="{00000000-0006-0000-0000-000073000000}">
      <text>
        <r>
          <rPr>
            <sz val="10"/>
            <color rgb="FF000000"/>
            <rFont val="Arial"/>
            <scheme val="minor"/>
          </rPr>
          <t>Updated on 03-Jun-2024 11:42 AM</t>
        </r>
      </text>
    </comment>
    <comment ref="H642" authorId="0" shapeId="0" xr:uid="{00000000-0006-0000-0000-000074000000}">
      <text>
        <r>
          <rPr>
            <sz val="10"/>
            <color rgb="FF000000"/>
            <rFont val="Arial"/>
            <scheme val="minor"/>
          </rPr>
          <t>Updated on 03-Jun-2024 11:42 AM</t>
        </r>
      </text>
    </comment>
    <comment ref="F643" authorId="0" shapeId="0" xr:uid="{00000000-0006-0000-0000-000075000000}">
      <text>
        <r>
          <rPr>
            <sz val="10"/>
            <color rgb="FF000000"/>
            <rFont val="Arial"/>
            <scheme val="minor"/>
          </rPr>
          <t>Updated on 03-Jun-2024 11:43 AM</t>
        </r>
      </text>
    </comment>
    <comment ref="G643" authorId="0" shapeId="0" xr:uid="{00000000-0006-0000-0000-000076000000}">
      <text>
        <r>
          <rPr>
            <sz val="10"/>
            <color rgb="FF000000"/>
            <rFont val="Arial"/>
            <scheme val="minor"/>
          </rPr>
          <t>Updated on 03-Jun-2024 11:43 AM</t>
        </r>
      </text>
    </comment>
    <comment ref="H643" authorId="0" shapeId="0" xr:uid="{00000000-0006-0000-0000-000077000000}">
      <text>
        <r>
          <rPr>
            <sz val="10"/>
            <color rgb="FF000000"/>
            <rFont val="Arial"/>
            <scheme val="minor"/>
          </rPr>
          <t>Updated on 03-Jun-2024 11:43 AM</t>
        </r>
      </text>
    </comment>
    <comment ref="F644" authorId="0" shapeId="0" xr:uid="{00000000-0006-0000-0000-000078000000}">
      <text>
        <r>
          <rPr>
            <sz val="10"/>
            <color rgb="FF000000"/>
            <rFont val="Arial"/>
            <scheme val="minor"/>
          </rPr>
          <t>Updated on 03-Jun-2024 11:46 AM</t>
        </r>
      </text>
    </comment>
    <comment ref="G644" authorId="0" shapeId="0" xr:uid="{00000000-0006-0000-0000-000079000000}">
      <text>
        <r>
          <rPr>
            <sz val="10"/>
            <color rgb="FF000000"/>
            <rFont val="Arial"/>
            <scheme val="minor"/>
          </rPr>
          <t>Updated on 03-Jun-2024 11:46 AM</t>
        </r>
      </text>
    </comment>
    <comment ref="H644" authorId="0" shapeId="0" xr:uid="{00000000-0006-0000-0000-00007A000000}">
      <text>
        <r>
          <rPr>
            <sz val="10"/>
            <color rgb="FF000000"/>
            <rFont val="Arial"/>
            <scheme val="minor"/>
          </rPr>
          <t>Updated on 03-Jun-2024 11:46 AM</t>
        </r>
      </text>
    </comment>
    <comment ref="F645" authorId="0" shapeId="0" xr:uid="{00000000-0006-0000-0000-00007B000000}">
      <text>
        <r>
          <rPr>
            <sz val="10"/>
            <color rgb="FF000000"/>
            <rFont val="Arial"/>
            <scheme val="minor"/>
          </rPr>
          <t>Updated on 03-Jun-2024 01:07 PM</t>
        </r>
      </text>
    </comment>
    <comment ref="G645" authorId="0" shapeId="0" xr:uid="{00000000-0006-0000-0000-00007C000000}">
      <text>
        <r>
          <rPr>
            <sz val="10"/>
            <color rgb="FF000000"/>
            <rFont val="Arial"/>
            <scheme val="minor"/>
          </rPr>
          <t>Updated on 03-Jun-2024 01:07 PM</t>
        </r>
      </text>
    </comment>
    <comment ref="H645" authorId="0" shapeId="0" xr:uid="{00000000-0006-0000-0000-00007D000000}">
      <text>
        <r>
          <rPr>
            <sz val="10"/>
            <color rgb="FF000000"/>
            <rFont val="Arial"/>
            <scheme val="minor"/>
          </rPr>
          <t>Updated on 03-Jun-2024 01:07 PM</t>
        </r>
      </text>
    </comment>
    <comment ref="F646" authorId="0" shapeId="0" xr:uid="{00000000-0006-0000-0000-00007E000000}">
      <text>
        <r>
          <rPr>
            <sz val="10"/>
            <color rgb="FF000000"/>
            <rFont val="Arial"/>
            <scheme val="minor"/>
          </rPr>
          <t>Updated on 03-Jun-2024 01:07 PM</t>
        </r>
      </text>
    </comment>
    <comment ref="G646" authorId="0" shapeId="0" xr:uid="{00000000-0006-0000-0000-00007F000000}">
      <text>
        <r>
          <rPr>
            <sz val="10"/>
            <color rgb="FF000000"/>
            <rFont val="Arial"/>
            <scheme val="minor"/>
          </rPr>
          <t>Updated on 03-Jun-2024 01:07 PM</t>
        </r>
      </text>
    </comment>
    <comment ref="H646" authorId="0" shapeId="0" xr:uid="{00000000-0006-0000-0000-000080000000}">
      <text>
        <r>
          <rPr>
            <sz val="10"/>
            <color rgb="FF000000"/>
            <rFont val="Arial"/>
            <scheme val="minor"/>
          </rPr>
          <t>Updated on 03-Jun-2024 01:07 PM</t>
        </r>
      </text>
    </comment>
    <comment ref="F647" authorId="0" shapeId="0" xr:uid="{00000000-0006-0000-0000-000081000000}">
      <text>
        <r>
          <rPr>
            <sz val="10"/>
            <color rgb="FF000000"/>
            <rFont val="Arial"/>
            <scheme val="minor"/>
          </rPr>
          <t>Updated on 03-Jun-2024 03:01 PM</t>
        </r>
      </text>
    </comment>
    <comment ref="G647" authorId="0" shapeId="0" xr:uid="{00000000-0006-0000-0000-000082000000}">
      <text>
        <r>
          <rPr>
            <sz val="10"/>
            <color rgb="FF000000"/>
            <rFont val="Arial"/>
            <scheme val="minor"/>
          </rPr>
          <t>Updated on 03-Jun-2024 03:01 PM</t>
        </r>
      </text>
    </comment>
    <comment ref="H647" authorId="0" shapeId="0" xr:uid="{00000000-0006-0000-0000-000083000000}">
      <text>
        <r>
          <rPr>
            <sz val="10"/>
            <color rgb="FF000000"/>
            <rFont val="Arial"/>
            <scheme val="minor"/>
          </rPr>
          <t>Updated on 03-Jun-2024 03:01 PM</t>
        </r>
      </text>
    </comment>
    <comment ref="F648" authorId="0" shapeId="0" xr:uid="{00000000-0006-0000-0000-000084000000}">
      <text>
        <r>
          <rPr>
            <sz val="10"/>
            <color rgb="FF000000"/>
            <rFont val="Arial"/>
            <scheme val="minor"/>
          </rPr>
          <t>Updated on 03-Jun-2024 03:06 PM</t>
        </r>
      </text>
    </comment>
    <comment ref="G648" authorId="0" shapeId="0" xr:uid="{00000000-0006-0000-0000-000085000000}">
      <text>
        <r>
          <rPr>
            <sz val="10"/>
            <color rgb="FF000000"/>
            <rFont val="Arial"/>
            <scheme val="minor"/>
          </rPr>
          <t>Updated on 03-Jun-2024 03:06 PM</t>
        </r>
      </text>
    </comment>
    <comment ref="H648" authorId="0" shapeId="0" xr:uid="{00000000-0006-0000-0000-000086000000}">
      <text>
        <r>
          <rPr>
            <sz val="10"/>
            <color rgb="FF000000"/>
            <rFont val="Arial"/>
            <scheme val="minor"/>
          </rPr>
          <t>Updated on 03-Jun-2024 03:06 PM</t>
        </r>
      </text>
    </comment>
    <comment ref="F649" authorId="0" shapeId="0" xr:uid="{00000000-0006-0000-0000-000087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49" authorId="0" shapeId="0" xr:uid="{00000000-0006-0000-0000-000088000000}">
      <text>
        <r>
          <rPr>
            <sz val="10"/>
            <color rgb="FF000000"/>
            <rFont val="Arial"/>
            <scheme val="minor"/>
          </rPr>
          <t>Updated on 04-Jun-2024 08:26 AM</t>
        </r>
      </text>
    </comment>
    <comment ref="H649" authorId="0" shapeId="0" xr:uid="{00000000-0006-0000-0000-000089000000}">
      <text>
        <r>
          <rPr>
            <sz val="10"/>
            <color rgb="FF000000"/>
            <rFont val="Arial"/>
            <scheme val="minor"/>
          </rPr>
          <t>Updated on 04-Jun-2024 08:26 AM</t>
        </r>
      </text>
    </comment>
    <comment ref="F650" authorId="0" shapeId="0" xr:uid="{00000000-0006-0000-0000-00008A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50" authorId="0" shapeId="0" xr:uid="{00000000-0006-0000-0000-00008B000000}">
      <text>
        <r>
          <rPr>
            <sz val="10"/>
            <color rgb="FF000000"/>
            <rFont val="Arial"/>
            <scheme val="minor"/>
          </rPr>
          <t>Updated on 04-Jun-2024 08:26 AM</t>
        </r>
      </text>
    </comment>
    <comment ref="H650" authorId="0" shapeId="0" xr:uid="{00000000-0006-0000-0000-00008C000000}">
      <text>
        <r>
          <rPr>
            <sz val="10"/>
            <color rgb="FF000000"/>
            <rFont val="Arial"/>
            <scheme val="minor"/>
          </rPr>
          <t>Updated on 04-Jun-2024 08:26 AM</t>
        </r>
      </text>
    </comment>
    <comment ref="F651" authorId="0" shapeId="0" xr:uid="{00000000-0006-0000-0000-00008D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51" authorId="0" shapeId="0" xr:uid="{00000000-0006-0000-0000-00008E000000}">
      <text>
        <r>
          <rPr>
            <sz val="10"/>
            <color rgb="FF000000"/>
            <rFont val="Arial"/>
            <scheme val="minor"/>
          </rPr>
          <t>Updated on 04-Jun-2024 08:48 AM</t>
        </r>
      </text>
    </comment>
    <comment ref="H651" authorId="0" shapeId="0" xr:uid="{00000000-0006-0000-0000-00008F000000}">
      <text>
        <r>
          <rPr>
            <sz val="10"/>
            <color rgb="FF000000"/>
            <rFont val="Arial"/>
            <scheme val="minor"/>
          </rPr>
          <t>Updated on 04-Jun-2024 08:48 AM</t>
        </r>
      </text>
    </comment>
    <comment ref="F652" authorId="0" shapeId="0" xr:uid="{00000000-0006-0000-0000-000090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52" authorId="0" shapeId="0" xr:uid="{00000000-0006-0000-0000-000091000000}">
      <text>
        <r>
          <rPr>
            <sz val="10"/>
            <color rgb="FF000000"/>
            <rFont val="Arial"/>
            <scheme val="minor"/>
          </rPr>
          <t>Updated on 04-Jun-2024 09:07 AM</t>
        </r>
      </text>
    </comment>
    <comment ref="H652" authorId="0" shapeId="0" xr:uid="{00000000-0006-0000-0000-000092000000}">
      <text>
        <r>
          <rPr>
            <sz val="10"/>
            <color rgb="FF000000"/>
            <rFont val="Arial"/>
            <scheme val="minor"/>
          </rPr>
          <t>Updated on 04-Jun-2024 09:07 AM</t>
        </r>
      </text>
    </comment>
    <comment ref="F653" authorId="0" shapeId="0" xr:uid="{00000000-0006-0000-0000-000093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53" authorId="0" shapeId="0" xr:uid="{00000000-0006-0000-0000-000094000000}">
      <text>
        <r>
          <rPr>
            <sz val="10"/>
            <color rgb="FF000000"/>
            <rFont val="Arial"/>
            <scheme val="minor"/>
          </rPr>
          <t>Updated on 04-Jun-2024 09:29 AM</t>
        </r>
      </text>
    </comment>
    <comment ref="H653" authorId="0" shapeId="0" xr:uid="{00000000-0006-0000-0000-000095000000}">
      <text>
        <r>
          <rPr>
            <sz val="10"/>
            <color rgb="FF000000"/>
            <rFont val="Arial"/>
            <scheme val="minor"/>
          </rPr>
          <t>Updated on 04-Jun-2024 09:29 AM</t>
        </r>
      </text>
    </comment>
    <comment ref="F654" authorId="0" shapeId="0" xr:uid="{00000000-0006-0000-0000-000096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54" authorId="0" shapeId="0" xr:uid="{00000000-0006-0000-0000-000097000000}">
      <text>
        <r>
          <rPr>
            <sz val="10"/>
            <color rgb="FF000000"/>
            <rFont val="Arial"/>
            <scheme val="minor"/>
          </rPr>
          <t>Updated on 04-Jun-2024 09:35 AM</t>
        </r>
      </text>
    </comment>
    <comment ref="H654" authorId="0" shapeId="0" xr:uid="{00000000-0006-0000-0000-000098000000}">
      <text>
        <r>
          <rPr>
            <sz val="10"/>
            <color rgb="FF000000"/>
            <rFont val="Arial"/>
            <scheme val="minor"/>
          </rPr>
          <t>Updated on 04-Jun-2024 09:35 AM</t>
        </r>
      </text>
    </comment>
    <comment ref="F655" authorId="0" shapeId="0" xr:uid="{00000000-0006-0000-0000-000099000000}">
      <text>
        <r>
          <rPr>
            <sz val="10"/>
            <color rgb="FF000000"/>
            <rFont val="Arial"/>
            <scheme val="minor"/>
          </rPr>
          <t>Updated on 17-Mar-2025 09:22 AM by bpsdemak3321@gmail.com</t>
        </r>
      </text>
    </comment>
    <comment ref="G655" authorId="0" shapeId="0" xr:uid="{00000000-0006-0000-0000-00009A000000}">
      <text>
        <r>
          <rPr>
            <sz val="10"/>
            <color rgb="FF000000"/>
            <rFont val="Arial"/>
            <scheme val="minor"/>
          </rPr>
          <t>Updated on 05-Jun-2024 07:49 AM</t>
        </r>
      </text>
    </comment>
    <comment ref="H655" authorId="0" shapeId="0" xr:uid="{00000000-0006-0000-0000-00009B000000}">
      <text>
        <r>
          <rPr>
            <sz val="10"/>
            <color rgb="FF000000"/>
            <rFont val="Arial"/>
            <scheme val="minor"/>
          </rPr>
          <t>Updated on 05-Jun-2024 07:49 AM</t>
        </r>
      </text>
    </comment>
    <comment ref="F656" authorId="0" shapeId="0" xr:uid="{00000000-0006-0000-0000-00009C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56" authorId="0" shapeId="0" xr:uid="{00000000-0006-0000-0000-00009D000000}">
      <text>
        <r>
          <rPr>
            <sz val="10"/>
            <color rgb="FF000000"/>
            <rFont val="Arial"/>
            <scheme val="minor"/>
          </rPr>
          <t>Updated on 05-Jun-2024 08:58 AM</t>
        </r>
      </text>
    </comment>
    <comment ref="H656" authorId="0" shapeId="0" xr:uid="{00000000-0006-0000-0000-00009E000000}">
      <text>
        <r>
          <rPr>
            <sz val="10"/>
            <color rgb="FF000000"/>
            <rFont val="Arial"/>
            <scheme val="minor"/>
          </rPr>
          <t>Updated on 05-Jun-2024 08:58 AM</t>
        </r>
      </text>
    </comment>
    <comment ref="F657" authorId="0" shapeId="0" xr:uid="{00000000-0006-0000-0000-00009F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57" authorId="0" shapeId="0" xr:uid="{00000000-0006-0000-0000-0000A0000000}">
      <text>
        <r>
          <rPr>
            <sz val="10"/>
            <color rgb="FF000000"/>
            <rFont val="Arial"/>
            <scheme val="minor"/>
          </rPr>
          <t>Updated on 05-Jun-2024 09:04 AM</t>
        </r>
      </text>
    </comment>
    <comment ref="H657" authorId="0" shapeId="0" xr:uid="{00000000-0006-0000-0000-0000A1000000}">
      <text>
        <r>
          <rPr>
            <sz val="10"/>
            <color rgb="FF000000"/>
            <rFont val="Arial"/>
            <scheme val="minor"/>
          </rPr>
          <t>Updated on 05-Jun-2024 09:04 AM</t>
        </r>
      </text>
    </comment>
    <comment ref="F658" authorId="0" shapeId="0" xr:uid="{00000000-0006-0000-0000-0000A2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58" authorId="0" shapeId="0" xr:uid="{00000000-0006-0000-0000-0000A3000000}">
      <text>
        <r>
          <rPr>
            <sz val="10"/>
            <color rgb="FF000000"/>
            <rFont val="Arial"/>
            <scheme val="minor"/>
          </rPr>
          <t>Updated on 05-Jun-2024 09:48 AM</t>
        </r>
      </text>
    </comment>
    <comment ref="H658" authorId="0" shapeId="0" xr:uid="{00000000-0006-0000-0000-0000A4000000}">
      <text>
        <r>
          <rPr>
            <sz val="10"/>
            <color rgb="FF000000"/>
            <rFont val="Arial"/>
            <scheme val="minor"/>
          </rPr>
          <t>Updated on 05-Jun-2024 09:48 AM</t>
        </r>
      </text>
    </comment>
    <comment ref="F659" authorId="0" shapeId="0" xr:uid="{00000000-0006-0000-0000-0000A5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59" authorId="0" shapeId="0" xr:uid="{00000000-0006-0000-0000-0000A6000000}">
      <text>
        <r>
          <rPr>
            <sz val="10"/>
            <color rgb="FF000000"/>
            <rFont val="Arial"/>
            <scheme val="minor"/>
          </rPr>
          <t>Updated on 05-Jun-2024 10:42 AM</t>
        </r>
      </text>
    </comment>
    <comment ref="H659" authorId="0" shapeId="0" xr:uid="{00000000-0006-0000-0000-0000A7000000}">
      <text>
        <r>
          <rPr>
            <sz val="10"/>
            <color rgb="FF000000"/>
            <rFont val="Arial"/>
            <scheme val="minor"/>
          </rPr>
          <t>Updated on 05-Jun-2024 10:42 AM</t>
        </r>
      </text>
    </comment>
    <comment ref="F660" authorId="0" shapeId="0" xr:uid="{00000000-0006-0000-0000-0000A8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0" authorId="0" shapeId="0" xr:uid="{00000000-0006-0000-0000-0000A9000000}">
      <text>
        <r>
          <rPr>
            <sz val="10"/>
            <color rgb="FF000000"/>
            <rFont val="Arial"/>
            <scheme val="minor"/>
          </rPr>
          <t>Updated on 05-Jun-2024 10:52 AM</t>
        </r>
      </text>
    </comment>
    <comment ref="H660" authorId="0" shapeId="0" xr:uid="{00000000-0006-0000-0000-0000AA000000}">
      <text>
        <r>
          <rPr>
            <sz val="10"/>
            <color rgb="FF000000"/>
            <rFont val="Arial"/>
            <scheme val="minor"/>
          </rPr>
          <t>Updated on 05-Jun-2024 10:52 AM</t>
        </r>
      </text>
    </comment>
    <comment ref="F661" authorId="0" shapeId="0" xr:uid="{00000000-0006-0000-0000-0000AB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1" authorId="0" shapeId="0" xr:uid="{00000000-0006-0000-0000-0000AC000000}">
      <text>
        <r>
          <rPr>
            <sz val="10"/>
            <color rgb="FF000000"/>
            <rFont val="Arial"/>
            <scheme val="minor"/>
          </rPr>
          <t>Updated on 05-Jun-2024 10:53 AM</t>
        </r>
      </text>
    </comment>
    <comment ref="H661" authorId="0" shapeId="0" xr:uid="{00000000-0006-0000-0000-0000AD000000}">
      <text>
        <r>
          <rPr>
            <sz val="10"/>
            <color rgb="FF000000"/>
            <rFont val="Arial"/>
            <scheme val="minor"/>
          </rPr>
          <t>Updated on 05-Jun-2024 10:53 AM</t>
        </r>
      </text>
    </comment>
    <comment ref="F662" authorId="0" shapeId="0" xr:uid="{00000000-0006-0000-0000-0000AE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2" authorId="0" shapeId="0" xr:uid="{00000000-0006-0000-0000-0000AF000000}">
      <text>
        <r>
          <rPr>
            <sz val="10"/>
            <color rgb="FF000000"/>
            <rFont val="Arial"/>
            <scheme val="minor"/>
          </rPr>
          <t>Updated on 05-Jun-2024 10:54 AM</t>
        </r>
      </text>
    </comment>
    <comment ref="H662" authorId="0" shapeId="0" xr:uid="{00000000-0006-0000-0000-0000B0000000}">
      <text>
        <r>
          <rPr>
            <sz val="10"/>
            <color rgb="FF000000"/>
            <rFont val="Arial"/>
            <scheme val="minor"/>
          </rPr>
          <t>Updated on 05-Jun-2024 10:54 AM</t>
        </r>
      </text>
    </comment>
    <comment ref="F663" authorId="0" shapeId="0" xr:uid="{00000000-0006-0000-0000-0000B1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3" authorId="0" shapeId="0" xr:uid="{00000000-0006-0000-0000-0000B2000000}">
      <text>
        <r>
          <rPr>
            <sz val="10"/>
            <color rgb="FF000000"/>
            <rFont val="Arial"/>
            <scheme val="minor"/>
          </rPr>
          <t>Updated on 05-Jun-2024 10:54 AM</t>
        </r>
      </text>
    </comment>
    <comment ref="H663" authorId="0" shapeId="0" xr:uid="{00000000-0006-0000-0000-0000B3000000}">
      <text>
        <r>
          <rPr>
            <sz val="10"/>
            <color rgb="FF000000"/>
            <rFont val="Arial"/>
            <scheme val="minor"/>
          </rPr>
          <t>Updated on 05-Jun-2024 10:54 AM</t>
        </r>
      </text>
    </comment>
    <comment ref="F664" authorId="0" shapeId="0" xr:uid="{00000000-0006-0000-0000-0000B4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4" authorId="0" shapeId="0" xr:uid="{00000000-0006-0000-0000-0000B5000000}">
      <text>
        <r>
          <rPr>
            <sz val="10"/>
            <color rgb="FF000000"/>
            <rFont val="Arial"/>
            <scheme val="minor"/>
          </rPr>
          <t>Updated on 05-Jun-2024 01:23 PM</t>
        </r>
      </text>
    </comment>
    <comment ref="H664" authorId="0" shapeId="0" xr:uid="{00000000-0006-0000-0000-0000B6000000}">
      <text>
        <r>
          <rPr>
            <sz val="10"/>
            <color rgb="FF000000"/>
            <rFont val="Arial"/>
            <scheme val="minor"/>
          </rPr>
          <t>Updated on 05-Jun-2024 01:23 PM</t>
        </r>
      </text>
    </comment>
    <comment ref="F665" authorId="0" shapeId="0" xr:uid="{00000000-0006-0000-0000-0000B7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5" authorId="0" shapeId="0" xr:uid="{00000000-0006-0000-0000-0000B8000000}">
      <text>
        <r>
          <rPr>
            <sz val="10"/>
            <color rgb="FF000000"/>
            <rFont val="Arial"/>
            <scheme val="minor"/>
          </rPr>
          <t>Updated on 05-Jun-2024 02:39 PM</t>
        </r>
      </text>
    </comment>
    <comment ref="H665" authorId="0" shapeId="0" xr:uid="{00000000-0006-0000-0000-0000B9000000}">
      <text>
        <r>
          <rPr>
            <sz val="10"/>
            <color rgb="FF000000"/>
            <rFont val="Arial"/>
            <scheme val="minor"/>
          </rPr>
          <t>Updated on 05-Jun-2024 02:39 PM</t>
        </r>
      </text>
    </comment>
    <comment ref="F666" authorId="0" shapeId="0" xr:uid="{00000000-0006-0000-0000-0000BA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6" authorId="0" shapeId="0" xr:uid="{00000000-0006-0000-0000-0000BB000000}">
      <text>
        <r>
          <rPr>
            <sz val="10"/>
            <color rgb="FF000000"/>
            <rFont val="Arial"/>
            <scheme val="minor"/>
          </rPr>
          <t>Updated on 06-Jun-2024 09:00 AM</t>
        </r>
      </text>
    </comment>
    <comment ref="H666" authorId="0" shapeId="0" xr:uid="{00000000-0006-0000-0000-0000BC000000}">
      <text>
        <r>
          <rPr>
            <sz val="10"/>
            <color rgb="FF000000"/>
            <rFont val="Arial"/>
            <scheme val="minor"/>
          </rPr>
          <t>Updated on 06-Jun-2024 09:00 AM</t>
        </r>
      </text>
    </comment>
    <comment ref="F667" authorId="0" shapeId="0" xr:uid="{00000000-0006-0000-0000-0000BD00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67" authorId="0" shapeId="0" xr:uid="{00000000-0006-0000-0000-0000BE000000}">
      <text>
        <r>
          <rPr>
            <sz val="10"/>
            <color rgb="FF000000"/>
            <rFont val="Arial"/>
            <scheme val="minor"/>
          </rPr>
          <t>Updated on 06-Jun-2024 02:32 PM</t>
        </r>
      </text>
    </comment>
    <comment ref="H667" authorId="0" shapeId="0" xr:uid="{00000000-0006-0000-0000-0000BF000000}">
      <text>
        <r>
          <rPr>
            <sz val="10"/>
            <color rgb="FF000000"/>
            <rFont val="Arial"/>
            <scheme val="minor"/>
          </rPr>
          <t>Updated on 06-Jun-2024 02:32 PM</t>
        </r>
      </text>
    </comment>
    <comment ref="F668" authorId="0" shapeId="0" xr:uid="{00000000-0006-0000-0000-0000C0000000}">
      <text>
        <r>
          <rPr>
            <sz val="10"/>
            <color rgb="FF000000"/>
            <rFont val="Arial"/>
            <scheme val="minor"/>
          </rPr>
          <t>Updated on 10-Jun-2024 08:44 AM</t>
        </r>
      </text>
    </comment>
    <comment ref="G668" authorId="0" shapeId="0" xr:uid="{00000000-0006-0000-0000-0000C1000000}">
      <text>
        <r>
          <rPr>
            <sz val="10"/>
            <color rgb="FF000000"/>
            <rFont val="Arial"/>
            <scheme val="minor"/>
          </rPr>
          <t>Updated on 10-Jun-2024 08:44 AM</t>
        </r>
      </text>
    </comment>
    <comment ref="H668" authorId="0" shapeId="0" xr:uid="{00000000-0006-0000-0000-0000C2000000}">
      <text>
        <r>
          <rPr>
            <sz val="10"/>
            <color rgb="FF000000"/>
            <rFont val="Arial"/>
            <scheme val="minor"/>
          </rPr>
          <t>Updated on 10-Jun-2024 08:44 AM</t>
        </r>
      </text>
    </comment>
    <comment ref="F669" authorId="0" shapeId="0" xr:uid="{00000000-0006-0000-0000-0000C3000000}">
      <text>
        <r>
          <rPr>
            <sz val="10"/>
            <color rgb="FF000000"/>
            <rFont val="Arial"/>
            <scheme val="minor"/>
          </rPr>
          <t>Updated on 10-Jun-2024 09:05 AM</t>
        </r>
      </text>
    </comment>
    <comment ref="G669" authorId="0" shapeId="0" xr:uid="{00000000-0006-0000-0000-0000C4000000}">
      <text>
        <r>
          <rPr>
            <sz val="10"/>
            <color rgb="FF000000"/>
            <rFont val="Arial"/>
            <scheme val="minor"/>
          </rPr>
          <t>Updated on 10-Jun-2024 09:05 AM</t>
        </r>
      </text>
    </comment>
    <comment ref="H669" authorId="0" shapeId="0" xr:uid="{00000000-0006-0000-0000-0000C5000000}">
      <text>
        <r>
          <rPr>
            <sz val="10"/>
            <color rgb="FF000000"/>
            <rFont val="Arial"/>
            <scheme val="minor"/>
          </rPr>
          <t>Updated on 10-Jun-2024 09:05 AM</t>
        </r>
      </text>
    </comment>
    <comment ref="F670" authorId="0" shapeId="0" xr:uid="{00000000-0006-0000-0000-0000C6000000}">
      <text>
        <r>
          <rPr>
            <sz val="10"/>
            <color rgb="FF000000"/>
            <rFont val="Arial"/>
            <scheme val="minor"/>
          </rPr>
          <t>Updated on 10-Jun-2024 09:06 AM</t>
        </r>
      </text>
    </comment>
    <comment ref="G670" authorId="0" shapeId="0" xr:uid="{00000000-0006-0000-0000-0000C7000000}">
      <text>
        <r>
          <rPr>
            <sz val="10"/>
            <color rgb="FF000000"/>
            <rFont val="Arial"/>
            <scheme val="minor"/>
          </rPr>
          <t>Updated on 10-Jun-2024 09:06 AM</t>
        </r>
      </text>
    </comment>
    <comment ref="H670" authorId="0" shapeId="0" xr:uid="{00000000-0006-0000-0000-0000C8000000}">
      <text>
        <r>
          <rPr>
            <sz val="10"/>
            <color rgb="FF000000"/>
            <rFont val="Arial"/>
            <scheme val="minor"/>
          </rPr>
          <t>Updated on 10-Jun-2024 09:06 AM</t>
        </r>
      </text>
    </comment>
    <comment ref="F671" authorId="0" shapeId="0" xr:uid="{00000000-0006-0000-0000-0000C9000000}">
      <text>
        <r>
          <rPr>
            <sz val="10"/>
            <color rgb="FF000000"/>
            <rFont val="Arial"/>
            <scheme val="minor"/>
          </rPr>
          <t>Updated on 10-Jun-2024 09:42 AM</t>
        </r>
      </text>
    </comment>
    <comment ref="G671" authorId="0" shapeId="0" xr:uid="{00000000-0006-0000-0000-0000CA000000}">
      <text>
        <r>
          <rPr>
            <sz val="10"/>
            <color rgb="FF000000"/>
            <rFont val="Arial"/>
            <scheme val="minor"/>
          </rPr>
          <t>Updated on 10-Jun-2024 09:42 AM</t>
        </r>
      </text>
    </comment>
    <comment ref="H671" authorId="0" shapeId="0" xr:uid="{00000000-0006-0000-0000-0000CB000000}">
      <text>
        <r>
          <rPr>
            <sz val="10"/>
            <color rgb="FF000000"/>
            <rFont val="Arial"/>
            <scheme val="minor"/>
          </rPr>
          <t>Updated on 10-Jun-2024 09:42 AM</t>
        </r>
      </text>
    </comment>
    <comment ref="F672" authorId="0" shapeId="0" xr:uid="{00000000-0006-0000-0000-0000CC000000}">
      <text>
        <r>
          <rPr>
            <sz val="10"/>
            <color rgb="FF000000"/>
            <rFont val="Arial"/>
            <scheme val="minor"/>
          </rPr>
          <t>Updated on 10-Jun-2024 09:57 AM</t>
        </r>
      </text>
    </comment>
    <comment ref="G672" authorId="0" shapeId="0" xr:uid="{00000000-0006-0000-0000-0000CD000000}">
      <text>
        <r>
          <rPr>
            <sz val="10"/>
            <color rgb="FF000000"/>
            <rFont val="Arial"/>
            <scheme val="minor"/>
          </rPr>
          <t>Updated on 10-Jun-2024 09:57 AM</t>
        </r>
      </text>
    </comment>
    <comment ref="H672" authorId="0" shapeId="0" xr:uid="{00000000-0006-0000-0000-0000CE000000}">
      <text>
        <r>
          <rPr>
            <sz val="10"/>
            <color rgb="FF000000"/>
            <rFont val="Arial"/>
            <scheme val="minor"/>
          </rPr>
          <t>Updated on 10-Jun-2024 09:57 AM</t>
        </r>
      </text>
    </comment>
    <comment ref="F673" authorId="0" shapeId="0" xr:uid="{00000000-0006-0000-0000-0000CF000000}">
      <text>
        <r>
          <rPr>
            <sz val="10"/>
            <color rgb="FF000000"/>
            <rFont val="Arial"/>
            <scheme val="minor"/>
          </rPr>
          <t>Updated on 10-Jun-2024 11:54 AM</t>
        </r>
      </text>
    </comment>
    <comment ref="G673" authorId="0" shapeId="0" xr:uid="{00000000-0006-0000-0000-0000D0000000}">
      <text>
        <r>
          <rPr>
            <sz val="10"/>
            <color rgb="FF000000"/>
            <rFont val="Arial"/>
            <scheme val="minor"/>
          </rPr>
          <t>Updated on 10-Jun-2024 11:54 AM</t>
        </r>
      </text>
    </comment>
    <comment ref="H673" authorId="0" shapeId="0" xr:uid="{00000000-0006-0000-0000-0000D1000000}">
      <text>
        <r>
          <rPr>
            <sz val="10"/>
            <color rgb="FF000000"/>
            <rFont val="Arial"/>
            <scheme val="minor"/>
          </rPr>
          <t>Updated on 10-Jun-2024 11:54 AM</t>
        </r>
      </text>
    </comment>
    <comment ref="F674" authorId="0" shapeId="0" xr:uid="{00000000-0006-0000-0000-0000D2000000}">
      <text>
        <r>
          <rPr>
            <sz val="10"/>
            <color rgb="FF000000"/>
            <rFont val="Arial"/>
            <scheme val="minor"/>
          </rPr>
          <t>Updated on 11-Jun-2024 07:09 AM</t>
        </r>
      </text>
    </comment>
    <comment ref="G674" authorId="0" shapeId="0" xr:uid="{00000000-0006-0000-0000-0000D3000000}">
      <text>
        <r>
          <rPr>
            <sz val="10"/>
            <color rgb="FF000000"/>
            <rFont val="Arial"/>
            <scheme val="minor"/>
          </rPr>
          <t>Updated on 11-Jun-2024 07:09 AM</t>
        </r>
      </text>
    </comment>
    <comment ref="H674" authorId="0" shapeId="0" xr:uid="{00000000-0006-0000-0000-0000D4000000}">
      <text>
        <r>
          <rPr>
            <sz val="10"/>
            <color rgb="FF000000"/>
            <rFont val="Arial"/>
            <scheme val="minor"/>
          </rPr>
          <t>Updated on 11-Jun-2024 07:09 AM</t>
        </r>
      </text>
    </comment>
    <comment ref="F675" authorId="0" shapeId="0" xr:uid="{00000000-0006-0000-0000-0000D5000000}">
      <text>
        <r>
          <rPr>
            <sz val="10"/>
            <color rgb="FF000000"/>
            <rFont val="Arial"/>
            <scheme val="minor"/>
          </rPr>
          <t>Updated on 11-Jun-2024 08:08 AM</t>
        </r>
      </text>
    </comment>
    <comment ref="G675" authorId="0" shapeId="0" xr:uid="{00000000-0006-0000-0000-0000D6000000}">
      <text>
        <r>
          <rPr>
            <sz val="10"/>
            <color rgb="FF000000"/>
            <rFont val="Arial"/>
            <scheme val="minor"/>
          </rPr>
          <t>Updated on 11-Jun-2024 08:08 AM</t>
        </r>
      </text>
    </comment>
    <comment ref="H675" authorId="0" shapeId="0" xr:uid="{00000000-0006-0000-0000-0000D7000000}">
      <text>
        <r>
          <rPr>
            <sz val="10"/>
            <color rgb="FF000000"/>
            <rFont val="Arial"/>
            <scheme val="minor"/>
          </rPr>
          <t>Updated on 11-Jun-2024 08:08 AM</t>
        </r>
      </text>
    </comment>
    <comment ref="F676" authorId="0" shapeId="0" xr:uid="{00000000-0006-0000-0000-0000D8000000}">
      <text>
        <r>
          <rPr>
            <sz val="10"/>
            <color rgb="FF000000"/>
            <rFont val="Arial"/>
            <scheme val="minor"/>
          </rPr>
          <t>Updated on 11-Jun-2024 08:17 AM</t>
        </r>
      </text>
    </comment>
    <comment ref="G676" authorId="0" shapeId="0" xr:uid="{00000000-0006-0000-0000-0000D9000000}">
      <text>
        <r>
          <rPr>
            <sz val="10"/>
            <color rgb="FF000000"/>
            <rFont val="Arial"/>
            <scheme val="minor"/>
          </rPr>
          <t>Updated on 11-Jun-2024 08:17 AM</t>
        </r>
      </text>
    </comment>
    <comment ref="H676" authorId="0" shapeId="0" xr:uid="{00000000-0006-0000-0000-0000DA000000}">
      <text>
        <r>
          <rPr>
            <sz val="10"/>
            <color rgb="FF000000"/>
            <rFont val="Arial"/>
            <scheme val="minor"/>
          </rPr>
          <t>Updated on 11-Jun-2024 08:17 AM</t>
        </r>
      </text>
    </comment>
    <comment ref="F677" authorId="0" shapeId="0" xr:uid="{00000000-0006-0000-0000-0000DB000000}">
      <text>
        <r>
          <rPr>
            <sz val="10"/>
            <color rgb="FF000000"/>
            <rFont val="Arial"/>
            <scheme val="minor"/>
          </rPr>
          <t>Updated on 11-Jun-2024 08:22 AM</t>
        </r>
      </text>
    </comment>
    <comment ref="G677" authorId="0" shapeId="0" xr:uid="{00000000-0006-0000-0000-0000DC000000}">
      <text>
        <r>
          <rPr>
            <sz val="10"/>
            <color rgb="FF000000"/>
            <rFont val="Arial"/>
            <scheme val="minor"/>
          </rPr>
          <t>Updated on 11-Jun-2024 08:22 AM</t>
        </r>
      </text>
    </comment>
    <comment ref="H677" authorId="0" shapeId="0" xr:uid="{00000000-0006-0000-0000-0000DD000000}">
      <text>
        <r>
          <rPr>
            <sz val="10"/>
            <color rgb="FF000000"/>
            <rFont val="Arial"/>
            <scheme val="minor"/>
          </rPr>
          <t>Updated on 11-Jun-2024 08:22 AM</t>
        </r>
      </text>
    </comment>
    <comment ref="F678" authorId="0" shapeId="0" xr:uid="{00000000-0006-0000-0000-0000DE000000}">
      <text>
        <r>
          <rPr>
            <sz val="10"/>
            <color rgb="FF000000"/>
            <rFont val="Arial"/>
            <scheme val="minor"/>
          </rPr>
          <t>Updated on 11-Jun-2024 08:27 AM</t>
        </r>
      </text>
    </comment>
    <comment ref="G678" authorId="0" shapeId="0" xr:uid="{00000000-0006-0000-0000-0000DF000000}">
      <text>
        <r>
          <rPr>
            <sz val="10"/>
            <color rgb="FF000000"/>
            <rFont val="Arial"/>
            <scheme val="minor"/>
          </rPr>
          <t>Updated on 11-Jun-2024 08:27 AM</t>
        </r>
      </text>
    </comment>
    <comment ref="H678" authorId="0" shapeId="0" xr:uid="{00000000-0006-0000-0000-0000E0000000}">
      <text>
        <r>
          <rPr>
            <sz val="10"/>
            <color rgb="FF000000"/>
            <rFont val="Arial"/>
            <scheme val="minor"/>
          </rPr>
          <t>Updated on 11-Jun-2024 08:27 AM</t>
        </r>
      </text>
    </comment>
    <comment ref="F679" authorId="0" shapeId="0" xr:uid="{00000000-0006-0000-0000-0000E1000000}">
      <text>
        <r>
          <rPr>
            <sz val="10"/>
            <color rgb="FF000000"/>
            <rFont val="Arial"/>
            <scheme val="minor"/>
          </rPr>
          <t>Updated on 11-Jun-2024 08:49 AM</t>
        </r>
      </text>
    </comment>
    <comment ref="G679" authorId="0" shapeId="0" xr:uid="{00000000-0006-0000-0000-0000E2000000}">
      <text>
        <r>
          <rPr>
            <sz val="10"/>
            <color rgb="FF000000"/>
            <rFont val="Arial"/>
            <scheme val="minor"/>
          </rPr>
          <t>Updated on 11-Jun-2024 08:49 AM</t>
        </r>
      </text>
    </comment>
    <comment ref="H679" authorId="0" shapeId="0" xr:uid="{00000000-0006-0000-0000-0000E3000000}">
      <text>
        <r>
          <rPr>
            <sz val="10"/>
            <color rgb="FF000000"/>
            <rFont val="Arial"/>
            <scheme val="minor"/>
          </rPr>
          <t>Updated on 11-Jun-2024 08:49 AM</t>
        </r>
      </text>
    </comment>
    <comment ref="F680" authorId="0" shapeId="0" xr:uid="{00000000-0006-0000-0000-0000E4000000}">
      <text>
        <r>
          <rPr>
            <sz val="10"/>
            <color rgb="FF000000"/>
            <rFont val="Arial"/>
            <scheme val="minor"/>
          </rPr>
          <t>Updated on 11-Jun-2024 10:02 AM</t>
        </r>
      </text>
    </comment>
    <comment ref="G680" authorId="0" shapeId="0" xr:uid="{00000000-0006-0000-0000-0000E5000000}">
      <text>
        <r>
          <rPr>
            <sz val="10"/>
            <color rgb="FF000000"/>
            <rFont val="Arial"/>
            <scheme val="minor"/>
          </rPr>
          <t>Updated on 11-Jun-2024 10:02 AM</t>
        </r>
      </text>
    </comment>
    <comment ref="H680" authorId="0" shapeId="0" xr:uid="{00000000-0006-0000-0000-0000E6000000}">
      <text>
        <r>
          <rPr>
            <sz val="10"/>
            <color rgb="FF000000"/>
            <rFont val="Arial"/>
            <scheme val="minor"/>
          </rPr>
          <t>Updated on 11-Jun-2024 10:02 AM</t>
        </r>
      </text>
    </comment>
    <comment ref="F681" authorId="0" shapeId="0" xr:uid="{00000000-0006-0000-0000-0000E7000000}">
      <text>
        <r>
          <rPr>
            <sz val="10"/>
            <color rgb="FF000000"/>
            <rFont val="Arial"/>
            <scheme val="minor"/>
          </rPr>
          <t>Updated on 11-Jun-2024 03:39 PM</t>
        </r>
      </text>
    </comment>
    <comment ref="G681" authorId="0" shapeId="0" xr:uid="{00000000-0006-0000-0000-0000E8000000}">
      <text>
        <r>
          <rPr>
            <sz val="10"/>
            <color rgb="FF000000"/>
            <rFont val="Arial"/>
            <scheme val="minor"/>
          </rPr>
          <t>Updated on 11-Jun-2024 03:39 PM</t>
        </r>
      </text>
    </comment>
    <comment ref="H681" authorId="0" shapeId="0" xr:uid="{00000000-0006-0000-0000-0000E9000000}">
      <text>
        <r>
          <rPr>
            <sz val="10"/>
            <color rgb="FF000000"/>
            <rFont val="Arial"/>
            <scheme val="minor"/>
          </rPr>
          <t>Updated on 11-Jun-2024 03:39 PM</t>
        </r>
      </text>
    </comment>
    <comment ref="F682" authorId="0" shapeId="0" xr:uid="{00000000-0006-0000-0000-0000EA000000}">
      <text>
        <r>
          <rPr>
            <sz val="10"/>
            <color rgb="FF000000"/>
            <rFont val="Arial"/>
            <scheme val="minor"/>
          </rPr>
          <t>Updated on 12-Jun-2024 02:04 PM</t>
        </r>
      </text>
    </comment>
    <comment ref="G682" authorId="0" shapeId="0" xr:uid="{00000000-0006-0000-0000-0000EB000000}">
      <text>
        <r>
          <rPr>
            <sz val="10"/>
            <color rgb="FF000000"/>
            <rFont val="Arial"/>
            <scheme val="minor"/>
          </rPr>
          <t>Updated on 12-Jun-2024 02:04 PM</t>
        </r>
      </text>
    </comment>
    <comment ref="H682" authorId="0" shapeId="0" xr:uid="{00000000-0006-0000-0000-0000EC000000}">
      <text>
        <r>
          <rPr>
            <sz val="10"/>
            <color rgb="FF000000"/>
            <rFont val="Arial"/>
            <scheme val="minor"/>
          </rPr>
          <t>Updated on 12-Jun-2024 02:04 PM</t>
        </r>
      </text>
    </comment>
    <comment ref="F683" authorId="0" shapeId="0" xr:uid="{00000000-0006-0000-0000-0000ED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G683" authorId="0" shapeId="0" xr:uid="{00000000-0006-0000-0000-0000EE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H683" authorId="0" shapeId="0" xr:uid="{00000000-0006-0000-0000-0000EF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F684" authorId="0" shapeId="0" xr:uid="{00000000-0006-0000-0000-0000F0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G684" authorId="0" shapeId="0" xr:uid="{00000000-0006-0000-0000-0000F1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H684" authorId="0" shapeId="0" xr:uid="{00000000-0006-0000-0000-0000F2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F685" authorId="0" shapeId="0" xr:uid="{00000000-0006-0000-0000-0000F3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G685" authorId="0" shapeId="0" xr:uid="{00000000-0006-0000-0000-0000F4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H685" authorId="0" shapeId="0" xr:uid="{00000000-0006-0000-0000-0000F5000000}">
      <text>
        <r>
          <rPr>
            <sz val="10"/>
            <color rgb="FF000000"/>
            <rFont val="Arial"/>
            <scheme val="minor"/>
          </rPr>
          <t>Updated on 12-Jun-2024 02:10 PM</t>
        </r>
      </text>
    </comment>
    <comment ref="F686" authorId="0" shapeId="0" xr:uid="{00000000-0006-0000-0000-0000F6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G686" authorId="0" shapeId="0" xr:uid="{00000000-0006-0000-0000-0000F7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H686" authorId="0" shapeId="0" xr:uid="{00000000-0006-0000-0000-0000F8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F687" authorId="0" shapeId="0" xr:uid="{00000000-0006-0000-0000-0000F9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G687" authorId="0" shapeId="0" xr:uid="{00000000-0006-0000-0000-0000FA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H687" authorId="0" shapeId="0" xr:uid="{00000000-0006-0000-0000-0000FB000000}">
      <text>
        <r>
          <rPr>
            <sz val="10"/>
            <color rgb="FF000000"/>
            <rFont val="Arial"/>
            <scheme val="minor"/>
          </rPr>
          <t>Updated on 12-Jun-2024 02:11 PM</t>
        </r>
      </text>
    </comment>
    <comment ref="F688" authorId="0" shapeId="0" xr:uid="{00000000-0006-0000-0000-0000FC000000}">
      <text>
        <r>
          <rPr>
            <sz val="10"/>
            <color rgb="FF000000"/>
            <rFont val="Arial"/>
            <scheme val="minor"/>
          </rPr>
          <t>Updated on 12-Jun-2024 02:14 PM</t>
        </r>
      </text>
    </comment>
    <comment ref="G688" authorId="0" shapeId="0" xr:uid="{00000000-0006-0000-0000-0000FD000000}">
      <text>
        <r>
          <rPr>
            <sz val="10"/>
            <color rgb="FF000000"/>
            <rFont val="Arial"/>
            <scheme val="minor"/>
          </rPr>
          <t>Updated on 12-Jun-2024 02:14 PM</t>
        </r>
      </text>
    </comment>
    <comment ref="H688" authorId="0" shapeId="0" xr:uid="{00000000-0006-0000-0000-0000FE000000}">
      <text>
        <r>
          <rPr>
            <sz val="10"/>
            <color rgb="FF000000"/>
            <rFont val="Arial"/>
            <scheme val="minor"/>
          </rPr>
          <t>Updated on 12-Jun-2024 02:14 PM</t>
        </r>
      </text>
    </comment>
    <comment ref="F689" authorId="0" shapeId="0" xr:uid="{00000000-0006-0000-0000-0000FF000000}">
      <text>
        <r>
          <rPr>
            <sz val="10"/>
            <color rgb="FF000000"/>
            <rFont val="Arial"/>
            <scheme val="minor"/>
          </rPr>
          <t>Updated on 12-Jun-2024 02:14 PM</t>
        </r>
      </text>
    </comment>
    <comment ref="G689" authorId="0" shapeId="0" xr:uid="{00000000-0006-0000-0000-000000010000}">
      <text>
        <r>
          <rPr>
            <sz val="10"/>
            <color rgb="FF000000"/>
            <rFont val="Arial"/>
            <scheme val="minor"/>
          </rPr>
          <t>Updated on 12-Jun-2024 02:14 PM</t>
        </r>
      </text>
    </comment>
    <comment ref="H689" authorId="0" shapeId="0" xr:uid="{00000000-0006-0000-0000-000001010000}">
      <text>
        <r>
          <rPr>
            <sz val="10"/>
            <color rgb="FF000000"/>
            <rFont val="Arial"/>
            <scheme val="minor"/>
          </rPr>
          <t>Updated on 12-Jun-2024 02:14 PM</t>
        </r>
      </text>
    </comment>
    <comment ref="F690" authorId="0" shapeId="0" xr:uid="{00000000-0006-0000-0000-000002010000}">
      <text>
        <r>
          <rPr>
            <sz val="10"/>
            <color rgb="FF000000"/>
            <rFont val="Arial"/>
            <scheme val="minor"/>
          </rPr>
          <t>Updated on 12-Jun-2024 02:15 PM</t>
        </r>
      </text>
    </comment>
    <comment ref="G690" authorId="0" shapeId="0" xr:uid="{00000000-0006-0000-0000-000003010000}">
      <text>
        <r>
          <rPr>
            <sz val="10"/>
            <color rgb="FF000000"/>
            <rFont val="Arial"/>
            <scheme val="minor"/>
          </rPr>
          <t>Updated on 12-Jun-2024 02:15 PM</t>
        </r>
      </text>
    </comment>
    <comment ref="H690" authorId="0" shapeId="0" xr:uid="{00000000-0006-0000-0000-000004010000}">
      <text>
        <r>
          <rPr>
            <sz val="10"/>
            <color rgb="FF000000"/>
            <rFont val="Arial"/>
            <scheme val="minor"/>
          </rPr>
          <t>Updated on 12-Jun-2024 02:15 PM</t>
        </r>
      </text>
    </comment>
    <comment ref="F691" authorId="0" shapeId="0" xr:uid="{00000000-0006-0000-0000-000005010000}">
      <text>
        <r>
          <rPr>
            <sz val="10"/>
            <color rgb="FF000000"/>
            <rFont val="Arial"/>
            <scheme val="minor"/>
          </rPr>
          <t>Updated on 12-Jun-2024 02:16 PM</t>
        </r>
      </text>
    </comment>
    <comment ref="G691" authorId="0" shapeId="0" xr:uid="{00000000-0006-0000-0000-000006010000}">
      <text>
        <r>
          <rPr>
            <sz val="10"/>
            <color rgb="FF000000"/>
            <rFont val="Arial"/>
            <scheme val="minor"/>
          </rPr>
          <t>Updated on 12-Jun-2024 02:16 PM</t>
        </r>
      </text>
    </comment>
    <comment ref="H691" authorId="0" shapeId="0" xr:uid="{00000000-0006-0000-0000-000007010000}">
      <text>
        <r>
          <rPr>
            <sz val="10"/>
            <color rgb="FF000000"/>
            <rFont val="Arial"/>
            <scheme val="minor"/>
          </rPr>
          <t>Updated on 12-Jun-2024 02:16 PM</t>
        </r>
      </text>
    </comment>
    <comment ref="F692" authorId="0" shapeId="0" xr:uid="{00000000-0006-0000-0000-000008010000}">
      <text>
        <r>
          <rPr>
            <sz val="10"/>
            <color rgb="FF000000"/>
            <rFont val="Arial"/>
            <scheme val="minor"/>
          </rPr>
          <t>Updated on 12-Jun-2024 02:18 PM</t>
        </r>
      </text>
    </comment>
    <comment ref="G692" authorId="0" shapeId="0" xr:uid="{00000000-0006-0000-0000-000009010000}">
      <text>
        <r>
          <rPr>
            <sz val="10"/>
            <color rgb="FF000000"/>
            <rFont val="Arial"/>
            <scheme val="minor"/>
          </rPr>
          <t>Updated on 12-Jun-2024 02:18 PM</t>
        </r>
      </text>
    </comment>
    <comment ref="H692" authorId="0" shapeId="0" xr:uid="{00000000-0006-0000-0000-00000A010000}">
      <text>
        <r>
          <rPr>
            <sz val="10"/>
            <color rgb="FF000000"/>
            <rFont val="Arial"/>
            <scheme val="minor"/>
          </rPr>
          <t>Updated on 12-Jun-2024 02:18 PM</t>
        </r>
      </text>
    </comment>
    <comment ref="F693" authorId="0" shapeId="0" xr:uid="{00000000-0006-0000-0000-00000B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3" authorId="0" shapeId="0" xr:uid="{00000000-0006-0000-0000-00000C010000}">
      <text>
        <r>
          <rPr>
            <sz val="10"/>
            <color rgb="FF000000"/>
            <rFont val="Arial"/>
            <scheme val="minor"/>
          </rPr>
          <t>Updated on 12-Jun-2024 02:19 PM</t>
        </r>
      </text>
    </comment>
    <comment ref="H693" authorId="0" shapeId="0" xr:uid="{00000000-0006-0000-0000-00000D010000}">
      <text>
        <r>
          <rPr>
            <sz val="10"/>
            <color rgb="FF000000"/>
            <rFont val="Arial"/>
            <scheme val="minor"/>
          </rPr>
          <t>Updated on 12-Jun-2024 02:19 PM</t>
        </r>
      </text>
    </comment>
    <comment ref="F694" authorId="0" shapeId="0" xr:uid="{00000000-0006-0000-0000-00000E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4" authorId="0" shapeId="0" xr:uid="{00000000-0006-0000-0000-00000F010000}">
      <text>
        <r>
          <rPr>
            <sz val="10"/>
            <color rgb="FF000000"/>
            <rFont val="Arial"/>
            <scheme val="minor"/>
          </rPr>
          <t>Updated on 12-Jun-2024 02:19 PM</t>
        </r>
      </text>
    </comment>
    <comment ref="H694" authorId="0" shapeId="0" xr:uid="{00000000-0006-0000-0000-000010010000}">
      <text>
        <r>
          <rPr>
            <sz val="10"/>
            <color rgb="FF000000"/>
            <rFont val="Arial"/>
            <scheme val="minor"/>
          </rPr>
          <t>Updated on 12-Jun-2024 02:19 PM</t>
        </r>
      </text>
    </comment>
    <comment ref="F695" authorId="0" shapeId="0" xr:uid="{00000000-0006-0000-0000-000011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5" authorId="0" shapeId="0" xr:uid="{00000000-0006-0000-0000-000012010000}">
      <text>
        <r>
          <rPr>
            <sz val="10"/>
            <color rgb="FF000000"/>
            <rFont val="Arial"/>
            <scheme val="minor"/>
          </rPr>
          <t>Updated on 12-Jun-2024 02:22 PM</t>
        </r>
      </text>
    </comment>
    <comment ref="H695" authorId="0" shapeId="0" xr:uid="{00000000-0006-0000-0000-000013010000}">
      <text>
        <r>
          <rPr>
            <sz val="10"/>
            <color rgb="FF000000"/>
            <rFont val="Arial"/>
            <scheme val="minor"/>
          </rPr>
          <t>Updated on 12-Jun-2024 02:22 PM</t>
        </r>
      </text>
    </comment>
    <comment ref="F696" authorId="0" shapeId="0" xr:uid="{00000000-0006-0000-0000-000014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6" authorId="0" shapeId="0" xr:uid="{00000000-0006-0000-0000-000015010000}">
      <text>
        <r>
          <rPr>
            <sz val="10"/>
            <color rgb="FF000000"/>
            <rFont val="Arial"/>
            <scheme val="minor"/>
          </rPr>
          <t>Updated on 12-Jun-2024 02:23 PM</t>
        </r>
      </text>
    </comment>
    <comment ref="H696" authorId="0" shapeId="0" xr:uid="{00000000-0006-0000-0000-000016010000}">
      <text>
        <r>
          <rPr>
            <sz val="10"/>
            <color rgb="FF000000"/>
            <rFont val="Arial"/>
            <scheme val="minor"/>
          </rPr>
          <t>Updated on 12-Jun-2024 02:23 PM</t>
        </r>
      </text>
    </comment>
    <comment ref="F697" authorId="0" shapeId="0" xr:uid="{00000000-0006-0000-0000-000017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7" authorId="0" shapeId="0" xr:uid="{00000000-0006-0000-0000-000018010000}">
      <text>
        <r>
          <rPr>
            <sz val="10"/>
            <color rgb="FF000000"/>
            <rFont val="Arial"/>
            <scheme val="minor"/>
          </rPr>
          <t>Updated on 12-Jun-2024 02:35 PM</t>
        </r>
      </text>
    </comment>
    <comment ref="H697" authorId="0" shapeId="0" xr:uid="{00000000-0006-0000-0000-000019010000}">
      <text>
        <r>
          <rPr>
            <sz val="10"/>
            <color rgb="FF000000"/>
            <rFont val="Arial"/>
            <scheme val="minor"/>
          </rPr>
          <t>Updated on 12-Jun-2024 02:35 PM</t>
        </r>
      </text>
    </comment>
    <comment ref="F698" authorId="0" shapeId="0" xr:uid="{00000000-0006-0000-0000-00001A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8" authorId="0" shapeId="0" xr:uid="{00000000-0006-0000-0000-00001B010000}">
      <text>
        <r>
          <rPr>
            <sz val="10"/>
            <color rgb="FF000000"/>
            <rFont val="Arial"/>
            <scheme val="minor"/>
          </rPr>
          <t>Updated on 12-Jun-2024 02:51 PM</t>
        </r>
      </text>
    </comment>
    <comment ref="H698" authorId="0" shapeId="0" xr:uid="{00000000-0006-0000-0000-00001C010000}">
      <text>
        <r>
          <rPr>
            <sz val="10"/>
            <color rgb="FF000000"/>
            <rFont val="Arial"/>
            <scheme val="minor"/>
          </rPr>
          <t>Updated on 12-Jun-2024 02:51 PM</t>
        </r>
      </text>
    </comment>
    <comment ref="F699" authorId="0" shapeId="0" xr:uid="{00000000-0006-0000-0000-00001D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699" authorId="0" shapeId="0" xr:uid="{00000000-0006-0000-0000-00001E010000}">
      <text>
        <r>
          <rPr>
            <sz val="10"/>
            <color rgb="FF000000"/>
            <rFont val="Arial"/>
            <scheme val="minor"/>
          </rPr>
          <t>Updated on 12-Jun-2024 03:18 PM</t>
        </r>
      </text>
    </comment>
    <comment ref="H699" authorId="0" shapeId="0" xr:uid="{00000000-0006-0000-0000-00001F010000}">
      <text>
        <r>
          <rPr>
            <sz val="10"/>
            <color rgb="FF000000"/>
            <rFont val="Arial"/>
            <scheme val="minor"/>
          </rPr>
          <t>Updated on 12-Jun-2024 03:18 PM</t>
        </r>
      </text>
    </comment>
    <comment ref="F700" authorId="0" shapeId="0" xr:uid="{00000000-0006-0000-0000-000020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700" authorId="0" shapeId="0" xr:uid="{00000000-0006-0000-0000-000021010000}">
      <text>
        <r>
          <rPr>
            <sz val="10"/>
            <color rgb="FF000000"/>
            <rFont val="Arial"/>
            <scheme val="minor"/>
          </rPr>
          <t>Updated on 12-Jun-2024 03:24 PM</t>
        </r>
      </text>
    </comment>
    <comment ref="H700" authorId="0" shapeId="0" xr:uid="{00000000-0006-0000-0000-000022010000}">
      <text>
        <r>
          <rPr>
            <sz val="10"/>
            <color rgb="FF000000"/>
            <rFont val="Arial"/>
            <scheme val="minor"/>
          </rPr>
          <t>Updated on 12-Jun-2024 03:24 PM</t>
        </r>
      </text>
    </comment>
    <comment ref="F701" authorId="0" shapeId="0" xr:uid="{00000000-0006-0000-0000-000023010000}">
      <text>
        <r>
          <rPr>
            <sz val="10"/>
            <color rgb="FF000000"/>
            <rFont val="Arial"/>
            <scheme val="minor"/>
          </rPr>
          <t>Updated on 17-Mar-2025 09:23 AM by bpsdemak3321@gmail.com</t>
        </r>
      </text>
    </comment>
    <comment ref="G701" authorId="0" shapeId="0" xr:uid="{00000000-0006-0000-0000-000024010000}">
      <text>
        <r>
          <rPr>
            <sz val="10"/>
            <color rgb="FF000000"/>
            <rFont val="Arial"/>
            <scheme val="minor"/>
          </rPr>
          <t>Updated on 12-Jun-2024 03:33 PM</t>
        </r>
      </text>
    </comment>
    <comment ref="H701" authorId="0" shapeId="0" xr:uid="{00000000-0006-0000-0000-000025010000}">
      <text>
        <r>
          <rPr>
            <sz val="10"/>
            <color rgb="FF000000"/>
            <rFont val="Arial"/>
            <scheme val="minor"/>
          </rPr>
          <t>Updated on 12-Jun-2024 03:33 PM</t>
        </r>
      </text>
    </comment>
    <comment ref="F702" authorId="0" shapeId="0" xr:uid="{00000000-0006-0000-0000-000026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02" authorId="0" shapeId="0" xr:uid="{00000000-0006-0000-0000-000027010000}">
      <text>
        <r>
          <rPr>
            <sz val="10"/>
            <color rgb="FF000000"/>
            <rFont val="Arial"/>
            <scheme val="minor"/>
          </rPr>
          <t>Updated on 13-Jun-2024 08:52 AM</t>
        </r>
      </text>
    </comment>
    <comment ref="H702" authorId="0" shapeId="0" xr:uid="{00000000-0006-0000-0000-000028010000}">
      <text>
        <r>
          <rPr>
            <sz val="10"/>
            <color rgb="FF000000"/>
            <rFont val="Arial"/>
            <scheme val="minor"/>
          </rPr>
          <t>Updated on 13-Jun-2024 08:52 AM</t>
        </r>
      </text>
    </comment>
    <comment ref="F703" authorId="0" shapeId="0" xr:uid="{00000000-0006-0000-0000-000029010000}">
      <text>
        <r>
          <rPr>
            <sz val="10"/>
            <color rgb="FF000000"/>
            <rFont val="Arial"/>
            <scheme val="minor"/>
          </rPr>
          <t>Updated on 03-Jul-2024 07:55 AM</t>
        </r>
      </text>
    </comment>
    <comment ref="G703" authorId="0" shapeId="0" xr:uid="{00000000-0006-0000-0000-00002A010000}">
      <text>
        <r>
          <rPr>
            <sz val="10"/>
            <color rgb="FF000000"/>
            <rFont val="Arial"/>
            <scheme val="minor"/>
          </rPr>
          <t>Updated on 03-Jul-2024 07:55 AM</t>
        </r>
      </text>
    </comment>
    <comment ref="H703" authorId="0" shapeId="0" xr:uid="{00000000-0006-0000-0000-00002B010000}">
      <text>
        <r>
          <rPr>
            <sz val="10"/>
            <color rgb="FF000000"/>
            <rFont val="Arial"/>
            <scheme val="minor"/>
          </rPr>
          <t>Updated on 03-Jul-2024 07:55 AM</t>
        </r>
      </text>
    </comment>
    <comment ref="F704" authorId="0" shapeId="0" xr:uid="{00000000-0006-0000-0000-00002C010000}">
      <text>
        <r>
          <rPr>
            <sz val="10"/>
            <color rgb="FF000000"/>
            <rFont val="Arial"/>
            <scheme val="minor"/>
          </rPr>
          <t>Updated on 03-Jul-2024 07:55 AM</t>
        </r>
      </text>
    </comment>
    <comment ref="G704" authorId="0" shapeId="0" xr:uid="{00000000-0006-0000-0000-00002D010000}">
      <text>
        <r>
          <rPr>
            <sz val="10"/>
            <color rgb="FF000000"/>
            <rFont val="Arial"/>
            <scheme val="minor"/>
          </rPr>
          <t>Updated on 03-Jul-2024 07:55 AM</t>
        </r>
      </text>
    </comment>
    <comment ref="H704" authorId="0" shapeId="0" xr:uid="{00000000-0006-0000-0000-00002E010000}">
      <text>
        <r>
          <rPr>
            <sz val="10"/>
            <color rgb="FF000000"/>
            <rFont val="Arial"/>
            <scheme val="minor"/>
          </rPr>
          <t>Updated on 03-Jul-2024 07:55 AM</t>
        </r>
      </text>
    </comment>
    <comment ref="F705" authorId="0" shapeId="0" xr:uid="{00000000-0006-0000-0000-00002F010000}">
      <text>
        <r>
          <rPr>
            <sz val="10"/>
            <color rgb="FF000000"/>
            <rFont val="Arial"/>
            <scheme val="minor"/>
          </rPr>
          <t>Updated on 03-Jul-2024 07:56 AM</t>
        </r>
      </text>
    </comment>
    <comment ref="G705" authorId="0" shapeId="0" xr:uid="{00000000-0006-0000-0000-000030010000}">
      <text>
        <r>
          <rPr>
            <sz val="10"/>
            <color rgb="FF000000"/>
            <rFont val="Arial"/>
            <scheme val="minor"/>
          </rPr>
          <t>Updated on 03-Jul-2024 07:56 AM</t>
        </r>
      </text>
    </comment>
    <comment ref="H705" authorId="0" shapeId="0" xr:uid="{00000000-0006-0000-0000-000031010000}">
      <text>
        <r>
          <rPr>
            <sz val="10"/>
            <color rgb="FF000000"/>
            <rFont val="Arial"/>
            <scheme val="minor"/>
          </rPr>
          <t>Updated on 03-Jul-2024 07:56 AM</t>
        </r>
      </text>
    </comment>
    <comment ref="F706" authorId="0" shapeId="0" xr:uid="{00000000-0006-0000-0000-000032010000}">
      <text>
        <r>
          <rPr>
            <sz val="10"/>
            <color rgb="FF000000"/>
            <rFont val="Arial"/>
            <scheme val="minor"/>
          </rPr>
          <t>Updated on 04-Jul-2024 07:25 AM</t>
        </r>
      </text>
    </comment>
    <comment ref="G706" authorId="0" shapeId="0" xr:uid="{00000000-0006-0000-0000-000033010000}">
      <text>
        <r>
          <rPr>
            <sz val="10"/>
            <color rgb="FF000000"/>
            <rFont val="Arial"/>
            <scheme val="minor"/>
          </rPr>
          <t>Updated on 04-Jul-2024 07:25 AM</t>
        </r>
      </text>
    </comment>
    <comment ref="H706" authorId="0" shapeId="0" xr:uid="{00000000-0006-0000-0000-000034010000}">
      <text>
        <r>
          <rPr>
            <sz val="10"/>
            <color rgb="FF000000"/>
            <rFont val="Arial"/>
            <scheme val="minor"/>
          </rPr>
          <t>Updated on 04-Jul-2024 07:25 AM</t>
        </r>
      </text>
    </comment>
    <comment ref="F707" authorId="0" shapeId="0" xr:uid="{00000000-0006-0000-0000-000035010000}">
      <text>
        <r>
          <rPr>
            <sz val="10"/>
            <color rgb="FF000000"/>
            <rFont val="Arial"/>
            <scheme val="minor"/>
          </rPr>
          <t>Updated on 08-Jul-2024 08:23 AM</t>
        </r>
      </text>
    </comment>
    <comment ref="G707" authorId="0" shapeId="0" xr:uid="{00000000-0006-0000-0000-000036010000}">
      <text>
        <r>
          <rPr>
            <sz val="10"/>
            <color rgb="FF000000"/>
            <rFont val="Arial"/>
            <scheme val="minor"/>
          </rPr>
          <t>Updated on 08-Jul-2024 08:23 AM</t>
        </r>
      </text>
    </comment>
    <comment ref="H707" authorId="0" shapeId="0" xr:uid="{00000000-0006-0000-0000-000037010000}">
      <text>
        <r>
          <rPr>
            <sz val="10"/>
            <color rgb="FF000000"/>
            <rFont val="Arial"/>
            <scheme val="minor"/>
          </rPr>
          <t>Updated on 08-Jul-2024 08:23 AM</t>
        </r>
      </text>
    </comment>
    <comment ref="F708" authorId="0" shapeId="0" xr:uid="{00000000-0006-0000-0000-000038010000}">
      <text>
        <r>
          <rPr>
            <sz val="10"/>
            <color rgb="FF000000"/>
            <rFont val="Arial"/>
            <scheme val="minor"/>
          </rPr>
          <t>Updated on 08-Jul-2024 09:44 AM</t>
        </r>
      </text>
    </comment>
    <comment ref="G708" authorId="0" shapeId="0" xr:uid="{00000000-0006-0000-0000-000039010000}">
      <text>
        <r>
          <rPr>
            <sz val="10"/>
            <color rgb="FF000000"/>
            <rFont val="Arial"/>
            <scheme val="minor"/>
          </rPr>
          <t>Updated on 08-Jul-2024 09:44 AM</t>
        </r>
      </text>
    </comment>
    <comment ref="H708" authorId="0" shapeId="0" xr:uid="{00000000-0006-0000-0000-00003A010000}">
      <text>
        <r>
          <rPr>
            <sz val="10"/>
            <color rgb="FF000000"/>
            <rFont val="Arial"/>
            <scheme val="minor"/>
          </rPr>
          <t>Updated on 08-Jul-2024 09:44 AM</t>
        </r>
      </text>
    </comment>
    <comment ref="F709" authorId="0" shapeId="0" xr:uid="{00000000-0006-0000-0000-00003B010000}">
      <text>
        <r>
          <rPr>
            <sz val="10"/>
            <color rgb="FF000000"/>
            <rFont val="Arial"/>
            <scheme val="minor"/>
          </rPr>
          <t>Updated on 08-Jul-2024 09:47 AM</t>
        </r>
      </text>
    </comment>
    <comment ref="G709" authorId="0" shapeId="0" xr:uid="{00000000-0006-0000-0000-00003C010000}">
      <text>
        <r>
          <rPr>
            <sz val="10"/>
            <color rgb="FF000000"/>
            <rFont val="Arial"/>
            <scheme val="minor"/>
          </rPr>
          <t>Updated on 08-Jul-2024 09:47 AM</t>
        </r>
      </text>
    </comment>
    <comment ref="H709" authorId="0" shapeId="0" xr:uid="{00000000-0006-0000-0000-00003D010000}">
      <text>
        <r>
          <rPr>
            <sz val="10"/>
            <color rgb="FF000000"/>
            <rFont val="Arial"/>
            <scheme val="minor"/>
          </rPr>
          <t>Updated on 08-Jul-2024 09:47 AM</t>
        </r>
      </text>
    </comment>
    <comment ref="F710" authorId="0" shapeId="0" xr:uid="{00000000-0006-0000-0000-00003E010000}">
      <text>
        <r>
          <rPr>
            <sz val="10"/>
            <color rgb="FF000000"/>
            <rFont val="Arial"/>
            <scheme val="minor"/>
          </rPr>
          <t>Updated on 08-Jul-2024 10:09 AM</t>
        </r>
      </text>
    </comment>
    <comment ref="G710" authorId="0" shapeId="0" xr:uid="{00000000-0006-0000-0000-00003F010000}">
      <text>
        <r>
          <rPr>
            <sz val="10"/>
            <color rgb="FF000000"/>
            <rFont val="Arial"/>
            <scheme val="minor"/>
          </rPr>
          <t>Updated on 08-Jul-2024 10:09 AM</t>
        </r>
      </text>
    </comment>
    <comment ref="H710" authorId="0" shapeId="0" xr:uid="{00000000-0006-0000-0000-000040010000}">
      <text>
        <r>
          <rPr>
            <sz val="10"/>
            <color rgb="FF000000"/>
            <rFont val="Arial"/>
            <scheme val="minor"/>
          </rPr>
          <t>Updated on 08-Jul-2024 10:09 AM</t>
        </r>
      </text>
    </comment>
    <comment ref="F711" authorId="0" shapeId="0" xr:uid="{00000000-0006-0000-0000-000041010000}">
      <text>
        <r>
          <rPr>
            <sz val="10"/>
            <color rgb="FF000000"/>
            <rFont val="Arial"/>
            <scheme val="minor"/>
          </rPr>
          <t>Updated on 08-Jul-2024 10:42 AM</t>
        </r>
      </text>
    </comment>
    <comment ref="G711" authorId="0" shapeId="0" xr:uid="{00000000-0006-0000-0000-000042010000}">
      <text>
        <r>
          <rPr>
            <sz val="10"/>
            <color rgb="FF000000"/>
            <rFont val="Arial"/>
            <scheme val="minor"/>
          </rPr>
          <t>Updated on 08-Jul-2024 10:42 AM</t>
        </r>
      </text>
    </comment>
    <comment ref="H711" authorId="0" shapeId="0" xr:uid="{00000000-0006-0000-0000-000043010000}">
      <text>
        <r>
          <rPr>
            <sz val="10"/>
            <color rgb="FF000000"/>
            <rFont val="Arial"/>
            <scheme val="minor"/>
          </rPr>
          <t>Updated on 08-Jul-2024 10:42 AM</t>
        </r>
      </text>
    </comment>
    <comment ref="F712" authorId="0" shapeId="0" xr:uid="{00000000-0006-0000-0000-000044010000}">
      <text>
        <r>
          <rPr>
            <sz val="10"/>
            <color rgb="FF000000"/>
            <rFont val="Arial"/>
            <scheme val="minor"/>
          </rPr>
          <t>Updated on 08-Jul-2024 10:43 AM</t>
        </r>
      </text>
    </comment>
    <comment ref="G712" authorId="0" shapeId="0" xr:uid="{00000000-0006-0000-0000-000045010000}">
      <text>
        <r>
          <rPr>
            <sz val="10"/>
            <color rgb="FF000000"/>
            <rFont val="Arial"/>
            <scheme val="minor"/>
          </rPr>
          <t>Updated on 08-Jul-2024 10:43 AM</t>
        </r>
      </text>
    </comment>
    <comment ref="H712" authorId="0" shapeId="0" xr:uid="{00000000-0006-0000-0000-000046010000}">
      <text>
        <r>
          <rPr>
            <sz val="10"/>
            <color rgb="FF000000"/>
            <rFont val="Arial"/>
            <scheme val="minor"/>
          </rPr>
          <t>Updated on 08-Jul-2024 10:43 AM</t>
        </r>
      </text>
    </comment>
    <comment ref="F713" authorId="0" shapeId="0" xr:uid="{00000000-0006-0000-0000-000047010000}">
      <text>
        <r>
          <rPr>
            <sz val="10"/>
            <color rgb="FF000000"/>
            <rFont val="Arial"/>
            <scheme val="minor"/>
          </rPr>
          <t>Updated on 08-Jul-2024 10:48 AM</t>
        </r>
      </text>
    </comment>
    <comment ref="G713" authorId="0" shapeId="0" xr:uid="{00000000-0006-0000-0000-000048010000}">
      <text>
        <r>
          <rPr>
            <sz val="10"/>
            <color rgb="FF000000"/>
            <rFont val="Arial"/>
            <scheme val="minor"/>
          </rPr>
          <t>Updated on 08-Jul-2024 10:48 AM</t>
        </r>
      </text>
    </comment>
    <comment ref="H713" authorId="0" shapeId="0" xr:uid="{00000000-0006-0000-0000-000049010000}">
      <text>
        <r>
          <rPr>
            <sz val="10"/>
            <color rgb="FF000000"/>
            <rFont val="Arial"/>
            <scheme val="minor"/>
          </rPr>
          <t>Updated on 08-Jul-2024 10:48 AM</t>
        </r>
      </text>
    </comment>
    <comment ref="F714" authorId="0" shapeId="0" xr:uid="{00000000-0006-0000-0000-00004A010000}">
      <text>
        <r>
          <rPr>
            <sz val="10"/>
            <color rgb="FF000000"/>
            <rFont val="Arial"/>
            <scheme val="minor"/>
          </rPr>
          <t>Updated on 08-Jul-2024 11:29 AM</t>
        </r>
      </text>
    </comment>
    <comment ref="G714" authorId="0" shapeId="0" xr:uid="{00000000-0006-0000-0000-00004B010000}">
      <text>
        <r>
          <rPr>
            <sz val="10"/>
            <color rgb="FF000000"/>
            <rFont val="Arial"/>
            <scheme val="minor"/>
          </rPr>
          <t>Updated on 08-Jul-2024 11:29 AM</t>
        </r>
      </text>
    </comment>
    <comment ref="H714" authorId="0" shapeId="0" xr:uid="{00000000-0006-0000-0000-00004C010000}">
      <text>
        <r>
          <rPr>
            <sz val="10"/>
            <color rgb="FF000000"/>
            <rFont val="Arial"/>
            <scheme val="minor"/>
          </rPr>
          <t>Updated on 08-Jul-2024 11:29 AM</t>
        </r>
      </text>
    </comment>
    <comment ref="F715" authorId="0" shapeId="0" xr:uid="{00000000-0006-0000-0000-00004D010000}">
      <text>
        <r>
          <rPr>
            <sz val="10"/>
            <color rgb="FF000000"/>
            <rFont val="Arial"/>
            <scheme val="minor"/>
          </rPr>
          <t>Updated on 08-Jul-2024 11:29 AM</t>
        </r>
      </text>
    </comment>
    <comment ref="G715" authorId="0" shapeId="0" xr:uid="{00000000-0006-0000-0000-00004E010000}">
      <text>
        <r>
          <rPr>
            <sz val="10"/>
            <color rgb="FF000000"/>
            <rFont val="Arial"/>
            <scheme val="minor"/>
          </rPr>
          <t>Updated on 08-Jul-2024 11:29 AM</t>
        </r>
      </text>
    </comment>
    <comment ref="H715" authorId="0" shapeId="0" xr:uid="{00000000-0006-0000-0000-00004F010000}">
      <text>
        <r>
          <rPr>
            <sz val="10"/>
            <color rgb="FF000000"/>
            <rFont val="Arial"/>
            <scheme val="minor"/>
          </rPr>
          <t>Updated on 08-Jul-2024 11:29 AM</t>
        </r>
      </text>
    </comment>
    <comment ref="F716" authorId="0" shapeId="0" xr:uid="{00000000-0006-0000-0000-000050010000}">
      <text>
        <r>
          <rPr>
            <sz val="10"/>
            <color rgb="FF000000"/>
            <rFont val="Arial"/>
            <scheme val="minor"/>
          </rPr>
          <t>Updated on 08-Jul-2024 12:16 PM</t>
        </r>
      </text>
    </comment>
    <comment ref="G716" authorId="0" shapeId="0" xr:uid="{00000000-0006-0000-0000-000051010000}">
      <text>
        <r>
          <rPr>
            <sz val="10"/>
            <color rgb="FF000000"/>
            <rFont val="Arial"/>
            <scheme val="minor"/>
          </rPr>
          <t>Updated on 08-Jul-2024 12:16 PM</t>
        </r>
      </text>
    </comment>
    <comment ref="H716" authorId="0" shapeId="0" xr:uid="{00000000-0006-0000-0000-000052010000}">
      <text>
        <r>
          <rPr>
            <sz val="10"/>
            <color rgb="FF000000"/>
            <rFont val="Arial"/>
            <scheme val="minor"/>
          </rPr>
          <t>Updated on 08-Jul-2024 12:16 PM</t>
        </r>
      </text>
    </comment>
    <comment ref="F717" authorId="0" shapeId="0" xr:uid="{00000000-0006-0000-0000-000053010000}">
      <text>
        <r>
          <rPr>
            <sz val="10"/>
            <color rgb="FF000000"/>
            <rFont val="Arial"/>
            <scheme val="minor"/>
          </rPr>
          <t>Updated on 08-Jul-2024 12:18 PM</t>
        </r>
      </text>
    </comment>
    <comment ref="G717" authorId="0" shapeId="0" xr:uid="{00000000-0006-0000-0000-000054010000}">
      <text>
        <r>
          <rPr>
            <sz val="10"/>
            <color rgb="FF000000"/>
            <rFont val="Arial"/>
            <scheme val="minor"/>
          </rPr>
          <t>Updated on 08-Jul-2024 12:18 PM</t>
        </r>
      </text>
    </comment>
    <comment ref="H717" authorId="0" shapeId="0" xr:uid="{00000000-0006-0000-0000-000055010000}">
      <text>
        <r>
          <rPr>
            <sz val="10"/>
            <color rgb="FF000000"/>
            <rFont val="Arial"/>
            <scheme val="minor"/>
          </rPr>
          <t>Updated on 08-Jul-2024 12:18 PM</t>
        </r>
      </text>
    </comment>
    <comment ref="F718" authorId="0" shapeId="0" xr:uid="{00000000-0006-0000-0000-000056010000}">
      <text>
        <r>
          <rPr>
            <sz val="10"/>
            <color rgb="FF000000"/>
            <rFont val="Arial"/>
            <scheme val="minor"/>
          </rPr>
          <t>Updated on 08-Jul-2024 02:35 PM</t>
        </r>
      </text>
    </comment>
    <comment ref="G718" authorId="0" shapeId="0" xr:uid="{00000000-0006-0000-0000-000057010000}">
      <text>
        <r>
          <rPr>
            <sz val="10"/>
            <color rgb="FF000000"/>
            <rFont val="Arial"/>
            <scheme val="minor"/>
          </rPr>
          <t>Updated on 08-Jul-2024 02:35 PM</t>
        </r>
      </text>
    </comment>
    <comment ref="H718" authorId="0" shapeId="0" xr:uid="{00000000-0006-0000-0000-000058010000}">
      <text>
        <r>
          <rPr>
            <sz val="10"/>
            <color rgb="FF000000"/>
            <rFont val="Arial"/>
            <scheme val="minor"/>
          </rPr>
          <t>Updated on 08-Jul-2024 02:35 PM</t>
        </r>
      </text>
    </comment>
    <comment ref="F719" authorId="0" shapeId="0" xr:uid="{00000000-0006-0000-0000-000059010000}">
      <text>
        <r>
          <rPr>
            <sz val="10"/>
            <color rgb="FF000000"/>
            <rFont val="Arial"/>
            <scheme val="minor"/>
          </rPr>
          <t>Updated on 08-Jul-2024 02:57 PM</t>
        </r>
      </text>
    </comment>
    <comment ref="G719" authorId="0" shapeId="0" xr:uid="{00000000-0006-0000-0000-00005A010000}">
      <text>
        <r>
          <rPr>
            <sz val="10"/>
            <color rgb="FF000000"/>
            <rFont val="Arial"/>
            <scheme val="minor"/>
          </rPr>
          <t>Updated on 08-Jul-2024 02:57 PM</t>
        </r>
      </text>
    </comment>
    <comment ref="H719" authorId="0" shapeId="0" xr:uid="{00000000-0006-0000-0000-00005B010000}">
      <text>
        <r>
          <rPr>
            <sz val="10"/>
            <color rgb="FF000000"/>
            <rFont val="Arial"/>
            <scheme val="minor"/>
          </rPr>
          <t>Updated on 08-Jul-2024 02:57 PM</t>
        </r>
      </text>
    </comment>
    <comment ref="F720" authorId="0" shapeId="0" xr:uid="{00000000-0006-0000-0000-00005C010000}">
      <text>
        <r>
          <rPr>
            <sz val="10"/>
            <color rgb="FF000000"/>
            <rFont val="Arial"/>
            <scheme val="minor"/>
          </rPr>
          <t>Updated on 08-Jul-2024 03:43 PM</t>
        </r>
      </text>
    </comment>
    <comment ref="G720" authorId="0" shapeId="0" xr:uid="{00000000-0006-0000-0000-00005D010000}">
      <text>
        <r>
          <rPr>
            <sz val="10"/>
            <color rgb="FF000000"/>
            <rFont val="Arial"/>
            <scheme val="minor"/>
          </rPr>
          <t>Updated on 08-Jul-2024 03:43 PM</t>
        </r>
      </text>
    </comment>
    <comment ref="H720" authorId="0" shapeId="0" xr:uid="{00000000-0006-0000-0000-00005E010000}">
      <text>
        <r>
          <rPr>
            <sz val="10"/>
            <color rgb="FF000000"/>
            <rFont val="Arial"/>
            <scheme val="minor"/>
          </rPr>
          <t>Updated on 08-Jul-2024 03:43 PM</t>
        </r>
      </text>
    </comment>
    <comment ref="F721" authorId="0" shapeId="0" xr:uid="{00000000-0006-0000-0000-00005F010000}">
      <text>
        <r>
          <rPr>
            <sz val="10"/>
            <color rgb="FF000000"/>
            <rFont val="Arial"/>
            <scheme val="minor"/>
          </rPr>
          <t>Updated on 08-Jul-2024 03:44 PM</t>
        </r>
      </text>
    </comment>
    <comment ref="G721" authorId="0" shapeId="0" xr:uid="{00000000-0006-0000-0000-000060010000}">
      <text>
        <r>
          <rPr>
            <sz val="10"/>
            <color rgb="FF000000"/>
            <rFont val="Arial"/>
            <scheme val="minor"/>
          </rPr>
          <t>Updated on 08-Jul-2024 03:44 PM</t>
        </r>
      </text>
    </comment>
    <comment ref="H721" authorId="0" shapeId="0" xr:uid="{00000000-0006-0000-0000-000061010000}">
      <text>
        <r>
          <rPr>
            <sz val="10"/>
            <color rgb="FF000000"/>
            <rFont val="Arial"/>
            <scheme val="minor"/>
          </rPr>
          <t>Updated on 08-Jul-2024 03:44 PM</t>
        </r>
      </text>
    </comment>
    <comment ref="F722" authorId="0" shapeId="0" xr:uid="{00000000-0006-0000-0000-000062010000}">
      <text>
        <r>
          <rPr>
            <sz val="10"/>
            <color rgb="FF000000"/>
            <rFont val="Arial"/>
            <scheme val="minor"/>
          </rPr>
          <t>Updated on 09-Jul-2024 07:02 AM</t>
        </r>
      </text>
    </comment>
    <comment ref="G722" authorId="0" shapeId="0" xr:uid="{00000000-0006-0000-0000-000063010000}">
      <text>
        <r>
          <rPr>
            <sz val="10"/>
            <color rgb="FF000000"/>
            <rFont val="Arial"/>
            <scheme val="minor"/>
          </rPr>
          <t>Updated on 09-Jul-2024 07:02 AM</t>
        </r>
      </text>
    </comment>
    <comment ref="H722" authorId="0" shapeId="0" xr:uid="{00000000-0006-0000-0000-000064010000}">
      <text>
        <r>
          <rPr>
            <sz val="10"/>
            <color rgb="FF000000"/>
            <rFont val="Arial"/>
            <scheme val="minor"/>
          </rPr>
          <t>Updated on 09-Jul-2024 07:02 AM</t>
        </r>
      </text>
    </comment>
    <comment ref="F723" authorId="0" shapeId="0" xr:uid="{00000000-0006-0000-0000-000065010000}">
      <text>
        <r>
          <rPr>
            <sz val="10"/>
            <color rgb="FF000000"/>
            <rFont val="Arial"/>
            <scheme val="minor"/>
          </rPr>
          <t>Updated on 09-Jul-2024 07:57 AM</t>
        </r>
      </text>
    </comment>
    <comment ref="G723" authorId="0" shapeId="0" xr:uid="{00000000-0006-0000-0000-000066010000}">
      <text>
        <r>
          <rPr>
            <sz val="10"/>
            <color rgb="FF000000"/>
            <rFont val="Arial"/>
            <scheme val="minor"/>
          </rPr>
          <t>Updated on 09-Jul-2024 07:57 AM</t>
        </r>
      </text>
    </comment>
    <comment ref="H723" authorId="0" shapeId="0" xr:uid="{00000000-0006-0000-0000-000067010000}">
      <text>
        <r>
          <rPr>
            <sz val="10"/>
            <color rgb="FF000000"/>
            <rFont val="Arial"/>
            <scheme val="minor"/>
          </rPr>
          <t>Updated on 09-Jul-2024 07:57 AM</t>
        </r>
      </text>
    </comment>
    <comment ref="F724" authorId="0" shapeId="0" xr:uid="{00000000-0006-0000-0000-000068010000}">
      <text>
        <r>
          <rPr>
            <sz val="10"/>
            <color rgb="FF000000"/>
            <rFont val="Arial"/>
            <scheme val="minor"/>
          </rPr>
          <t>Updated on 09-Jul-2024 08:05 AM</t>
        </r>
      </text>
    </comment>
    <comment ref="G724" authorId="0" shapeId="0" xr:uid="{00000000-0006-0000-0000-000069010000}">
      <text>
        <r>
          <rPr>
            <sz val="10"/>
            <color rgb="FF000000"/>
            <rFont val="Arial"/>
            <scheme val="minor"/>
          </rPr>
          <t>Updated on 09-Jul-2024 08:05 AM</t>
        </r>
      </text>
    </comment>
    <comment ref="H724" authorId="0" shapeId="0" xr:uid="{00000000-0006-0000-0000-00006A010000}">
      <text>
        <r>
          <rPr>
            <sz val="10"/>
            <color rgb="FF000000"/>
            <rFont val="Arial"/>
            <scheme val="minor"/>
          </rPr>
          <t>Updated on 09-Jul-2024 08:05 AM</t>
        </r>
      </text>
    </comment>
    <comment ref="F725" authorId="0" shapeId="0" xr:uid="{00000000-0006-0000-0000-00006B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G725" authorId="0" shapeId="0" xr:uid="{00000000-0006-0000-0000-00006C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H725" authorId="0" shapeId="0" xr:uid="{00000000-0006-0000-0000-00006D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F726" authorId="0" shapeId="0" xr:uid="{00000000-0006-0000-0000-00006E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G726" authorId="0" shapeId="0" xr:uid="{00000000-0006-0000-0000-00006F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H726" authorId="0" shapeId="0" xr:uid="{00000000-0006-0000-0000-000070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F727" authorId="0" shapeId="0" xr:uid="{00000000-0006-0000-0000-000071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G727" authorId="0" shapeId="0" xr:uid="{00000000-0006-0000-0000-000072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H727" authorId="0" shapeId="0" xr:uid="{00000000-0006-0000-0000-000073010000}">
      <text>
        <r>
          <rPr>
            <sz val="10"/>
            <color rgb="FF000000"/>
            <rFont val="Arial"/>
            <scheme val="minor"/>
          </rPr>
          <t>Updated on 09-Jul-2024 08:11 AM</t>
        </r>
      </text>
    </comment>
    <comment ref="F728" authorId="0" shapeId="0" xr:uid="{00000000-0006-0000-0000-000074010000}">
      <text>
        <r>
          <rPr>
            <sz val="10"/>
            <color rgb="FF000000"/>
            <rFont val="Arial"/>
            <scheme val="minor"/>
          </rPr>
          <t>Updated on 09-Jul-2024 08:13 AM</t>
        </r>
      </text>
    </comment>
    <comment ref="G728" authorId="0" shapeId="0" xr:uid="{00000000-0006-0000-0000-000075010000}">
      <text>
        <r>
          <rPr>
            <sz val="10"/>
            <color rgb="FF000000"/>
            <rFont val="Arial"/>
            <scheme val="minor"/>
          </rPr>
          <t>Updated on 09-Jul-2024 08:13 AM</t>
        </r>
      </text>
    </comment>
    <comment ref="H728" authorId="0" shapeId="0" xr:uid="{00000000-0006-0000-0000-000076010000}">
      <text>
        <r>
          <rPr>
            <sz val="10"/>
            <color rgb="FF000000"/>
            <rFont val="Arial"/>
            <scheme val="minor"/>
          </rPr>
          <t>Updated on 09-Jul-2024 08:13 AM</t>
        </r>
      </text>
    </comment>
    <comment ref="F729" authorId="0" shapeId="0" xr:uid="{00000000-0006-0000-0000-000077010000}">
      <text>
        <r>
          <rPr>
            <sz val="10"/>
            <color rgb="FF000000"/>
            <rFont val="Arial"/>
            <scheme val="minor"/>
          </rPr>
          <t>Updated on 09-Jul-2024 08:16 AM</t>
        </r>
      </text>
    </comment>
    <comment ref="G729" authorId="0" shapeId="0" xr:uid="{00000000-0006-0000-0000-000078010000}">
      <text>
        <r>
          <rPr>
            <sz val="10"/>
            <color rgb="FF000000"/>
            <rFont val="Arial"/>
            <scheme val="minor"/>
          </rPr>
          <t>Updated on 09-Jul-2024 08:16 AM</t>
        </r>
      </text>
    </comment>
    <comment ref="H729" authorId="0" shapeId="0" xr:uid="{00000000-0006-0000-0000-000079010000}">
      <text>
        <r>
          <rPr>
            <sz val="10"/>
            <color rgb="FF000000"/>
            <rFont val="Arial"/>
            <scheme val="minor"/>
          </rPr>
          <t>Updated on 09-Jul-2024 08:16 AM</t>
        </r>
      </text>
    </comment>
    <comment ref="F730" authorId="0" shapeId="0" xr:uid="{00000000-0006-0000-0000-00007A010000}">
      <text>
        <r>
          <rPr>
            <sz val="10"/>
            <color rgb="FF000000"/>
            <rFont val="Arial"/>
            <scheme val="minor"/>
          </rPr>
          <t>Updated on 09-Jul-2024 08:17 AM</t>
        </r>
      </text>
    </comment>
    <comment ref="G730" authorId="0" shapeId="0" xr:uid="{00000000-0006-0000-0000-00007B010000}">
      <text>
        <r>
          <rPr>
            <sz val="10"/>
            <color rgb="FF000000"/>
            <rFont val="Arial"/>
            <scheme val="minor"/>
          </rPr>
          <t>Updated on 09-Jul-2024 08:17 AM</t>
        </r>
      </text>
    </comment>
    <comment ref="H730" authorId="0" shapeId="0" xr:uid="{00000000-0006-0000-0000-00007C010000}">
      <text>
        <r>
          <rPr>
            <sz val="10"/>
            <color rgb="FF000000"/>
            <rFont val="Arial"/>
            <scheme val="minor"/>
          </rPr>
          <t>Updated on 09-Jul-2024 08:17 AM</t>
        </r>
      </text>
    </comment>
    <comment ref="F731" authorId="0" shapeId="0" xr:uid="{00000000-0006-0000-0000-00007D010000}">
      <text>
        <r>
          <rPr>
            <sz val="10"/>
            <color rgb="FF000000"/>
            <rFont val="Arial"/>
            <scheme val="minor"/>
          </rPr>
          <t>Updated on 09-Jul-2024 08:17 AM</t>
        </r>
      </text>
    </comment>
    <comment ref="G731" authorId="0" shapeId="0" xr:uid="{00000000-0006-0000-0000-00007E010000}">
      <text>
        <r>
          <rPr>
            <sz val="10"/>
            <color rgb="FF000000"/>
            <rFont val="Arial"/>
            <scheme val="minor"/>
          </rPr>
          <t>Updated on 09-Jul-2024 08:17 AM</t>
        </r>
      </text>
    </comment>
    <comment ref="H731" authorId="0" shapeId="0" xr:uid="{00000000-0006-0000-0000-00007F010000}">
      <text>
        <r>
          <rPr>
            <sz val="10"/>
            <color rgb="FF000000"/>
            <rFont val="Arial"/>
            <scheme val="minor"/>
          </rPr>
          <t>Updated on 09-Jul-2024 08:17 AM</t>
        </r>
      </text>
    </comment>
    <comment ref="F732" authorId="0" shapeId="0" xr:uid="{00000000-0006-0000-0000-000080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2" authorId="0" shapeId="0" xr:uid="{00000000-0006-0000-0000-000081010000}">
      <text>
        <r>
          <rPr>
            <sz val="10"/>
            <color rgb="FF000000"/>
            <rFont val="Arial"/>
            <scheme val="minor"/>
          </rPr>
          <t>Updated on 09-Jul-2024 08:19 AM</t>
        </r>
      </text>
    </comment>
    <comment ref="H732" authorId="0" shapeId="0" xr:uid="{00000000-0006-0000-0000-000082010000}">
      <text>
        <r>
          <rPr>
            <sz val="10"/>
            <color rgb="FF000000"/>
            <rFont val="Arial"/>
            <scheme val="minor"/>
          </rPr>
          <t>Updated on 09-Jul-2024 08:19 AM</t>
        </r>
      </text>
    </comment>
    <comment ref="F733" authorId="0" shapeId="0" xr:uid="{00000000-0006-0000-0000-000083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3" authorId="0" shapeId="0" xr:uid="{00000000-0006-0000-0000-000084010000}">
      <text>
        <r>
          <rPr>
            <sz val="10"/>
            <color rgb="FF000000"/>
            <rFont val="Arial"/>
            <scheme val="minor"/>
          </rPr>
          <t>Updated on 09-Jul-2024 08:20 AM</t>
        </r>
      </text>
    </comment>
    <comment ref="H733" authorId="0" shapeId="0" xr:uid="{00000000-0006-0000-0000-000085010000}">
      <text>
        <r>
          <rPr>
            <sz val="10"/>
            <color rgb="FF000000"/>
            <rFont val="Arial"/>
            <scheme val="minor"/>
          </rPr>
          <t>Updated on 09-Jul-2024 08:20 AM</t>
        </r>
      </text>
    </comment>
    <comment ref="F734" authorId="0" shapeId="0" xr:uid="{00000000-0006-0000-0000-000086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4" authorId="0" shapeId="0" xr:uid="{00000000-0006-0000-0000-000087010000}">
      <text>
        <r>
          <rPr>
            <sz val="10"/>
            <color rgb="FF000000"/>
            <rFont val="Arial"/>
            <scheme val="minor"/>
          </rPr>
          <t>Updated on 09-Jul-2024 08:21 AM</t>
        </r>
      </text>
    </comment>
    <comment ref="H734" authorId="0" shapeId="0" xr:uid="{00000000-0006-0000-0000-000088010000}">
      <text>
        <r>
          <rPr>
            <sz val="10"/>
            <color rgb="FF000000"/>
            <rFont val="Arial"/>
            <scheme val="minor"/>
          </rPr>
          <t>Updated on 09-Jul-2024 08:21 AM</t>
        </r>
      </text>
    </comment>
    <comment ref="F735" authorId="0" shapeId="0" xr:uid="{00000000-0006-0000-0000-000089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5" authorId="0" shapeId="0" xr:uid="{00000000-0006-0000-0000-00008A010000}">
      <text>
        <r>
          <rPr>
            <sz val="10"/>
            <color rgb="FF000000"/>
            <rFont val="Arial"/>
            <scheme val="minor"/>
          </rPr>
          <t>Updated on 09-Jul-2024 08:23 AM</t>
        </r>
      </text>
    </comment>
    <comment ref="H735" authorId="0" shapeId="0" xr:uid="{00000000-0006-0000-0000-00008B010000}">
      <text>
        <r>
          <rPr>
            <sz val="10"/>
            <color rgb="FF000000"/>
            <rFont val="Arial"/>
            <scheme val="minor"/>
          </rPr>
          <t>Updated on 09-Jul-2024 08:23 AM</t>
        </r>
      </text>
    </comment>
    <comment ref="F736" authorId="0" shapeId="0" xr:uid="{00000000-0006-0000-0000-00008C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6" authorId="0" shapeId="0" xr:uid="{00000000-0006-0000-0000-00008D010000}">
      <text>
        <r>
          <rPr>
            <sz val="10"/>
            <color rgb="FF000000"/>
            <rFont val="Arial"/>
            <scheme val="minor"/>
          </rPr>
          <t>Updated on 09-Jul-2024 08:23 AM</t>
        </r>
      </text>
    </comment>
    <comment ref="H736" authorId="0" shapeId="0" xr:uid="{00000000-0006-0000-0000-00008E010000}">
      <text>
        <r>
          <rPr>
            <sz val="10"/>
            <color rgb="FF000000"/>
            <rFont val="Arial"/>
            <scheme val="minor"/>
          </rPr>
          <t>Updated on 09-Jul-2024 08:23 AM</t>
        </r>
      </text>
    </comment>
    <comment ref="F737" authorId="0" shapeId="0" xr:uid="{00000000-0006-0000-0000-00008F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7" authorId="0" shapeId="0" xr:uid="{00000000-0006-0000-0000-000090010000}">
      <text>
        <r>
          <rPr>
            <sz val="10"/>
            <color rgb="FF000000"/>
            <rFont val="Arial"/>
            <scheme val="minor"/>
          </rPr>
          <t>Updated on 09-Jul-2024 08:24 AM</t>
        </r>
      </text>
    </comment>
    <comment ref="H737" authorId="0" shapeId="0" xr:uid="{00000000-0006-0000-0000-000091010000}">
      <text>
        <r>
          <rPr>
            <sz val="10"/>
            <color rgb="FF000000"/>
            <rFont val="Arial"/>
            <scheme val="minor"/>
          </rPr>
          <t>Updated on 09-Jul-2024 08:24 AM</t>
        </r>
      </text>
    </comment>
    <comment ref="F738" authorId="0" shapeId="0" xr:uid="{00000000-0006-0000-0000-000092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8" authorId="0" shapeId="0" xr:uid="{00000000-0006-0000-0000-000093010000}">
      <text>
        <r>
          <rPr>
            <sz val="10"/>
            <color rgb="FF000000"/>
            <rFont val="Arial"/>
            <scheme val="minor"/>
          </rPr>
          <t>Updated on 09-Jul-2024 08:24 AM</t>
        </r>
      </text>
    </comment>
    <comment ref="H738" authorId="0" shapeId="0" xr:uid="{00000000-0006-0000-0000-000094010000}">
      <text>
        <r>
          <rPr>
            <sz val="10"/>
            <color rgb="FF000000"/>
            <rFont val="Arial"/>
            <scheme val="minor"/>
          </rPr>
          <t>Updated on 09-Jul-2024 08:24 AM</t>
        </r>
      </text>
    </comment>
    <comment ref="F739" authorId="0" shapeId="0" xr:uid="{00000000-0006-0000-0000-000095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39" authorId="0" shapeId="0" xr:uid="{00000000-0006-0000-0000-000096010000}">
      <text>
        <r>
          <rPr>
            <sz val="10"/>
            <color rgb="FF000000"/>
            <rFont val="Arial"/>
            <scheme val="minor"/>
          </rPr>
          <t>Updated on 09-Jul-2024 08:24 AM</t>
        </r>
      </text>
    </comment>
    <comment ref="H739" authorId="0" shapeId="0" xr:uid="{00000000-0006-0000-0000-000097010000}">
      <text>
        <r>
          <rPr>
            <sz val="10"/>
            <color rgb="FF000000"/>
            <rFont val="Arial"/>
            <scheme val="minor"/>
          </rPr>
          <t>Updated on 09-Jul-2024 08:24 AM</t>
        </r>
      </text>
    </comment>
    <comment ref="F740" authorId="0" shapeId="0" xr:uid="{00000000-0006-0000-0000-000098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0" authorId="0" shapeId="0" xr:uid="{00000000-0006-0000-0000-000099010000}">
      <text>
        <r>
          <rPr>
            <sz val="10"/>
            <color rgb="FF000000"/>
            <rFont val="Arial"/>
            <scheme val="minor"/>
          </rPr>
          <t>Updated on 09-Jul-2024 08:25 AM</t>
        </r>
      </text>
    </comment>
    <comment ref="H740" authorId="0" shapeId="0" xr:uid="{00000000-0006-0000-0000-00009A010000}">
      <text>
        <r>
          <rPr>
            <sz val="10"/>
            <color rgb="FF000000"/>
            <rFont val="Arial"/>
            <scheme val="minor"/>
          </rPr>
          <t>Updated on 09-Jul-2024 08:25 AM</t>
        </r>
      </text>
    </comment>
    <comment ref="F741" authorId="0" shapeId="0" xr:uid="{00000000-0006-0000-0000-00009B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1" authorId="0" shapeId="0" xr:uid="{00000000-0006-0000-0000-00009C010000}">
      <text>
        <r>
          <rPr>
            <sz val="10"/>
            <color rgb="FF000000"/>
            <rFont val="Arial"/>
            <scheme val="minor"/>
          </rPr>
          <t>Updated on 09-Jul-2024 08:31 AM</t>
        </r>
      </text>
    </comment>
    <comment ref="H741" authorId="0" shapeId="0" xr:uid="{00000000-0006-0000-0000-00009D010000}">
      <text>
        <r>
          <rPr>
            <sz val="10"/>
            <color rgb="FF000000"/>
            <rFont val="Arial"/>
            <scheme val="minor"/>
          </rPr>
          <t>Updated on 09-Jul-2024 08:31 AM</t>
        </r>
      </text>
    </comment>
    <comment ref="F742" authorId="0" shapeId="0" xr:uid="{00000000-0006-0000-0000-00009E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2" authorId="0" shapeId="0" xr:uid="{00000000-0006-0000-0000-00009F010000}">
      <text>
        <r>
          <rPr>
            <sz val="10"/>
            <color rgb="FF000000"/>
            <rFont val="Arial"/>
            <scheme val="minor"/>
          </rPr>
          <t>Updated on 09-Jul-2024 08:31 AM</t>
        </r>
      </text>
    </comment>
    <comment ref="H742" authorId="0" shapeId="0" xr:uid="{00000000-0006-0000-0000-0000A0010000}">
      <text>
        <r>
          <rPr>
            <sz val="10"/>
            <color rgb="FF000000"/>
            <rFont val="Arial"/>
            <scheme val="minor"/>
          </rPr>
          <t>Updated on 09-Jul-2024 08:31 AM</t>
        </r>
      </text>
    </comment>
    <comment ref="F743" authorId="0" shapeId="0" xr:uid="{00000000-0006-0000-0000-0000A1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3" authorId="0" shapeId="0" xr:uid="{00000000-0006-0000-0000-0000A2010000}">
      <text>
        <r>
          <rPr>
            <sz val="10"/>
            <color rgb="FF000000"/>
            <rFont val="Arial"/>
            <scheme val="minor"/>
          </rPr>
          <t>Updated on 09-Jul-2024 08:39 AM</t>
        </r>
      </text>
    </comment>
    <comment ref="H743" authorId="0" shapeId="0" xr:uid="{00000000-0006-0000-0000-0000A3010000}">
      <text>
        <r>
          <rPr>
            <sz val="10"/>
            <color rgb="FF000000"/>
            <rFont val="Arial"/>
            <scheme val="minor"/>
          </rPr>
          <t>Updated on 09-Jul-2024 08:39 AM</t>
        </r>
      </text>
    </comment>
    <comment ref="F744" authorId="0" shapeId="0" xr:uid="{00000000-0006-0000-0000-0000A4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4" authorId="0" shapeId="0" xr:uid="{00000000-0006-0000-0000-0000A5010000}">
      <text>
        <r>
          <rPr>
            <sz val="10"/>
            <color rgb="FF000000"/>
            <rFont val="Arial"/>
            <scheme val="minor"/>
          </rPr>
          <t>Updated on 09-Jul-2024 08:56 AM</t>
        </r>
      </text>
    </comment>
    <comment ref="H744" authorId="0" shapeId="0" xr:uid="{00000000-0006-0000-0000-0000A6010000}">
      <text>
        <r>
          <rPr>
            <sz val="10"/>
            <color rgb="FF000000"/>
            <rFont val="Arial"/>
            <scheme val="minor"/>
          </rPr>
          <t>Updated on 09-Jul-2024 08:56 AM</t>
        </r>
      </text>
    </comment>
    <comment ref="F745" authorId="0" shapeId="0" xr:uid="{00000000-0006-0000-0000-0000A7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5" authorId="0" shapeId="0" xr:uid="{00000000-0006-0000-0000-0000A8010000}">
      <text>
        <r>
          <rPr>
            <sz val="10"/>
            <color rgb="FF000000"/>
            <rFont val="Arial"/>
            <scheme val="minor"/>
          </rPr>
          <t>Updated on 09-Jul-2024 08:56 AM</t>
        </r>
      </text>
    </comment>
    <comment ref="H745" authorId="0" shapeId="0" xr:uid="{00000000-0006-0000-0000-0000A9010000}">
      <text>
        <r>
          <rPr>
            <sz val="10"/>
            <color rgb="FF000000"/>
            <rFont val="Arial"/>
            <scheme val="minor"/>
          </rPr>
          <t>Updated on 09-Jul-2024 08:56 AM</t>
        </r>
      </text>
    </comment>
    <comment ref="F746" authorId="0" shapeId="0" xr:uid="{00000000-0006-0000-0000-0000AA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6" authorId="0" shapeId="0" xr:uid="{00000000-0006-0000-0000-0000AB010000}">
      <text>
        <r>
          <rPr>
            <sz val="10"/>
            <color rgb="FF000000"/>
            <rFont val="Arial"/>
            <scheme val="minor"/>
          </rPr>
          <t>Updated on 09-Jul-2024 08:57 AM</t>
        </r>
      </text>
    </comment>
    <comment ref="H746" authorId="0" shapeId="0" xr:uid="{00000000-0006-0000-0000-0000AC010000}">
      <text>
        <r>
          <rPr>
            <sz val="10"/>
            <color rgb="FF000000"/>
            <rFont val="Arial"/>
            <scheme val="minor"/>
          </rPr>
          <t>Updated on 09-Jul-2024 08:57 AM</t>
        </r>
      </text>
    </comment>
    <comment ref="F747" authorId="0" shapeId="0" xr:uid="{00000000-0006-0000-0000-0000AD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7" authorId="0" shapeId="0" xr:uid="{00000000-0006-0000-0000-0000AE010000}">
      <text>
        <r>
          <rPr>
            <sz val="10"/>
            <color rgb="FF000000"/>
            <rFont val="Arial"/>
            <scheme val="minor"/>
          </rPr>
          <t>Updated on 09-Jul-2024 09:02 AM</t>
        </r>
      </text>
    </comment>
    <comment ref="H747" authorId="0" shapeId="0" xr:uid="{00000000-0006-0000-0000-0000AF010000}">
      <text>
        <r>
          <rPr>
            <sz val="10"/>
            <color rgb="FF000000"/>
            <rFont val="Arial"/>
            <scheme val="minor"/>
          </rPr>
          <t>Updated on 09-Jul-2024 09:02 AM</t>
        </r>
      </text>
    </comment>
    <comment ref="F748" authorId="0" shapeId="0" xr:uid="{00000000-0006-0000-0000-0000B0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8" authorId="0" shapeId="0" xr:uid="{00000000-0006-0000-0000-0000B1010000}">
      <text>
        <r>
          <rPr>
            <sz val="10"/>
            <color rgb="FF000000"/>
            <rFont val="Arial"/>
            <scheme val="minor"/>
          </rPr>
          <t>Updated on 09-Jul-2024 09:03 AM</t>
        </r>
      </text>
    </comment>
    <comment ref="H748" authorId="0" shapeId="0" xr:uid="{00000000-0006-0000-0000-0000B2010000}">
      <text>
        <r>
          <rPr>
            <sz val="10"/>
            <color rgb="FF000000"/>
            <rFont val="Arial"/>
            <scheme val="minor"/>
          </rPr>
          <t>Updated on 09-Jul-2024 09:03 AM</t>
        </r>
      </text>
    </comment>
    <comment ref="F749" authorId="0" shapeId="0" xr:uid="{00000000-0006-0000-0000-0000B3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49" authorId="0" shapeId="0" xr:uid="{00000000-0006-0000-0000-0000B4010000}">
      <text>
        <r>
          <rPr>
            <sz val="10"/>
            <color rgb="FF000000"/>
            <rFont val="Arial"/>
            <scheme val="minor"/>
          </rPr>
          <t>Updated on 09-Jul-2024 09:06 AM</t>
        </r>
      </text>
    </comment>
    <comment ref="H749" authorId="0" shapeId="0" xr:uid="{00000000-0006-0000-0000-0000B5010000}">
      <text>
        <r>
          <rPr>
            <sz val="10"/>
            <color rgb="FF000000"/>
            <rFont val="Arial"/>
            <scheme val="minor"/>
          </rPr>
          <t>Updated on 09-Jul-2024 09:06 AM</t>
        </r>
      </text>
    </comment>
    <comment ref="F750" authorId="0" shapeId="0" xr:uid="{00000000-0006-0000-0000-0000B6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50" authorId="0" shapeId="0" xr:uid="{00000000-0006-0000-0000-0000B7010000}">
      <text>
        <r>
          <rPr>
            <sz val="10"/>
            <color rgb="FF000000"/>
            <rFont val="Arial"/>
            <scheme val="minor"/>
          </rPr>
          <t>Updated on 09-Jul-2024 09:07 AM</t>
        </r>
      </text>
    </comment>
    <comment ref="H750" authorId="0" shapeId="0" xr:uid="{00000000-0006-0000-0000-0000B8010000}">
      <text>
        <r>
          <rPr>
            <sz val="10"/>
            <color rgb="FF000000"/>
            <rFont val="Arial"/>
            <scheme val="minor"/>
          </rPr>
          <t>Updated on 09-Jul-2024 09:07 AM</t>
        </r>
      </text>
    </comment>
    <comment ref="F751" authorId="0" shapeId="0" xr:uid="{00000000-0006-0000-0000-0000B9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51" authorId="0" shapeId="0" xr:uid="{00000000-0006-0000-0000-0000BA010000}">
      <text>
        <r>
          <rPr>
            <sz val="10"/>
            <color rgb="FF000000"/>
            <rFont val="Arial"/>
            <scheme val="minor"/>
          </rPr>
          <t>Updated on 09-Jul-2024 09:40 AM</t>
        </r>
      </text>
    </comment>
    <comment ref="H751" authorId="0" shapeId="0" xr:uid="{00000000-0006-0000-0000-0000BB010000}">
      <text>
        <r>
          <rPr>
            <sz val="10"/>
            <color rgb="FF000000"/>
            <rFont val="Arial"/>
            <scheme val="minor"/>
          </rPr>
          <t>Updated on 09-Jul-2024 09:40 AM</t>
        </r>
      </text>
    </comment>
    <comment ref="F752" authorId="0" shapeId="0" xr:uid="{00000000-0006-0000-0000-0000BC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52" authorId="0" shapeId="0" xr:uid="{00000000-0006-0000-0000-0000BD010000}">
      <text>
        <r>
          <rPr>
            <sz val="10"/>
            <color rgb="FF000000"/>
            <rFont val="Arial"/>
            <scheme val="minor"/>
          </rPr>
          <t>Updated on 09-Jul-2024 09:40 AM</t>
        </r>
      </text>
    </comment>
    <comment ref="H752" authorId="0" shapeId="0" xr:uid="{00000000-0006-0000-0000-0000BE010000}">
      <text>
        <r>
          <rPr>
            <sz val="10"/>
            <color rgb="FF000000"/>
            <rFont val="Arial"/>
            <scheme val="minor"/>
          </rPr>
          <t>Updated on 09-Jul-2024 09:40 AM</t>
        </r>
      </text>
    </comment>
    <comment ref="F753" authorId="0" shapeId="0" xr:uid="{00000000-0006-0000-0000-0000BF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53" authorId="0" shapeId="0" xr:uid="{00000000-0006-0000-0000-0000C0010000}">
      <text>
        <r>
          <rPr>
            <sz val="10"/>
            <color rgb="FF000000"/>
            <rFont val="Arial"/>
            <scheme val="minor"/>
          </rPr>
          <t>Updated on 09-Jul-2024 09:41 AM</t>
        </r>
      </text>
    </comment>
    <comment ref="H753" authorId="0" shapeId="0" xr:uid="{00000000-0006-0000-0000-0000C1010000}">
      <text>
        <r>
          <rPr>
            <sz val="10"/>
            <color rgb="FF000000"/>
            <rFont val="Arial"/>
            <scheme val="minor"/>
          </rPr>
          <t>Updated on 09-Jul-2024 09:41 AM</t>
        </r>
      </text>
    </comment>
    <comment ref="F754" authorId="0" shapeId="0" xr:uid="{00000000-0006-0000-0000-0000C2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54" authorId="0" shapeId="0" xr:uid="{00000000-0006-0000-0000-0000C3010000}">
      <text>
        <r>
          <rPr>
            <sz val="10"/>
            <color rgb="FF000000"/>
            <rFont val="Arial"/>
            <scheme val="minor"/>
          </rPr>
          <t>Updated on 10-Jul-2024 07:30 AM</t>
        </r>
      </text>
    </comment>
    <comment ref="H754" authorId="0" shapeId="0" xr:uid="{00000000-0006-0000-0000-0000C4010000}">
      <text>
        <r>
          <rPr>
            <sz val="10"/>
            <color rgb="FF000000"/>
            <rFont val="Arial"/>
            <scheme val="minor"/>
          </rPr>
          <t>Updated on 10-Jul-2024 07:30 AM</t>
        </r>
      </text>
    </comment>
    <comment ref="F755" authorId="0" shapeId="0" xr:uid="{00000000-0006-0000-0000-0000C5010000}">
      <text>
        <r>
          <rPr>
            <sz val="10"/>
            <color rgb="FF000000"/>
            <rFont val="Arial"/>
            <scheme val="minor"/>
          </rPr>
          <t>Updated on 17-Mar-2025 09:24 AM by bpsdemak3321@gmail.com</t>
        </r>
      </text>
    </comment>
    <comment ref="G755" authorId="0" shapeId="0" xr:uid="{00000000-0006-0000-0000-0000C6010000}">
      <text>
        <r>
          <rPr>
            <sz val="10"/>
            <color rgb="FF000000"/>
            <rFont val="Arial"/>
            <scheme val="minor"/>
          </rPr>
          <t>Updated on 10-Jul-2024 07:31 AM</t>
        </r>
      </text>
    </comment>
    <comment ref="H755" authorId="0" shapeId="0" xr:uid="{00000000-0006-0000-0000-0000C7010000}">
      <text>
        <r>
          <rPr>
            <sz val="10"/>
            <color rgb="FF000000"/>
            <rFont val="Arial"/>
            <scheme val="minor"/>
          </rPr>
          <t>Updated on 10-Jul-2024 07:31 AM</t>
        </r>
      </text>
    </comment>
    <comment ref="F756" authorId="0" shapeId="0" xr:uid="{00000000-0006-0000-0000-0000C801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56" authorId="0" shapeId="0" xr:uid="{00000000-0006-0000-0000-0000C9010000}">
      <text>
        <r>
          <rPr>
            <sz val="10"/>
            <color rgb="FF000000"/>
            <rFont val="Arial"/>
            <scheme val="minor"/>
          </rPr>
          <t>Updated on 12-Jul-2024 04:26 PM</t>
        </r>
      </text>
    </comment>
    <comment ref="H756" authorId="0" shapeId="0" xr:uid="{00000000-0006-0000-0000-0000CA010000}">
      <text>
        <r>
          <rPr>
            <sz val="10"/>
            <color rgb="FF000000"/>
            <rFont val="Arial"/>
            <scheme val="minor"/>
          </rPr>
          <t>Updated on 12-Jul-2024 04:26 PM</t>
        </r>
      </text>
    </comment>
    <comment ref="F757" authorId="0" shapeId="0" xr:uid="{00000000-0006-0000-0000-0000CB010000}">
      <text>
        <r>
          <rPr>
            <sz val="10"/>
            <color rgb="FF000000"/>
            <rFont val="Arial"/>
            <scheme val="minor"/>
          </rPr>
          <t>Updated on 15-Jul-2024 02:55 PM</t>
        </r>
      </text>
    </comment>
    <comment ref="G757" authorId="0" shapeId="0" xr:uid="{00000000-0006-0000-0000-0000CC010000}">
      <text>
        <r>
          <rPr>
            <sz val="10"/>
            <color rgb="FF000000"/>
            <rFont val="Arial"/>
            <scheme val="minor"/>
          </rPr>
          <t>Updated on 15-Jul-2024 02:55 PM</t>
        </r>
      </text>
    </comment>
    <comment ref="H757" authorId="0" shapeId="0" xr:uid="{00000000-0006-0000-0000-0000CD010000}">
      <text>
        <r>
          <rPr>
            <sz val="10"/>
            <color rgb="FF000000"/>
            <rFont val="Arial"/>
            <scheme val="minor"/>
          </rPr>
          <t>Updated on 15-Jul-2024 02:55 PM</t>
        </r>
      </text>
    </comment>
    <comment ref="F758" authorId="0" shapeId="0" xr:uid="{00000000-0006-0000-0000-0000CE010000}">
      <text>
        <r>
          <rPr>
            <sz val="10"/>
            <color rgb="FF000000"/>
            <rFont val="Arial"/>
            <scheme val="minor"/>
          </rPr>
          <t>Updated on 22-Jul-2024 10:36 AM</t>
        </r>
      </text>
    </comment>
    <comment ref="G758" authorId="0" shapeId="0" xr:uid="{00000000-0006-0000-0000-0000CF010000}">
      <text>
        <r>
          <rPr>
            <sz val="10"/>
            <color rgb="FF000000"/>
            <rFont val="Arial"/>
            <scheme val="minor"/>
          </rPr>
          <t>Updated on 22-Jul-2024 10:36 AM</t>
        </r>
      </text>
    </comment>
    <comment ref="H758" authorId="0" shapeId="0" xr:uid="{00000000-0006-0000-0000-0000D0010000}">
      <text>
        <r>
          <rPr>
            <sz val="10"/>
            <color rgb="FF000000"/>
            <rFont val="Arial"/>
            <scheme val="minor"/>
          </rPr>
          <t>Updated on 22-Jul-2024 10:36 AM</t>
        </r>
      </text>
    </comment>
    <comment ref="F759" authorId="0" shapeId="0" xr:uid="{00000000-0006-0000-0000-0000D1010000}">
      <text>
        <r>
          <rPr>
            <sz val="10"/>
            <color rgb="FF000000"/>
            <rFont val="Arial"/>
            <scheme val="minor"/>
          </rPr>
          <t>Updated on 22-Jul-2024 10:38 AM</t>
        </r>
      </text>
    </comment>
    <comment ref="G759" authorId="0" shapeId="0" xr:uid="{00000000-0006-0000-0000-0000D2010000}">
      <text>
        <r>
          <rPr>
            <sz val="10"/>
            <color rgb="FF000000"/>
            <rFont val="Arial"/>
            <scheme val="minor"/>
          </rPr>
          <t>Updated on 22-Jul-2024 10:38 AM</t>
        </r>
      </text>
    </comment>
    <comment ref="H759" authorId="0" shapeId="0" xr:uid="{00000000-0006-0000-0000-0000D3010000}">
      <text>
        <r>
          <rPr>
            <sz val="10"/>
            <color rgb="FF000000"/>
            <rFont val="Arial"/>
            <scheme val="minor"/>
          </rPr>
          <t>Updated on 22-Jul-2024 10:38 AM</t>
        </r>
      </text>
    </comment>
    <comment ref="F760" authorId="0" shapeId="0" xr:uid="{00000000-0006-0000-0000-0000D4010000}">
      <text>
        <r>
          <rPr>
            <sz val="10"/>
            <color rgb="FF000000"/>
            <rFont val="Arial"/>
            <scheme val="minor"/>
          </rPr>
          <t>Updated on 22-Jul-2024 10:38 AM</t>
        </r>
      </text>
    </comment>
    <comment ref="G760" authorId="0" shapeId="0" xr:uid="{00000000-0006-0000-0000-0000D5010000}">
      <text>
        <r>
          <rPr>
            <sz val="10"/>
            <color rgb="FF000000"/>
            <rFont val="Arial"/>
            <scheme val="minor"/>
          </rPr>
          <t>Updated on 22-Jul-2024 10:38 AM</t>
        </r>
      </text>
    </comment>
    <comment ref="H760" authorId="0" shapeId="0" xr:uid="{00000000-0006-0000-0000-0000D6010000}">
      <text>
        <r>
          <rPr>
            <sz val="10"/>
            <color rgb="FF000000"/>
            <rFont val="Arial"/>
            <scheme val="minor"/>
          </rPr>
          <t>Updated on 22-Jul-2024 10:38 AM</t>
        </r>
      </text>
    </comment>
    <comment ref="F761" authorId="0" shapeId="0" xr:uid="{00000000-0006-0000-0000-0000D7010000}">
      <text>
        <r>
          <rPr>
            <sz val="10"/>
            <color rgb="FF000000"/>
            <rFont val="Arial"/>
            <scheme val="minor"/>
          </rPr>
          <t>Updated on 22-Jul-2024 10:40 AM</t>
        </r>
      </text>
    </comment>
    <comment ref="G761" authorId="0" shapeId="0" xr:uid="{00000000-0006-0000-0000-0000D8010000}">
      <text>
        <r>
          <rPr>
            <sz val="10"/>
            <color rgb="FF000000"/>
            <rFont val="Arial"/>
            <scheme val="minor"/>
          </rPr>
          <t>Updated on 22-Jul-2024 10:40 AM</t>
        </r>
      </text>
    </comment>
    <comment ref="H761" authorId="0" shapeId="0" xr:uid="{00000000-0006-0000-0000-0000D9010000}">
      <text>
        <r>
          <rPr>
            <sz val="10"/>
            <color rgb="FF000000"/>
            <rFont val="Arial"/>
            <scheme val="minor"/>
          </rPr>
          <t>Updated on 22-Jul-2024 10:40 AM</t>
        </r>
      </text>
    </comment>
    <comment ref="F762" authorId="0" shapeId="0" xr:uid="{00000000-0006-0000-0000-0000DA010000}">
      <text>
        <r>
          <rPr>
            <sz val="10"/>
            <color rgb="FF000000"/>
            <rFont val="Arial"/>
            <scheme val="minor"/>
          </rPr>
          <t>Updated on 22-Jul-2024 10:43 AM</t>
        </r>
      </text>
    </comment>
    <comment ref="G762" authorId="0" shapeId="0" xr:uid="{00000000-0006-0000-0000-0000DB010000}">
      <text>
        <r>
          <rPr>
            <sz val="10"/>
            <color rgb="FF000000"/>
            <rFont val="Arial"/>
            <scheme val="minor"/>
          </rPr>
          <t>Updated on 22-Jul-2024 10:43 AM</t>
        </r>
      </text>
    </comment>
    <comment ref="H762" authorId="0" shapeId="0" xr:uid="{00000000-0006-0000-0000-0000DC010000}">
      <text>
        <r>
          <rPr>
            <sz val="10"/>
            <color rgb="FF000000"/>
            <rFont val="Arial"/>
            <scheme val="minor"/>
          </rPr>
          <t>Updated on 22-Jul-2024 10:43 AM</t>
        </r>
      </text>
    </comment>
    <comment ref="F763" authorId="0" shapeId="0" xr:uid="{00000000-0006-0000-0000-0000DD010000}">
      <text>
        <r>
          <rPr>
            <sz val="10"/>
            <color rgb="FF000000"/>
            <rFont val="Arial"/>
            <scheme val="minor"/>
          </rPr>
          <t>Updated on 22-Jul-2024 10:43 AM</t>
        </r>
      </text>
    </comment>
    <comment ref="G763" authorId="0" shapeId="0" xr:uid="{00000000-0006-0000-0000-0000DE010000}">
      <text>
        <r>
          <rPr>
            <sz val="10"/>
            <color rgb="FF000000"/>
            <rFont val="Arial"/>
            <scheme val="minor"/>
          </rPr>
          <t>Updated on 22-Jul-2024 10:43 AM</t>
        </r>
      </text>
    </comment>
    <comment ref="H763" authorId="0" shapeId="0" xr:uid="{00000000-0006-0000-0000-0000DF010000}">
      <text>
        <r>
          <rPr>
            <sz val="10"/>
            <color rgb="FF000000"/>
            <rFont val="Arial"/>
            <scheme val="minor"/>
          </rPr>
          <t>Updated on 22-Jul-2024 10:43 AM</t>
        </r>
      </text>
    </comment>
    <comment ref="F764" authorId="0" shapeId="0" xr:uid="{00000000-0006-0000-0000-0000E0010000}">
      <text>
        <r>
          <rPr>
            <sz val="10"/>
            <color rgb="FF000000"/>
            <rFont val="Arial"/>
            <scheme val="minor"/>
          </rPr>
          <t>Updated on 22-Jul-2024 10:47 AM</t>
        </r>
      </text>
    </comment>
    <comment ref="G764" authorId="0" shapeId="0" xr:uid="{00000000-0006-0000-0000-0000E1010000}">
      <text>
        <r>
          <rPr>
            <sz val="10"/>
            <color rgb="FF000000"/>
            <rFont val="Arial"/>
            <scheme val="minor"/>
          </rPr>
          <t>Updated on 22-Jul-2024 10:47 AM</t>
        </r>
      </text>
    </comment>
    <comment ref="H764" authorId="0" shapeId="0" xr:uid="{00000000-0006-0000-0000-0000E2010000}">
      <text>
        <r>
          <rPr>
            <sz val="10"/>
            <color rgb="FF000000"/>
            <rFont val="Arial"/>
            <scheme val="minor"/>
          </rPr>
          <t>Updated on 22-Jul-2024 10:47 AM</t>
        </r>
      </text>
    </comment>
    <comment ref="F765" authorId="0" shapeId="0" xr:uid="{00000000-0006-0000-0000-0000E3010000}">
      <text>
        <r>
          <rPr>
            <sz val="10"/>
            <color rgb="FF000000"/>
            <rFont val="Arial"/>
            <scheme val="minor"/>
          </rPr>
          <t>Updated on 22-Jul-2024 10:47 AM</t>
        </r>
      </text>
    </comment>
    <comment ref="G765" authorId="0" shapeId="0" xr:uid="{00000000-0006-0000-0000-0000E4010000}">
      <text>
        <r>
          <rPr>
            <sz val="10"/>
            <color rgb="FF000000"/>
            <rFont val="Arial"/>
            <scheme val="minor"/>
          </rPr>
          <t>Updated on 22-Jul-2024 10:47 AM</t>
        </r>
      </text>
    </comment>
    <comment ref="H765" authorId="0" shapeId="0" xr:uid="{00000000-0006-0000-0000-0000E5010000}">
      <text>
        <r>
          <rPr>
            <sz val="10"/>
            <color rgb="FF000000"/>
            <rFont val="Arial"/>
            <scheme val="minor"/>
          </rPr>
          <t>Updated on 22-Jul-2024 10:47 AM</t>
        </r>
      </text>
    </comment>
    <comment ref="F766" authorId="0" shapeId="0" xr:uid="{00000000-0006-0000-0000-0000E6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G766" authorId="0" shapeId="0" xr:uid="{00000000-0006-0000-0000-0000E7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H766" authorId="0" shapeId="0" xr:uid="{00000000-0006-0000-0000-0000E8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F767" authorId="0" shapeId="0" xr:uid="{00000000-0006-0000-0000-0000E9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G767" authorId="0" shapeId="0" xr:uid="{00000000-0006-0000-0000-0000EA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H767" authorId="0" shapeId="0" xr:uid="{00000000-0006-0000-0000-0000EB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F768" authorId="0" shapeId="0" xr:uid="{00000000-0006-0000-0000-0000EC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G768" authorId="0" shapeId="0" xr:uid="{00000000-0006-0000-0000-0000ED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H768" authorId="0" shapeId="0" xr:uid="{00000000-0006-0000-0000-0000EE010000}">
      <text>
        <r>
          <rPr>
            <sz val="10"/>
            <color rgb="FF000000"/>
            <rFont val="Arial"/>
            <scheme val="minor"/>
          </rPr>
          <t>Updated on 22-Jul-2024 10:48 AM</t>
        </r>
      </text>
    </comment>
    <comment ref="F769" authorId="0" shapeId="0" xr:uid="{00000000-0006-0000-0000-0000EF010000}">
      <text>
        <r>
          <rPr>
            <sz val="10"/>
            <color rgb="FF000000"/>
            <rFont val="Arial"/>
            <scheme val="minor"/>
          </rPr>
          <t>Updated on 22-Jul-2024 10:50 AM</t>
        </r>
      </text>
    </comment>
    <comment ref="G769" authorId="0" shapeId="0" xr:uid="{00000000-0006-0000-0000-0000F0010000}">
      <text>
        <r>
          <rPr>
            <sz val="10"/>
            <color rgb="FF000000"/>
            <rFont val="Arial"/>
            <scheme val="minor"/>
          </rPr>
          <t>Updated on 22-Jul-2024 10:50 AM</t>
        </r>
      </text>
    </comment>
    <comment ref="H769" authorId="0" shapeId="0" xr:uid="{00000000-0006-0000-0000-0000F1010000}">
      <text>
        <r>
          <rPr>
            <sz val="10"/>
            <color rgb="FF000000"/>
            <rFont val="Arial"/>
            <scheme val="minor"/>
          </rPr>
          <t>Updated on 22-Jul-2024 10:50 AM</t>
        </r>
      </text>
    </comment>
    <comment ref="F770" authorId="0" shapeId="0" xr:uid="{00000000-0006-0000-0000-0000F2010000}">
      <text>
        <r>
          <rPr>
            <sz val="10"/>
            <color rgb="FF000000"/>
            <rFont val="Arial"/>
            <scheme val="minor"/>
          </rPr>
          <t>Updated on 22-Jul-2024 10:53 AM</t>
        </r>
      </text>
    </comment>
    <comment ref="G770" authorId="0" shapeId="0" xr:uid="{00000000-0006-0000-0000-0000F3010000}">
      <text>
        <r>
          <rPr>
            <sz val="10"/>
            <color rgb="FF000000"/>
            <rFont val="Arial"/>
            <scheme val="minor"/>
          </rPr>
          <t>Updated on 22-Jul-2024 10:52 AM</t>
        </r>
      </text>
    </comment>
    <comment ref="H770" authorId="0" shapeId="0" xr:uid="{00000000-0006-0000-0000-0000F4010000}">
      <text>
        <r>
          <rPr>
            <sz val="10"/>
            <color rgb="FF000000"/>
            <rFont val="Arial"/>
            <scheme val="minor"/>
          </rPr>
          <t>Updated on 22-Jul-2024 10:52 AM</t>
        </r>
      </text>
    </comment>
    <comment ref="F771" authorId="0" shapeId="0" xr:uid="{00000000-0006-0000-0000-0000F5010000}">
      <text>
        <r>
          <rPr>
            <sz val="10"/>
            <color rgb="FF000000"/>
            <rFont val="Arial"/>
            <scheme val="minor"/>
          </rPr>
          <t>Updated on 22-Jul-2024 10:54 AM</t>
        </r>
      </text>
    </comment>
    <comment ref="G771" authorId="0" shapeId="0" xr:uid="{00000000-0006-0000-0000-0000F6010000}">
      <text>
        <r>
          <rPr>
            <sz val="10"/>
            <color rgb="FF000000"/>
            <rFont val="Arial"/>
            <scheme val="minor"/>
          </rPr>
          <t>Updated on 22-Jul-2024 10:54 AM</t>
        </r>
      </text>
    </comment>
    <comment ref="H771" authorId="0" shapeId="0" xr:uid="{00000000-0006-0000-0000-0000F7010000}">
      <text>
        <r>
          <rPr>
            <sz val="10"/>
            <color rgb="FF000000"/>
            <rFont val="Arial"/>
            <scheme val="minor"/>
          </rPr>
          <t>Updated on 22-Jul-2024 10:54 AM</t>
        </r>
      </text>
    </comment>
    <comment ref="F772" authorId="0" shapeId="0" xr:uid="{00000000-0006-0000-0000-0000F8010000}">
      <text>
        <r>
          <rPr>
            <sz val="10"/>
            <color rgb="FF000000"/>
            <rFont val="Arial"/>
            <scheme val="minor"/>
          </rPr>
          <t>Updated on 22-Jul-2024 10:54 AM</t>
        </r>
      </text>
    </comment>
    <comment ref="G772" authorId="0" shapeId="0" xr:uid="{00000000-0006-0000-0000-0000F9010000}">
      <text>
        <r>
          <rPr>
            <sz val="10"/>
            <color rgb="FF000000"/>
            <rFont val="Arial"/>
            <scheme val="minor"/>
          </rPr>
          <t>Updated on 22-Jul-2024 10:54 AM</t>
        </r>
      </text>
    </comment>
    <comment ref="H772" authorId="0" shapeId="0" xr:uid="{00000000-0006-0000-0000-0000FA010000}">
      <text>
        <r>
          <rPr>
            <sz val="10"/>
            <color rgb="FF000000"/>
            <rFont val="Arial"/>
            <scheme val="minor"/>
          </rPr>
          <t>Updated on 22-Jul-2024 10:54 AM</t>
        </r>
      </text>
    </comment>
    <comment ref="F773" authorId="0" shapeId="0" xr:uid="{00000000-0006-0000-0000-0000FB010000}">
      <text>
        <r>
          <rPr>
            <sz val="10"/>
            <color rgb="FF000000"/>
            <rFont val="Arial"/>
            <scheme val="minor"/>
          </rPr>
          <t>Updated on 22-Jul-2024 10:57 AM</t>
        </r>
      </text>
    </comment>
    <comment ref="G773" authorId="0" shapeId="0" xr:uid="{00000000-0006-0000-0000-0000FC010000}">
      <text>
        <r>
          <rPr>
            <sz val="10"/>
            <color rgb="FF000000"/>
            <rFont val="Arial"/>
            <scheme val="minor"/>
          </rPr>
          <t>Updated on 22-Jul-2024 10:57 AM</t>
        </r>
      </text>
    </comment>
    <comment ref="H773" authorId="0" shapeId="0" xr:uid="{00000000-0006-0000-0000-0000FD010000}">
      <text>
        <r>
          <rPr>
            <sz val="10"/>
            <color rgb="FF000000"/>
            <rFont val="Arial"/>
            <scheme val="minor"/>
          </rPr>
          <t>Updated on 22-Jul-2024 10:57 AM</t>
        </r>
      </text>
    </comment>
    <comment ref="F774" authorId="0" shapeId="0" xr:uid="{00000000-0006-0000-0000-0000FE010000}">
      <text>
        <r>
          <rPr>
            <sz val="10"/>
            <color rgb="FF000000"/>
            <rFont val="Arial"/>
            <scheme val="minor"/>
          </rPr>
          <t>Updated on 22-Jul-2024 11:01 AM</t>
        </r>
      </text>
    </comment>
    <comment ref="G774" authorId="0" shapeId="0" xr:uid="{00000000-0006-0000-0000-0000FF010000}">
      <text>
        <r>
          <rPr>
            <sz val="10"/>
            <color rgb="FF000000"/>
            <rFont val="Arial"/>
            <scheme val="minor"/>
          </rPr>
          <t>Updated on 22-Jul-2024 11:01 AM</t>
        </r>
      </text>
    </comment>
    <comment ref="H774" authorId="0" shapeId="0" xr:uid="{00000000-0006-0000-0000-000000020000}">
      <text>
        <r>
          <rPr>
            <sz val="10"/>
            <color rgb="FF000000"/>
            <rFont val="Arial"/>
            <scheme val="minor"/>
          </rPr>
          <t>Updated on 22-Jul-2024 11:01 AM</t>
        </r>
      </text>
    </comment>
    <comment ref="F775" authorId="0" shapeId="0" xr:uid="{00000000-0006-0000-0000-000001020000}">
      <text>
        <r>
          <rPr>
            <sz val="10"/>
            <color rgb="FF000000"/>
            <rFont val="Arial"/>
            <scheme val="minor"/>
          </rPr>
          <t>Updated on 22-Jul-2024 11:16 AM</t>
        </r>
      </text>
    </comment>
    <comment ref="G775" authorId="0" shapeId="0" xr:uid="{00000000-0006-0000-0000-000002020000}">
      <text>
        <r>
          <rPr>
            <sz val="10"/>
            <color rgb="FF000000"/>
            <rFont val="Arial"/>
            <scheme val="minor"/>
          </rPr>
          <t>Updated on 22-Jul-2024 11:16 AM</t>
        </r>
      </text>
    </comment>
    <comment ref="H775" authorId="0" shapeId="0" xr:uid="{00000000-0006-0000-0000-000003020000}">
      <text>
        <r>
          <rPr>
            <sz val="10"/>
            <color rgb="FF000000"/>
            <rFont val="Arial"/>
            <scheme val="minor"/>
          </rPr>
          <t>Updated on 22-Jul-2024 11:16 AM</t>
        </r>
      </text>
    </comment>
    <comment ref="F776" authorId="0" shapeId="0" xr:uid="{00000000-0006-0000-0000-000004020000}">
      <text>
        <r>
          <rPr>
            <sz val="10"/>
            <color rgb="FF000000"/>
            <rFont val="Arial"/>
            <scheme val="minor"/>
          </rPr>
          <t>Updated on 22-Jul-2024 11:23 AM</t>
        </r>
      </text>
    </comment>
    <comment ref="G776" authorId="0" shapeId="0" xr:uid="{00000000-0006-0000-0000-000005020000}">
      <text>
        <r>
          <rPr>
            <sz val="10"/>
            <color rgb="FF000000"/>
            <rFont val="Arial"/>
            <scheme val="minor"/>
          </rPr>
          <t>Updated on 22-Jul-2024 11:23 AM</t>
        </r>
      </text>
    </comment>
    <comment ref="H776" authorId="0" shapeId="0" xr:uid="{00000000-0006-0000-0000-000006020000}">
      <text>
        <r>
          <rPr>
            <sz val="10"/>
            <color rgb="FF000000"/>
            <rFont val="Arial"/>
            <scheme val="minor"/>
          </rPr>
          <t>Updated on 22-Jul-2024 11:23 AM</t>
        </r>
      </text>
    </comment>
    <comment ref="F777" authorId="0" shapeId="0" xr:uid="{00000000-0006-0000-0000-000007020000}">
      <text>
        <r>
          <rPr>
            <sz val="10"/>
            <color rgb="FF000000"/>
            <rFont val="Arial"/>
            <scheme val="minor"/>
          </rPr>
          <t>Updated on 22-Jul-2024 11:39 AM</t>
        </r>
      </text>
    </comment>
    <comment ref="G777" authorId="0" shapeId="0" xr:uid="{00000000-0006-0000-0000-000008020000}">
      <text>
        <r>
          <rPr>
            <sz val="10"/>
            <color rgb="FF000000"/>
            <rFont val="Arial"/>
            <scheme val="minor"/>
          </rPr>
          <t>Updated on 22-Jul-2024 11:39 AM</t>
        </r>
      </text>
    </comment>
    <comment ref="H777" authorId="0" shapeId="0" xr:uid="{00000000-0006-0000-0000-000009020000}">
      <text>
        <r>
          <rPr>
            <sz val="10"/>
            <color rgb="FF000000"/>
            <rFont val="Arial"/>
            <scheme val="minor"/>
          </rPr>
          <t>Updated on 22-Jul-2024 11:39 AM</t>
        </r>
      </text>
    </comment>
    <comment ref="F778" authorId="0" shapeId="0" xr:uid="{00000000-0006-0000-0000-00000A020000}">
      <text>
        <r>
          <rPr>
            <sz val="10"/>
            <color rgb="FF000000"/>
            <rFont val="Arial"/>
            <scheme val="minor"/>
          </rPr>
          <t>Updated on 22-Jul-2024 11:59 AM</t>
        </r>
      </text>
    </comment>
    <comment ref="G778" authorId="0" shapeId="0" xr:uid="{00000000-0006-0000-0000-00000B020000}">
      <text>
        <r>
          <rPr>
            <sz val="10"/>
            <color rgb="FF000000"/>
            <rFont val="Arial"/>
            <scheme val="minor"/>
          </rPr>
          <t>Updated on 22-Jul-2024 11:59 AM</t>
        </r>
      </text>
    </comment>
    <comment ref="H778" authorId="0" shapeId="0" xr:uid="{00000000-0006-0000-0000-00000C020000}">
      <text>
        <r>
          <rPr>
            <sz val="10"/>
            <color rgb="FF000000"/>
            <rFont val="Arial"/>
            <scheme val="minor"/>
          </rPr>
          <t>Updated on 22-Jul-2024 11:59 AM</t>
        </r>
      </text>
    </comment>
    <comment ref="F779" authorId="0" shapeId="0" xr:uid="{00000000-0006-0000-0000-00000D020000}">
      <text>
        <r>
          <rPr>
            <sz val="10"/>
            <color rgb="FF000000"/>
            <rFont val="Arial"/>
            <scheme val="minor"/>
          </rPr>
          <t>Updated on 22-Jul-2024 12:23 PM</t>
        </r>
      </text>
    </comment>
    <comment ref="G779" authorId="0" shapeId="0" xr:uid="{00000000-0006-0000-0000-00000E020000}">
      <text>
        <r>
          <rPr>
            <sz val="10"/>
            <color rgb="FF000000"/>
            <rFont val="Arial"/>
            <scheme val="minor"/>
          </rPr>
          <t>Updated on 22-Jul-2024 12:23 PM</t>
        </r>
      </text>
    </comment>
    <comment ref="H779" authorId="0" shapeId="0" xr:uid="{00000000-0006-0000-0000-00000F020000}">
      <text>
        <r>
          <rPr>
            <sz val="10"/>
            <color rgb="FF000000"/>
            <rFont val="Arial"/>
            <scheme val="minor"/>
          </rPr>
          <t>Updated on 22-Jul-2024 12:23 PM</t>
        </r>
      </text>
    </comment>
    <comment ref="F780" authorId="0" shapeId="0" xr:uid="{00000000-0006-0000-0000-000010020000}">
      <text>
        <r>
          <rPr>
            <sz val="10"/>
            <color rgb="FF000000"/>
            <rFont val="Arial"/>
            <scheme val="minor"/>
          </rPr>
          <t>Updated on 22-Jul-2024 12:29 PM</t>
        </r>
      </text>
    </comment>
    <comment ref="G780" authorId="0" shapeId="0" xr:uid="{00000000-0006-0000-0000-000011020000}">
      <text>
        <r>
          <rPr>
            <sz val="10"/>
            <color rgb="FF000000"/>
            <rFont val="Arial"/>
            <scheme val="minor"/>
          </rPr>
          <t>Updated on 22-Jul-2024 12:29 PM</t>
        </r>
      </text>
    </comment>
    <comment ref="H780" authorId="0" shapeId="0" xr:uid="{00000000-0006-0000-0000-000012020000}">
      <text>
        <r>
          <rPr>
            <sz val="10"/>
            <color rgb="FF000000"/>
            <rFont val="Arial"/>
            <scheme val="minor"/>
          </rPr>
          <t>Updated on 22-Jul-2024 12:29 PM</t>
        </r>
      </text>
    </comment>
    <comment ref="F781" authorId="0" shapeId="0" xr:uid="{00000000-0006-0000-0000-000013020000}">
      <text>
        <r>
          <rPr>
            <sz val="10"/>
            <color rgb="FF000000"/>
            <rFont val="Arial"/>
            <scheme val="minor"/>
          </rPr>
          <t>Updated on 22-Jul-2024 12:50 PM</t>
        </r>
      </text>
    </comment>
    <comment ref="G781" authorId="0" shapeId="0" xr:uid="{00000000-0006-0000-0000-000014020000}">
      <text>
        <r>
          <rPr>
            <sz val="10"/>
            <color rgb="FF000000"/>
            <rFont val="Arial"/>
            <scheme val="minor"/>
          </rPr>
          <t>Updated on 22-Jul-2024 12:50 PM</t>
        </r>
      </text>
    </comment>
    <comment ref="H781" authorId="0" shapeId="0" xr:uid="{00000000-0006-0000-0000-000015020000}">
      <text>
        <r>
          <rPr>
            <sz val="10"/>
            <color rgb="FF000000"/>
            <rFont val="Arial"/>
            <scheme val="minor"/>
          </rPr>
          <t>Updated on 22-Jul-2024 12:50 PM</t>
        </r>
      </text>
    </comment>
    <comment ref="F782" authorId="0" shapeId="0" xr:uid="{00000000-0006-0000-0000-000016020000}">
      <text>
        <r>
          <rPr>
            <sz val="10"/>
            <color rgb="FF000000"/>
            <rFont val="Arial"/>
            <scheme val="minor"/>
          </rPr>
          <t>Updated on 22-Jul-2024 01:21 PM</t>
        </r>
      </text>
    </comment>
    <comment ref="G782" authorId="0" shapeId="0" xr:uid="{00000000-0006-0000-0000-000017020000}">
      <text>
        <r>
          <rPr>
            <sz val="10"/>
            <color rgb="FF000000"/>
            <rFont val="Arial"/>
            <scheme val="minor"/>
          </rPr>
          <t>Updated on 22-Jul-2024 01:21 PM</t>
        </r>
      </text>
    </comment>
    <comment ref="H782" authorId="0" shapeId="0" xr:uid="{00000000-0006-0000-0000-000018020000}">
      <text>
        <r>
          <rPr>
            <sz val="10"/>
            <color rgb="FF000000"/>
            <rFont val="Arial"/>
            <scheme val="minor"/>
          </rPr>
          <t>Updated on 22-Jul-2024 01:21 PM</t>
        </r>
      </text>
    </comment>
    <comment ref="F783" authorId="0" shapeId="0" xr:uid="{00000000-0006-0000-0000-000019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3" authorId="0" shapeId="0" xr:uid="{00000000-0006-0000-0000-00001A020000}">
      <text>
        <r>
          <rPr>
            <sz val="10"/>
            <color rgb="FF000000"/>
            <rFont val="Arial"/>
            <scheme val="minor"/>
          </rPr>
          <t>Updated on 22-Jul-2024 02:00 PM</t>
        </r>
      </text>
    </comment>
    <comment ref="H783" authorId="0" shapeId="0" xr:uid="{00000000-0006-0000-0000-00001B020000}">
      <text>
        <r>
          <rPr>
            <sz val="10"/>
            <color rgb="FF000000"/>
            <rFont val="Arial"/>
            <scheme val="minor"/>
          </rPr>
          <t>Updated on 22-Jul-2024 02:00 PM</t>
        </r>
      </text>
    </comment>
    <comment ref="F784" authorId="0" shapeId="0" xr:uid="{00000000-0006-0000-0000-00001C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4" authorId="0" shapeId="0" xr:uid="{00000000-0006-0000-0000-00001D020000}">
      <text>
        <r>
          <rPr>
            <sz val="10"/>
            <color rgb="FF000000"/>
            <rFont val="Arial"/>
            <scheme val="minor"/>
          </rPr>
          <t>Updated on 22-Jul-2024 02:10 PM</t>
        </r>
      </text>
    </comment>
    <comment ref="H784" authorId="0" shapeId="0" xr:uid="{00000000-0006-0000-0000-00001E020000}">
      <text>
        <r>
          <rPr>
            <sz val="10"/>
            <color rgb="FF000000"/>
            <rFont val="Arial"/>
            <scheme val="minor"/>
          </rPr>
          <t>Updated on 22-Jul-2024 02:10 PM</t>
        </r>
      </text>
    </comment>
    <comment ref="F785" authorId="0" shapeId="0" xr:uid="{00000000-0006-0000-0000-00001F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5" authorId="0" shapeId="0" xr:uid="{00000000-0006-0000-0000-000020020000}">
      <text>
        <r>
          <rPr>
            <sz val="10"/>
            <color rgb="FF000000"/>
            <rFont val="Arial"/>
            <scheme val="minor"/>
          </rPr>
          <t>Updated on 22-Jul-2024 02:29 PM</t>
        </r>
      </text>
    </comment>
    <comment ref="H785" authorId="0" shapeId="0" xr:uid="{00000000-0006-0000-0000-000021020000}">
      <text>
        <r>
          <rPr>
            <sz val="10"/>
            <color rgb="FF000000"/>
            <rFont val="Arial"/>
            <scheme val="minor"/>
          </rPr>
          <t>Updated on 22-Jul-2024 02:29 PM</t>
        </r>
      </text>
    </comment>
    <comment ref="F786" authorId="0" shapeId="0" xr:uid="{00000000-0006-0000-0000-000022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6" authorId="0" shapeId="0" xr:uid="{00000000-0006-0000-0000-000023020000}">
      <text>
        <r>
          <rPr>
            <sz val="10"/>
            <color rgb="FF000000"/>
            <rFont val="Arial"/>
            <scheme val="minor"/>
          </rPr>
          <t>Updated on 22-Jul-2024 02:31 PM</t>
        </r>
      </text>
    </comment>
    <comment ref="H786" authorId="0" shapeId="0" xr:uid="{00000000-0006-0000-0000-000024020000}">
      <text>
        <r>
          <rPr>
            <sz val="10"/>
            <color rgb="FF000000"/>
            <rFont val="Arial"/>
            <scheme val="minor"/>
          </rPr>
          <t>Updated on 22-Jul-2024 02:31 PM</t>
        </r>
      </text>
    </comment>
    <comment ref="F787" authorId="0" shapeId="0" xr:uid="{00000000-0006-0000-0000-000025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7" authorId="0" shapeId="0" xr:uid="{00000000-0006-0000-0000-000026020000}">
      <text>
        <r>
          <rPr>
            <sz val="10"/>
            <color rgb="FF000000"/>
            <rFont val="Arial"/>
            <scheme val="minor"/>
          </rPr>
          <t>Updated on 22-Jul-2024 04:02 PM</t>
        </r>
      </text>
    </comment>
    <comment ref="H787" authorId="0" shapeId="0" xr:uid="{00000000-0006-0000-0000-000027020000}">
      <text>
        <r>
          <rPr>
            <sz val="10"/>
            <color rgb="FF000000"/>
            <rFont val="Arial"/>
            <scheme val="minor"/>
          </rPr>
          <t>Updated on 22-Jul-2024 04:02 PM</t>
        </r>
      </text>
    </comment>
    <comment ref="F788" authorId="0" shapeId="0" xr:uid="{00000000-0006-0000-0000-000028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8" authorId="0" shapeId="0" xr:uid="{00000000-0006-0000-0000-000029020000}">
      <text>
        <r>
          <rPr>
            <sz val="10"/>
            <color rgb="FF000000"/>
            <rFont val="Arial"/>
            <scheme val="minor"/>
          </rPr>
          <t>Updated on 22-Jul-2024 04:02 PM</t>
        </r>
      </text>
    </comment>
    <comment ref="H788" authorId="0" shapeId="0" xr:uid="{00000000-0006-0000-0000-00002A020000}">
      <text>
        <r>
          <rPr>
            <sz val="10"/>
            <color rgb="FF000000"/>
            <rFont val="Arial"/>
            <scheme val="minor"/>
          </rPr>
          <t>Updated on 22-Jul-2024 04:02 PM</t>
        </r>
      </text>
    </comment>
    <comment ref="F789" authorId="0" shapeId="0" xr:uid="{00000000-0006-0000-0000-00002B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89" authorId="0" shapeId="0" xr:uid="{00000000-0006-0000-0000-00002C020000}">
      <text>
        <r>
          <rPr>
            <sz val="10"/>
            <color rgb="FF000000"/>
            <rFont val="Arial"/>
            <scheme val="minor"/>
          </rPr>
          <t>Updated on 24-Jul-2024 07:38 AM</t>
        </r>
      </text>
    </comment>
    <comment ref="H789" authorId="0" shapeId="0" xr:uid="{00000000-0006-0000-0000-00002D020000}">
      <text>
        <r>
          <rPr>
            <sz val="10"/>
            <color rgb="FF000000"/>
            <rFont val="Arial"/>
            <scheme val="minor"/>
          </rPr>
          <t>Updated on 24-Jul-2024 07:38 AM</t>
        </r>
      </text>
    </comment>
    <comment ref="F790" authorId="0" shapeId="0" xr:uid="{00000000-0006-0000-0000-00002E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90" authorId="0" shapeId="0" xr:uid="{00000000-0006-0000-0000-00002F020000}">
      <text>
        <r>
          <rPr>
            <sz val="10"/>
            <color rgb="FF000000"/>
            <rFont val="Arial"/>
            <scheme val="minor"/>
          </rPr>
          <t>Updated on 24-Jul-2024 12:42 PM</t>
        </r>
      </text>
    </comment>
    <comment ref="H790" authorId="0" shapeId="0" xr:uid="{00000000-0006-0000-0000-000030020000}">
      <text>
        <r>
          <rPr>
            <sz val="10"/>
            <color rgb="FF000000"/>
            <rFont val="Arial"/>
            <scheme val="minor"/>
          </rPr>
          <t>Updated on 24-Jul-2024 12:42 PM</t>
        </r>
      </text>
    </comment>
    <comment ref="F791" authorId="0" shapeId="0" xr:uid="{00000000-0006-0000-0000-000031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791" authorId="0" shapeId="0" xr:uid="{00000000-0006-0000-0000-000032020000}">
      <text>
        <r>
          <rPr>
            <sz val="10"/>
            <color rgb="FF000000"/>
            <rFont val="Arial"/>
            <scheme val="minor"/>
          </rPr>
          <t>Updated on 25-Jul-2024 08:31 AM</t>
        </r>
      </text>
    </comment>
    <comment ref="H791" authorId="0" shapeId="0" xr:uid="{00000000-0006-0000-0000-000033020000}">
      <text>
        <r>
          <rPr>
            <sz val="10"/>
            <color rgb="FF000000"/>
            <rFont val="Arial"/>
            <scheme val="minor"/>
          </rPr>
          <t>Updated on 25-Jul-2024 08:31 AM</t>
        </r>
      </text>
    </comment>
    <comment ref="F792" authorId="0" shapeId="0" xr:uid="{00000000-0006-0000-0000-000034020000}">
      <text>
        <r>
          <rPr>
            <sz val="10"/>
            <color rgb="FF000000"/>
            <rFont val="Arial"/>
            <scheme val="minor"/>
          </rPr>
          <t>Updated on 06-Aug-2024 02:31 PM</t>
        </r>
      </text>
    </comment>
    <comment ref="G792" authorId="0" shapeId="0" xr:uid="{00000000-0006-0000-0000-000035020000}">
      <text>
        <r>
          <rPr>
            <sz val="10"/>
            <color rgb="FF000000"/>
            <rFont val="Arial"/>
            <scheme val="minor"/>
          </rPr>
          <t>Updated on 06-Aug-2024 02:31 PM</t>
        </r>
      </text>
    </comment>
    <comment ref="H792" authorId="0" shapeId="0" xr:uid="{00000000-0006-0000-0000-000036020000}">
      <text>
        <r>
          <rPr>
            <sz val="10"/>
            <color rgb="FF000000"/>
            <rFont val="Arial"/>
            <scheme val="minor"/>
          </rPr>
          <t>Updated on 06-Aug-2024 02:31 PM</t>
        </r>
      </text>
    </comment>
    <comment ref="F793" authorId="0" shapeId="0" xr:uid="{00000000-0006-0000-0000-000037020000}">
      <text>
        <r>
          <rPr>
            <sz val="10"/>
            <color rgb="FF000000"/>
            <rFont val="Arial"/>
            <scheme val="minor"/>
          </rPr>
          <t>Updated on 07-Aug-2024 10:22 AM</t>
        </r>
      </text>
    </comment>
    <comment ref="G793" authorId="0" shapeId="0" xr:uid="{00000000-0006-0000-0000-000038020000}">
      <text>
        <r>
          <rPr>
            <sz val="10"/>
            <color rgb="FF000000"/>
            <rFont val="Arial"/>
            <scheme val="minor"/>
          </rPr>
          <t>Updated on 07-Aug-2024 10:22 AM</t>
        </r>
      </text>
    </comment>
    <comment ref="H793" authorId="0" shapeId="0" xr:uid="{00000000-0006-0000-0000-000039020000}">
      <text>
        <r>
          <rPr>
            <sz val="10"/>
            <color rgb="FF000000"/>
            <rFont val="Arial"/>
            <scheme val="minor"/>
          </rPr>
          <t>Updated on 07-Aug-2024 10:22 AM</t>
        </r>
      </text>
    </comment>
    <comment ref="F794" authorId="0" shapeId="0" xr:uid="{00000000-0006-0000-0000-00003A020000}">
      <text>
        <r>
          <rPr>
            <sz val="10"/>
            <color rgb="FF000000"/>
            <rFont val="Arial"/>
            <scheme val="minor"/>
          </rPr>
          <t>Updated on 09-Aug-2024 07:44 AM</t>
        </r>
      </text>
    </comment>
    <comment ref="G794" authorId="0" shapeId="0" xr:uid="{00000000-0006-0000-0000-00003B020000}">
      <text>
        <r>
          <rPr>
            <sz val="10"/>
            <color rgb="FF000000"/>
            <rFont val="Arial"/>
            <scheme val="minor"/>
          </rPr>
          <t>Updated on 09-Aug-2024 07:44 AM</t>
        </r>
      </text>
    </comment>
    <comment ref="H794" authorId="0" shapeId="0" xr:uid="{00000000-0006-0000-0000-00003C020000}">
      <text>
        <r>
          <rPr>
            <sz val="10"/>
            <color rgb="FF000000"/>
            <rFont val="Arial"/>
            <scheme val="minor"/>
          </rPr>
          <t>Updated on 09-Aug-2024 07:44 AM</t>
        </r>
      </text>
    </comment>
    <comment ref="F795" authorId="0" shapeId="0" xr:uid="{00000000-0006-0000-0000-00003D020000}">
      <text>
        <r>
          <rPr>
            <sz val="10"/>
            <color rgb="FF000000"/>
            <rFont val="Arial"/>
            <scheme val="minor"/>
          </rPr>
          <t>Updated on 09-Aug-2024 07:45 AM</t>
        </r>
      </text>
    </comment>
    <comment ref="G795" authorId="0" shapeId="0" xr:uid="{00000000-0006-0000-0000-00003E020000}">
      <text>
        <r>
          <rPr>
            <sz val="10"/>
            <color rgb="FF000000"/>
            <rFont val="Arial"/>
            <scheme val="minor"/>
          </rPr>
          <t>Updated on 09-Aug-2024 07:45 AM</t>
        </r>
      </text>
    </comment>
    <comment ref="H795" authorId="0" shapeId="0" xr:uid="{00000000-0006-0000-0000-00003F020000}">
      <text>
        <r>
          <rPr>
            <sz val="10"/>
            <color rgb="FF000000"/>
            <rFont val="Arial"/>
            <scheme val="minor"/>
          </rPr>
          <t>Updated on 09-Aug-2024 07:45 AM</t>
        </r>
      </text>
    </comment>
    <comment ref="F796" authorId="0" shapeId="0" xr:uid="{00000000-0006-0000-0000-000040020000}">
      <text>
        <r>
          <rPr>
            <sz val="10"/>
            <color rgb="FF000000"/>
            <rFont val="Arial"/>
            <scheme val="minor"/>
          </rPr>
          <t>Updated on 09-Aug-2024 07:46 AM</t>
        </r>
      </text>
    </comment>
    <comment ref="G796" authorId="0" shapeId="0" xr:uid="{00000000-0006-0000-0000-000041020000}">
      <text>
        <r>
          <rPr>
            <sz val="10"/>
            <color rgb="FF000000"/>
            <rFont val="Arial"/>
            <scheme val="minor"/>
          </rPr>
          <t>Updated on 09-Aug-2024 07:45 AM</t>
        </r>
      </text>
    </comment>
    <comment ref="H796" authorId="0" shapeId="0" xr:uid="{00000000-0006-0000-0000-000042020000}">
      <text>
        <r>
          <rPr>
            <sz val="10"/>
            <color rgb="FF000000"/>
            <rFont val="Arial"/>
            <scheme val="minor"/>
          </rPr>
          <t>Updated on 09-Aug-2024 07:45 AM</t>
        </r>
      </text>
    </comment>
    <comment ref="F797" authorId="0" shapeId="0" xr:uid="{00000000-0006-0000-0000-000043020000}">
      <text>
        <r>
          <rPr>
            <sz val="10"/>
            <color rgb="FF000000"/>
            <rFont val="Arial"/>
            <scheme val="minor"/>
          </rPr>
          <t>Updated on 12-Aug-2024 06:54 AM</t>
        </r>
      </text>
    </comment>
    <comment ref="G797" authorId="0" shapeId="0" xr:uid="{00000000-0006-0000-0000-000044020000}">
      <text>
        <r>
          <rPr>
            <sz val="10"/>
            <color rgb="FF000000"/>
            <rFont val="Arial"/>
            <scheme val="minor"/>
          </rPr>
          <t>Updated on 12-Aug-2024 06:54 AM</t>
        </r>
      </text>
    </comment>
    <comment ref="H797" authorId="0" shapeId="0" xr:uid="{00000000-0006-0000-0000-000045020000}">
      <text>
        <r>
          <rPr>
            <sz val="10"/>
            <color rgb="FF000000"/>
            <rFont val="Arial"/>
            <scheme val="minor"/>
          </rPr>
          <t>Updated on 12-Aug-2024 06:54 AM</t>
        </r>
      </text>
    </comment>
    <comment ref="F798" authorId="0" shapeId="0" xr:uid="{00000000-0006-0000-0000-000046020000}">
      <text>
        <r>
          <rPr>
            <sz val="10"/>
            <color rgb="FF000000"/>
            <rFont val="Arial"/>
            <scheme val="minor"/>
          </rPr>
          <t>Updated on 12-Aug-2024 12:50 PM</t>
        </r>
      </text>
    </comment>
    <comment ref="G798" authorId="0" shapeId="0" xr:uid="{00000000-0006-0000-0000-000047020000}">
      <text>
        <r>
          <rPr>
            <sz val="10"/>
            <color rgb="FF000000"/>
            <rFont val="Arial"/>
            <scheme val="minor"/>
          </rPr>
          <t>Updated on 12-Aug-2024 12:50 PM</t>
        </r>
      </text>
    </comment>
    <comment ref="H798" authorId="0" shapeId="0" xr:uid="{00000000-0006-0000-0000-000048020000}">
      <text>
        <r>
          <rPr>
            <sz val="10"/>
            <color rgb="FF000000"/>
            <rFont val="Arial"/>
            <scheme val="minor"/>
          </rPr>
          <t>Updated on 12-Aug-2024 12:50 PM</t>
        </r>
      </text>
    </comment>
    <comment ref="F799" authorId="0" shapeId="0" xr:uid="{00000000-0006-0000-0000-000049020000}">
      <text>
        <r>
          <rPr>
            <sz val="10"/>
            <color rgb="FF000000"/>
            <rFont val="Arial"/>
            <scheme val="minor"/>
          </rPr>
          <t>Updated on 12-Aug-2024 03:51 PM</t>
        </r>
      </text>
    </comment>
    <comment ref="G799" authorId="0" shapeId="0" xr:uid="{00000000-0006-0000-0000-00004A020000}">
      <text>
        <r>
          <rPr>
            <sz val="10"/>
            <color rgb="FF000000"/>
            <rFont val="Arial"/>
            <scheme val="minor"/>
          </rPr>
          <t>Updated on 12-Aug-2024 03:51 PM</t>
        </r>
      </text>
    </comment>
    <comment ref="H799" authorId="0" shapeId="0" xr:uid="{00000000-0006-0000-0000-00004B020000}">
      <text>
        <r>
          <rPr>
            <sz val="10"/>
            <color rgb="FF000000"/>
            <rFont val="Arial"/>
            <scheme val="minor"/>
          </rPr>
          <t>Updated on 12-Aug-2024 03:51 PM</t>
        </r>
      </text>
    </comment>
    <comment ref="F800" authorId="0" shapeId="0" xr:uid="{00000000-0006-0000-0000-00004C020000}">
      <text>
        <r>
          <rPr>
            <sz val="10"/>
            <color rgb="FF000000"/>
            <rFont val="Arial"/>
            <scheme val="minor"/>
          </rPr>
          <t>Updated on 12-Aug-2024 03:54 PM</t>
        </r>
      </text>
    </comment>
    <comment ref="G800" authorId="0" shapeId="0" xr:uid="{00000000-0006-0000-0000-00004D020000}">
      <text>
        <r>
          <rPr>
            <sz val="10"/>
            <color rgb="FF000000"/>
            <rFont val="Arial"/>
            <scheme val="minor"/>
          </rPr>
          <t>Updated on 12-Aug-2024 03:54 PM</t>
        </r>
      </text>
    </comment>
    <comment ref="H800" authorId="0" shapeId="0" xr:uid="{00000000-0006-0000-0000-00004E020000}">
      <text>
        <r>
          <rPr>
            <sz val="10"/>
            <color rgb="FF000000"/>
            <rFont val="Arial"/>
            <scheme val="minor"/>
          </rPr>
          <t>Updated on 12-Aug-2024 03:54 PM</t>
        </r>
      </text>
    </comment>
    <comment ref="F801" authorId="0" shapeId="0" xr:uid="{00000000-0006-0000-0000-00004F020000}">
      <text>
        <r>
          <rPr>
            <sz val="10"/>
            <color rgb="FF000000"/>
            <rFont val="Arial"/>
            <scheme val="minor"/>
          </rPr>
          <t>Updated on 13-Aug-2024 06:59 AM</t>
        </r>
      </text>
    </comment>
    <comment ref="G801" authorId="0" shapeId="0" xr:uid="{00000000-0006-0000-0000-000050020000}">
      <text>
        <r>
          <rPr>
            <sz val="10"/>
            <color rgb="FF000000"/>
            <rFont val="Arial"/>
            <scheme val="minor"/>
          </rPr>
          <t>Updated on 13-Aug-2024 06:59 AM</t>
        </r>
      </text>
    </comment>
    <comment ref="H801" authorId="0" shapeId="0" xr:uid="{00000000-0006-0000-0000-000051020000}">
      <text>
        <r>
          <rPr>
            <sz val="10"/>
            <color rgb="FF000000"/>
            <rFont val="Arial"/>
            <scheme val="minor"/>
          </rPr>
          <t>Updated on 13-Aug-2024 06:59 AM</t>
        </r>
      </text>
    </comment>
    <comment ref="F802" authorId="0" shapeId="0" xr:uid="{00000000-0006-0000-0000-000052020000}">
      <text>
        <r>
          <rPr>
            <sz val="10"/>
            <color rgb="FF000000"/>
            <rFont val="Arial"/>
            <scheme val="minor"/>
          </rPr>
          <t>Updated on 13-Aug-2024 07:25 AM</t>
        </r>
      </text>
    </comment>
    <comment ref="G802" authorId="0" shapeId="0" xr:uid="{00000000-0006-0000-0000-000053020000}">
      <text>
        <r>
          <rPr>
            <sz val="10"/>
            <color rgb="FF000000"/>
            <rFont val="Arial"/>
            <scheme val="minor"/>
          </rPr>
          <t>Updated on 13-Aug-2024 07:25 AM</t>
        </r>
      </text>
    </comment>
    <comment ref="H802" authorId="0" shapeId="0" xr:uid="{00000000-0006-0000-0000-000054020000}">
      <text>
        <r>
          <rPr>
            <sz val="10"/>
            <color rgb="FF000000"/>
            <rFont val="Arial"/>
            <scheme val="minor"/>
          </rPr>
          <t>Updated on 13-Aug-2024 07:25 AM</t>
        </r>
      </text>
    </comment>
    <comment ref="F803" authorId="0" shapeId="0" xr:uid="{00000000-0006-0000-0000-000055020000}">
      <text>
        <r>
          <rPr>
            <sz val="10"/>
            <color rgb="FF000000"/>
            <rFont val="Arial"/>
            <scheme val="minor"/>
          </rPr>
          <t>Updated on 13-Aug-2024 08:32 AM</t>
        </r>
      </text>
    </comment>
    <comment ref="G803" authorId="0" shapeId="0" xr:uid="{00000000-0006-0000-0000-000056020000}">
      <text>
        <r>
          <rPr>
            <sz val="10"/>
            <color rgb="FF000000"/>
            <rFont val="Arial"/>
            <scheme val="minor"/>
          </rPr>
          <t>Updated on 13-Aug-2024 08:32 AM</t>
        </r>
      </text>
    </comment>
    <comment ref="H803" authorId="0" shapeId="0" xr:uid="{00000000-0006-0000-0000-000057020000}">
      <text>
        <r>
          <rPr>
            <sz val="10"/>
            <color rgb="FF000000"/>
            <rFont val="Arial"/>
            <scheme val="minor"/>
          </rPr>
          <t>Updated on 13-Aug-2024 08:32 AM</t>
        </r>
      </text>
    </comment>
    <comment ref="F804" authorId="0" shapeId="0" xr:uid="{00000000-0006-0000-0000-000058020000}">
      <text>
        <r>
          <rPr>
            <sz val="10"/>
            <color rgb="FF000000"/>
            <rFont val="Arial"/>
            <scheme val="minor"/>
          </rPr>
          <t>Updated on 13-Aug-2024 08:43 AM</t>
        </r>
      </text>
    </comment>
    <comment ref="G804" authorId="0" shapeId="0" xr:uid="{00000000-0006-0000-0000-000059020000}">
      <text>
        <r>
          <rPr>
            <sz val="10"/>
            <color rgb="FF000000"/>
            <rFont val="Arial"/>
            <scheme val="minor"/>
          </rPr>
          <t>Updated on 13-Aug-2024 08:43 AM</t>
        </r>
      </text>
    </comment>
    <comment ref="H804" authorId="0" shapeId="0" xr:uid="{00000000-0006-0000-0000-00005A020000}">
      <text>
        <r>
          <rPr>
            <sz val="10"/>
            <color rgb="FF000000"/>
            <rFont val="Arial"/>
            <scheme val="minor"/>
          </rPr>
          <t>Updated on 13-Aug-2024 08:43 AM</t>
        </r>
      </text>
    </comment>
    <comment ref="F805" authorId="0" shapeId="0" xr:uid="{00000000-0006-0000-0000-00005B020000}">
      <text>
        <r>
          <rPr>
            <sz val="10"/>
            <color rgb="FF000000"/>
            <rFont val="Arial"/>
            <scheme val="minor"/>
          </rPr>
          <t>Updated on 13-Aug-2024 09:17 AM</t>
        </r>
      </text>
    </comment>
    <comment ref="G805" authorId="0" shapeId="0" xr:uid="{00000000-0006-0000-0000-00005C020000}">
      <text>
        <r>
          <rPr>
            <sz val="10"/>
            <color rgb="FF000000"/>
            <rFont val="Arial"/>
            <scheme val="minor"/>
          </rPr>
          <t>Updated on 13-Aug-2024 09:17 AM</t>
        </r>
      </text>
    </comment>
    <comment ref="H805" authorId="0" shapeId="0" xr:uid="{00000000-0006-0000-0000-00005D020000}">
      <text>
        <r>
          <rPr>
            <sz val="10"/>
            <color rgb="FF000000"/>
            <rFont val="Arial"/>
            <scheme val="minor"/>
          </rPr>
          <t>Updated on 13-Aug-2024 09:17 AM</t>
        </r>
      </text>
    </comment>
    <comment ref="F806" authorId="0" shapeId="0" xr:uid="{00000000-0006-0000-0000-00005E020000}">
      <text>
        <r>
          <rPr>
            <sz val="10"/>
            <color rgb="FF000000"/>
            <rFont val="Arial"/>
            <scheme val="minor"/>
          </rPr>
          <t>Updated on 13-Aug-2024 09:22 AM</t>
        </r>
      </text>
    </comment>
    <comment ref="G806" authorId="0" shapeId="0" xr:uid="{00000000-0006-0000-0000-00005F020000}">
      <text>
        <r>
          <rPr>
            <sz val="10"/>
            <color rgb="FF000000"/>
            <rFont val="Arial"/>
            <scheme val="minor"/>
          </rPr>
          <t>Updated on 13-Aug-2024 09:22 AM</t>
        </r>
      </text>
    </comment>
    <comment ref="H806" authorId="0" shapeId="0" xr:uid="{00000000-0006-0000-0000-000060020000}">
      <text>
        <r>
          <rPr>
            <sz val="10"/>
            <color rgb="FF000000"/>
            <rFont val="Arial"/>
            <scheme val="minor"/>
          </rPr>
          <t>Updated on 13-Aug-2024 09:22 AM</t>
        </r>
      </text>
    </comment>
    <comment ref="F807" authorId="0" shapeId="0" xr:uid="{00000000-0006-0000-0000-000061020000}">
      <text>
        <r>
          <rPr>
            <sz val="10"/>
            <color rgb="FF000000"/>
            <rFont val="Arial"/>
            <scheme val="minor"/>
          </rPr>
          <t>Updated on 13-Aug-2024 12:48 PM</t>
        </r>
      </text>
    </comment>
    <comment ref="G807" authorId="0" shapeId="0" xr:uid="{00000000-0006-0000-0000-000062020000}">
      <text>
        <r>
          <rPr>
            <sz val="10"/>
            <color rgb="FF000000"/>
            <rFont val="Arial"/>
            <scheme val="minor"/>
          </rPr>
          <t>Updated on 13-Aug-2024 12:48 PM</t>
        </r>
      </text>
    </comment>
    <comment ref="H807" authorId="0" shapeId="0" xr:uid="{00000000-0006-0000-0000-000063020000}">
      <text>
        <r>
          <rPr>
            <sz val="10"/>
            <color rgb="FF000000"/>
            <rFont val="Arial"/>
            <scheme val="minor"/>
          </rPr>
          <t>Updated on 13-Aug-2024 12:48 PM</t>
        </r>
      </text>
    </comment>
    <comment ref="F808" authorId="0" shapeId="0" xr:uid="{00000000-0006-0000-0000-000064020000}">
      <text>
        <r>
          <rPr>
            <sz val="10"/>
            <color rgb="FF000000"/>
            <rFont val="Arial"/>
            <scheme val="minor"/>
          </rPr>
          <t>Updated on 13-Aug-2024 01:48 PM</t>
        </r>
      </text>
    </comment>
    <comment ref="G808" authorId="0" shapeId="0" xr:uid="{00000000-0006-0000-0000-000065020000}">
      <text>
        <r>
          <rPr>
            <sz val="10"/>
            <color rgb="FF000000"/>
            <rFont val="Arial"/>
            <scheme val="minor"/>
          </rPr>
          <t>Updated on 13-Aug-2024 01:48 PM</t>
        </r>
      </text>
    </comment>
    <comment ref="H808" authorId="0" shapeId="0" xr:uid="{00000000-0006-0000-0000-000066020000}">
      <text>
        <r>
          <rPr>
            <sz val="10"/>
            <color rgb="FF000000"/>
            <rFont val="Arial"/>
            <scheme val="minor"/>
          </rPr>
          <t>Updated on 13-Aug-2024 01:48 PM</t>
        </r>
      </text>
    </comment>
    <comment ref="F809" authorId="0" shapeId="0" xr:uid="{00000000-0006-0000-0000-000067020000}">
      <text>
        <r>
          <rPr>
            <sz val="10"/>
            <color rgb="FF000000"/>
            <rFont val="Arial"/>
            <scheme val="minor"/>
          </rPr>
          <t>Updated on 13-Aug-2024 03:10 PM</t>
        </r>
      </text>
    </comment>
    <comment ref="G809" authorId="0" shapeId="0" xr:uid="{00000000-0006-0000-0000-000068020000}">
      <text>
        <r>
          <rPr>
            <sz val="10"/>
            <color rgb="FF000000"/>
            <rFont val="Arial"/>
            <scheme val="minor"/>
          </rPr>
          <t>Updated on 13-Aug-2024 03:10 PM</t>
        </r>
      </text>
    </comment>
    <comment ref="H809" authorId="0" shapeId="0" xr:uid="{00000000-0006-0000-0000-000069020000}">
      <text>
        <r>
          <rPr>
            <sz val="10"/>
            <color rgb="FF000000"/>
            <rFont val="Arial"/>
            <scheme val="minor"/>
          </rPr>
          <t>Updated on 13-Aug-2024 03:10 PM</t>
        </r>
      </text>
    </comment>
    <comment ref="F810" authorId="0" shapeId="0" xr:uid="{00000000-0006-0000-0000-00006A020000}">
      <text>
        <r>
          <rPr>
            <sz val="10"/>
            <color rgb="FF000000"/>
            <rFont val="Arial"/>
            <scheme val="minor"/>
          </rPr>
          <t>Updated on 13-Aug-2024 03:20 PM</t>
        </r>
      </text>
    </comment>
    <comment ref="G810" authorId="0" shapeId="0" xr:uid="{00000000-0006-0000-0000-00006B020000}">
      <text>
        <r>
          <rPr>
            <sz val="10"/>
            <color rgb="FF000000"/>
            <rFont val="Arial"/>
            <scheme val="minor"/>
          </rPr>
          <t>Updated on 13-Aug-2024 03:20 PM</t>
        </r>
      </text>
    </comment>
    <comment ref="H810" authorId="0" shapeId="0" xr:uid="{00000000-0006-0000-0000-00006C020000}">
      <text>
        <r>
          <rPr>
            <sz val="10"/>
            <color rgb="FF000000"/>
            <rFont val="Arial"/>
            <scheme val="minor"/>
          </rPr>
          <t>Updated on 13-Aug-2024 03:20 PM</t>
        </r>
      </text>
    </comment>
    <comment ref="F811" authorId="0" shapeId="0" xr:uid="{00000000-0006-0000-0000-00006D020000}">
      <text>
        <r>
          <rPr>
            <sz val="10"/>
            <color rgb="FF000000"/>
            <rFont val="Arial"/>
            <scheme val="minor"/>
          </rPr>
          <t>Updated on 13-Aug-2024 03:21 PM</t>
        </r>
      </text>
    </comment>
    <comment ref="G811" authorId="0" shapeId="0" xr:uid="{00000000-0006-0000-0000-00006E020000}">
      <text>
        <r>
          <rPr>
            <sz val="10"/>
            <color rgb="FF000000"/>
            <rFont val="Arial"/>
            <scheme val="minor"/>
          </rPr>
          <t>Updated on 13-Aug-2024 03:21 PM</t>
        </r>
      </text>
    </comment>
    <comment ref="H811" authorId="0" shapeId="0" xr:uid="{00000000-0006-0000-0000-00006F020000}">
      <text>
        <r>
          <rPr>
            <sz val="10"/>
            <color rgb="FF000000"/>
            <rFont val="Arial"/>
            <scheme val="minor"/>
          </rPr>
          <t>Updated on 13-Aug-2024 03:21 PM</t>
        </r>
      </text>
    </comment>
    <comment ref="F812" authorId="0" shapeId="0" xr:uid="{00000000-0006-0000-0000-000070020000}">
      <text>
        <r>
          <rPr>
            <sz val="10"/>
            <color rgb="FF000000"/>
            <rFont val="Arial"/>
            <scheme val="minor"/>
          </rPr>
          <t>Updated on 14-Aug-2024 07:17 AM</t>
        </r>
      </text>
    </comment>
    <comment ref="G812" authorId="0" shapeId="0" xr:uid="{00000000-0006-0000-0000-000071020000}">
      <text>
        <r>
          <rPr>
            <sz val="10"/>
            <color rgb="FF000000"/>
            <rFont val="Arial"/>
            <scheme val="minor"/>
          </rPr>
          <t>Updated on 14-Aug-2024 07:17 AM</t>
        </r>
      </text>
    </comment>
    <comment ref="H812" authorId="0" shapeId="0" xr:uid="{00000000-0006-0000-0000-000072020000}">
      <text>
        <r>
          <rPr>
            <sz val="10"/>
            <color rgb="FF000000"/>
            <rFont val="Arial"/>
            <scheme val="minor"/>
          </rPr>
          <t>Updated on 14-Aug-2024 07:17 AM</t>
        </r>
      </text>
    </comment>
    <comment ref="F813" authorId="0" shapeId="0" xr:uid="{00000000-0006-0000-0000-000073020000}">
      <text>
        <r>
          <rPr>
            <sz val="10"/>
            <color rgb="FF000000"/>
            <rFont val="Arial"/>
            <scheme val="minor"/>
          </rPr>
          <t>Updated on 14-Aug-2024 07:52 AM</t>
        </r>
      </text>
    </comment>
    <comment ref="G813" authorId="0" shapeId="0" xr:uid="{00000000-0006-0000-0000-000074020000}">
      <text>
        <r>
          <rPr>
            <sz val="10"/>
            <color rgb="FF000000"/>
            <rFont val="Arial"/>
            <scheme val="minor"/>
          </rPr>
          <t>Updated on 14-Aug-2024 07:52 AM</t>
        </r>
      </text>
    </comment>
    <comment ref="H813" authorId="0" shapeId="0" xr:uid="{00000000-0006-0000-0000-000075020000}">
      <text>
        <r>
          <rPr>
            <sz val="10"/>
            <color rgb="FF000000"/>
            <rFont val="Arial"/>
            <scheme val="minor"/>
          </rPr>
          <t>Updated on 14-Aug-2024 07:52 AM</t>
        </r>
      </text>
    </comment>
    <comment ref="F814" authorId="0" shapeId="0" xr:uid="{00000000-0006-0000-0000-000076020000}">
      <text>
        <r>
          <rPr>
            <sz val="10"/>
            <color rgb="FF000000"/>
            <rFont val="Arial"/>
            <scheme val="minor"/>
          </rPr>
          <t>Updated on 14-Aug-2024 07:55 AM</t>
        </r>
      </text>
    </comment>
    <comment ref="G814" authorId="0" shapeId="0" xr:uid="{00000000-0006-0000-0000-000077020000}">
      <text>
        <r>
          <rPr>
            <sz val="10"/>
            <color rgb="FF000000"/>
            <rFont val="Arial"/>
            <scheme val="minor"/>
          </rPr>
          <t>Updated on 14-Aug-2024 07:55 AM</t>
        </r>
      </text>
    </comment>
    <comment ref="H814" authorId="0" shapeId="0" xr:uid="{00000000-0006-0000-0000-000078020000}">
      <text>
        <r>
          <rPr>
            <sz val="10"/>
            <color rgb="FF000000"/>
            <rFont val="Arial"/>
            <scheme val="minor"/>
          </rPr>
          <t>Updated on 14-Aug-2024 07:55 AM</t>
        </r>
      </text>
    </comment>
    <comment ref="F815" authorId="0" shapeId="0" xr:uid="{00000000-0006-0000-0000-000079020000}">
      <text>
        <r>
          <rPr>
            <sz val="10"/>
            <color rgb="FF000000"/>
            <rFont val="Arial"/>
            <scheme val="minor"/>
          </rPr>
          <t>Updated on 14-Aug-2024 11:39 AM</t>
        </r>
      </text>
    </comment>
    <comment ref="G815" authorId="0" shapeId="0" xr:uid="{00000000-0006-0000-0000-00007A020000}">
      <text>
        <r>
          <rPr>
            <sz val="10"/>
            <color rgb="FF000000"/>
            <rFont val="Arial"/>
            <scheme val="minor"/>
          </rPr>
          <t>Updated on 14-Aug-2024 11:39 AM</t>
        </r>
      </text>
    </comment>
    <comment ref="H815" authorId="0" shapeId="0" xr:uid="{00000000-0006-0000-0000-00007B020000}">
      <text>
        <r>
          <rPr>
            <sz val="10"/>
            <color rgb="FF000000"/>
            <rFont val="Arial"/>
            <scheme val="minor"/>
          </rPr>
          <t>Updated on 14-Aug-2024 11:39 AM</t>
        </r>
      </text>
    </comment>
    <comment ref="F816" authorId="0" shapeId="0" xr:uid="{00000000-0006-0000-0000-00007C020000}">
      <text>
        <r>
          <rPr>
            <sz val="10"/>
            <color rgb="FF000000"/>
            <rFont val="Arial"/>
            <scheme val="minor"/>
          </rPr>
          <t>Updated on 14-Aug-2024 01:14 PM</t>
        </r>
      </text>
    </comment>
    <comment ref="G816" authorId="0" shapeId="0" xr:uid="{00000000-0006-0000-0000-00007D020000}">
      <text>
        <r>
          <rPr>
            <sz val="10"/>
            <color rgb="FF000000"/>
            <rFont val="Arial"/>
            <scheme val="minor"/>
          </rPr>
          <t>Updated on 14-Aug-2024 01:14 PM</t>
        </r>
      </text>
    </comment>
    <comment ref="H816" authorId="0" shapeId="0" xr:uid="{00000000-0006-0000-0000-00007E020000}">
      <text>
        <r>
          <rPr>
            <sz val="10"/>
            <color rgb="FF000000"/>
            <rFont val="Arial"/>
            <scheme val="minor"/>
          </rPr>
          <t>Updated on 14-Aug-2024 01:14 PM</t>
        </r>
      </text>
    </comment>
    <comment ref="F817" authorId="0" shapeId="0" xr:uid="{00000000-0006-0000-0000-00007F020000}">
      <text>
        <r>
          <rPr>
            <sz val="10"/>
            <color rgb="FF000000"/>
            <rFont val="Arial"/>
            <scheme val="minor"/>
          </rPr>
          <t>Updated on 14-Aug-2024 03:04 PM</t>
        </r>
      </text>
    </comment>
    <comment ref="G817" authorId="0" shapeId="0" xr:uid="{00000000-0006-0000-0000-000080020000}">
      <text>
        <r>
          <rPr>
            <sz val="10"/>
            <color rgb="FF000000"/>
            <rFont val="Arial"/>
            <scheme val="minor"/>
          </rPr>
          <t>Updated on 14-Aug-2024 03:04 PM</t>
        </r>
      </text>
    </comment>
    <comment ref="H817" authorId="0" shapeId="0" xr:uid="{00000000-0006-0000-0000-000081020000}">
      <text>
        <r>
          <rPr>
            <sz val="10"/>
            <color rgb="FF000000"/>
            <rFont val="Arial"/>
            <scheme val="minor"/>
          </rPr>
          <t>Updated on 14-Aug-2024 03:04 PM</t>
        </r>
      </text>
    </comment>
    <comment ref="F818" authorId="0" shapeId="0" xr:uid="{00000000-0006-0000-0000-000082020000}">
      <text>
        <r>
          <rPr>
            <sz val="10"/>
            <color rgb="FF000000"/>
            <rFont val="Arial"/>
            <scheme val="minor"/>
          </rPr>
          <t>Updated on 15-Aug-2024 08:23 AM</t>
        </r>
      </text>
    </comment>
    <comment ref="G818" authorId="0" shapeId="0" xr:uid="{00000000-0006-0000-0000-000083020000}">
      <text>
        <r>
          <rPr>
            <sz val="10"/>
            <color rgb="FF000000"/>
            <rFont val="Arial"/>
            <scheme val="minor"/>
          </rPr>
          <t>Updated on 15-Aug-2024 08:22 AM</t>
        </r>
      </text>
    </comment>
    <comment ref="H818" authorId="0" shapeId="0" xr:uid="{00000000-0006-0000-0000-000084020000}">
      <text>
        <r>
          <rPr>
            <sz val="10"/>
            <color rgb="FF000000"/>
            <rFont val="Arial"/>
            <scheme val="minor"/>
          </rPr>
          <t>Updated on 15-Aug-2024 08:22 AM</t>
        </r>
      </text>
    </comment>
    <comment ref="F819" authorId="0" shapeId="0" xr:uid="{00000000-0006-0000-0000-000085020000}">
      <text>
        <r>
          <rPr>
            <sz val="10"/>
            <color rgb="FF000000"/>
            <rFont val="Arial"/>
            <scheme val="minor"/>
          </rPr>
          <t>Updated on 15-Aug-2024 08:25 AM</t>
        </r>
      </text>
    </comment>
    <comment ref="G819" authorId="0" shapeId="0" xr:uid="{00000000-0006-0000-0000-000086020000}">
      <text>
        <r>
          <rPr>
            <sz val="10"/>
            <color rgb="FF000000"/>
            <rFont val="Arial"/>
            <scheme val="minor"/>
          </rPr>
          <t>Updated on 15-Aug-2024 08:25 AM</t>
        </r>
      </text>
    </comment>
    <comment ref="H819" authorId="0" shapeId="0" xr:uid="{00000000-0006-0000-0000-000087020000}">
      <text>
        <r>
          <rPr>
            <sz val="10"/>
            <color rgb="FF000000"/>
            <rFont val="Arial"/>
            <scheme val="minor"/>
          </rPr>
          <t>Updated on 15-Aug-2024 08:25 AM</t>
        </r>
      </text>
    </comment>
    <comment ref="F820" authorId="0" shapeId="0" xr:uid="{00000000-0006-0000-0000-000088020000}">
      <text>
        <r>
          <rPr>
            <sz val="10"/>
            <color rgb="FF000000"/>
            <rFont val="Arial"/>
            <scheme val="minor"/>
          </rPr>
          <t>Updated on 15-Aug-2024 08:25 AM</t>
        </r>
      </text>
    </comment>
    <comment ref="G820" authorId="0" shapeId="0" xr:uid="{00000000-0006-0000-0000-000089020000}">
      <text>
        <r>
          <rPr>
            <sz val="10"/>
            <color rgb="FF000000"/>
            <rFont val="Arial"/>
            <scheme val="minor"/>
          </rPr>
          <t>Updated on 15-Aug-2024 08:25 AM</t>
        </r>
      </text>
    </comment>
    <comment ref="H820" authorId="0" shapeId="0" xr:uid="{00000000-0006-0000-0000-00008A020000}">
      <text>
        <r>
          <rPr>
            <sz val="10"/>
            <color rgb="FF000000"/>
            <rFont val="Arial"/>
            <scheme val="minor"/>
          </rPr>
          <t>Updated on 15-Aug-2024 08:25 AM</t>
        </r>
      </text>
    </comment>
    <comment ref="F821" authorId="0" shapeId="0" xr:uid="{00000000-0006-0000-0000-00008B020000}">
      <text>
        <r>
          <rPr>
            <sz val="10"/>
            <color rgb="FF000000"/>
            <rFont val="Arial"/>
            <scheme val="minor"/>
          </rPr>
          <t>Updated on 16-Aug-2024 07:41 AM</t>
        </r>
      </text>
    </comment>
    <comment ref="G821" authorId="0" shapeId="0" xr:uid="{00000000-0006-0000-0000-00008C020000}">
      <text>
        <r>
          <rPr>
            <sz val="10"/>
            <color rgb="FF000000"/>
            <rFont val="Arial"/>
            <scheme val="minor"/>
          </rPr>
          <t>Updated on 16-Aug-2024 07:41 AM</t>
        </r>
      </text>
    </comment>
    <comment ref="H821" authorId="0" shapeId="0" xr:uid="{00000000-0006-0000-0000-00008D020000}">
      <text>
        <r>
          <rPr>
            <sz val="10"/>
            <color rgb="FF000000"/>
            <rFont val="Arial"/>
            <scheme val="minor"/>
          </rPr>
          <t>Updated on 16-Aug-2024 07:41 AM</t>
        </r>
      </text>
    </comment>
    <comment ref="F822" authorId="0" shapeId="0" xr:uid="{00000000-0006-0000-0000-00008E02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822" authorId="0" shapeId="0" xr:uid="{00000000-0006-0000-0000-00008F020000}">
      <text>
        <r>
          <rPr>
            <sz val="10"/>
            <color rgb="FF000000"/>
            <rFont val="Arial"/>
            <scheme val="minor"/>
          </rPr>
          <t>Updated on 16-Aug-2024 07:45 AM</t>
        </r>
      </text>
    </comment>
    <comment ref="H822" authorId="0" shapeId="0" xr:uid="{00000000-0006-0000-0000-000090020000}">
      <text>
        <r>
          <rPr>
            <sz val="10"/>
            <color rgb="FF000000"/>
            <rFont val="Arial"/>
            <scheme val="minor"/>
          </rPr>
          <t>Updated on 16-Aug-2024 07:45 AM</t>
        </r>
      </text>
    </comment>
    <comment ref="F823" authorId="0" shapeId="0" xr:uid="{00000000-0006-0000-0000-000091020000}">
      <text>
        <r>
          <rPr>
            <sz val="10"/>
            <color rgb="FF000000"/>
            <rFont val="Arial"/>
            <scheme val="minor"/>
          </rPr>
          <t>Updated on 19-Aug-2024 08:19 AM</t>
        </r>
      </text>
    </comment>
    <comment ref="G823" authorId="0" shapeId="0" xr:uid="{00000000-0006-0000-0000-000092020000}">
      <text>
        <r>
          <rPr>
            <sz val="10"/>
            <color rgb="FF000000"/>
            <rFont val="Arial"/>
            <scheme val="minor"/>
          </rPr>
          <t>Updated on 19-Aug-2024 08:19 AM</t>
        </r>
      </text>
    </comment>
    <comment ref="H823" authorId="0" shapeId="0" xr:uid="{00000000-0006-0000-0000-000093020000}">
      <text>
        <r>
          <rPr>
            <sz val="10"/>
            <color rgb="FF000000"/>
            <rFont val="Arial"/>
            <scheme val="minor"/>
          </rPr>
          <t>Updated on 19-Aug-2024 08:19 AM</t>
        </r>
      </text>
    </comment>
    <comment ref="F824" authorId="0" shapeId="0" xr:uid="{00000000-0006-0000-0000-000094020000}">
      <text>
        <r>
          <rPr>
            <sz val="10"/>
            <color rgb="FF000000"/>
            <rFont val="Arial"/>
            <scheme val="minor"/>
          </rPr>
          <t>Updated on 19-Aug-2024 09:11 AM</t>
        </r>
      </text>
    </comment>
    <comment ref="G824" authorId="0" shapeId="0" xr:uid="{00000000-0006-0000-0000-000095020000}">
      <text>
        <r>
          <rPr>
            <sz val="10"/>
            <color rgb="FF000000"/>
            <rFont val="Arial"/>
            <scheme val="minor"/>
          </rPr>
          <t>Updated on 19-Aug-2024 09:11 AM</t>
        </r>
      </text>
    </comment>
    <comment ref="H824" authorId="0" shapeId="0" xr:uid="{00000000-0006-0000-0000-000096020000}">
      <text>
        <r>
          <rPr>
            <sz val="10"/>
            <color rgb="FF000000"/>
            <rFont val="Arial"/>
            <scheme val="minor"/>
          </rPr>
          <t>Updated on 19-Aug-2024 09:11 AM</t>
        </r>
      </text>
    </comment>
    <comment ref="F825" authorId="0" shapeId="0" xr:uid="{00000000-0006-0000-0000-000097020000}">
      <text>
        <r>
          <rPr>
            <sz val="10"/>
            <color rgb="FF000000"/>
            <rFont val="Arial"/>
            <scheme val="minor"/>
          </rPr>
          <t>Updated on 20-Aug-2024 04:19 PM</t>
        </r>
      </text>
    </comment>
    <comment ref="G825" authorId="0" shapeId="0" xr:uid="{00000000-0006-0000-0000-000098020000}">
      <text>
        <r>
          <rPr>
            <sz val="10"/>
            <color rgb="FF000000"/>
            <rFont val="Arial"/>
            <scheme val="minor"/>
          </rPr>
          <t>Updated on 20-Aug-2024 04:19 PM</t>
        </r>
      </text>
    </comment>
    <comment ref="H825" authorId="0" shapeId="0" xr:uid="{00000000-0006-0000-0000-000099020000}">
      <text>
        <r>
          <rPr>
            <sz val="10"/>
            <color rgb="FF000000"/>
            <rFont val="Arial"/>
            <scheme val="minor"/>
          </rPr>
          <t>Updated on 20-Aug-2024 04:19 PM</t>
        </r>
      </text>
    </comment>
    <comment ref="F826" authorId="0" shapeId="0" xr:uid="{00000000-0006-0000-0000-00009A020000}">
      <text>
        <r>
          <rPr>
            <sz val="10"/>
            <color rgb="FF000000"/>
            <rFont val="Arial"/>
            <scheme val="minor"/>
          </rPr>
          <t>Updated on 21-Aug-2024 10:32 AM</t>
        </r>
      </text>
    </comment>
    <comment ref="G826" authorId="0" shapeId="0" xr:uid="{00000000-0006-0000-0000-00009B020000}">
      <text>
        <r>
          <rPr>
            <sz val="10"/>
            <color rgb="FF000000"/>
            <rFont val="Arial"/>
            <scheme val="minor"/>
          </rPr>
          <t>Updated on 21-Aug-2024 10:32 AM</t>
        </r>
      </text>
    </comment>
    <comment ref="H826" authorId="0" shapeId="0" xr:uid="{00000000-0006-0000-0000-00009C020000}">
      <text>
        <r>
          <rPr>
            <sz val="10"/>
            <color rgb="FF000000"/>
            <rFont val="Arial"/>
            <scheme val="minor"/>
          </rPr>
          <t>Updated on 21-Aug-2024 10:32 AM</t>
        </r>
      </text>
    </comment>
    <comment ref="F827" authorId="0" shapeId="0" xr:uid="{00000000-0006-0000-0000-00009D020000}">
      <text>
        <r>
          <rPr>
            <sz val="10"/>
            <color rgb="FF000000"/>
            <rFont val="Arial"/>
            <scheme val="minor"/>
          </rPr>
          <t>Updated on 04-Sep-2024 02:11 PM</t>
        </r>
      </text>
    </comment>
    <comment ref="G827" authorId="0" shapeId="0" xr:uid="{00000000-0006-0000-0000-00009E020000}">
      <text>
        <r>
          <rPr>
            <sz val="10"/>
            <color rgb="FF000000"/>
            <rFont val="Arial"/>
            <scheme val="minor"/>
          </rPr>
          <t>Updated on 04-Sep-2024 02:11 PM</t>
        </r>
      </text>
    </comment>
    <comment ref="H827" authorId="0" shapeId="0" xr:uid="{00000000-0006-0000-0000-00009F020000}">
      <text>
        <r>
          <rPr>
            <sz val="10"/>
            <color rgb="FF000000"/>
            <rFont val="Arial"/>
            <scheme val="minor"/>
          </rPr>
          <t>Updated on 04-Sep-2024 02:11 PM</t>
        </r>
      </text>
    </comment>
    <comment ref="F828" authorId="0" shapeId="0" xr:uid="{00000000-0006-0000-0000-0000A0020000}">
      <text>
        <r>
          <rPr>
            <sz val="10"/>
            <color rgb="FF000000"/>
            <rFont val="Arial"/>
            <scheme val="minor"/>
          </rPr>
          <t>Updated on 05-Sep-2024 08:01 AM</t>
        </r>
      </text>
    </comment>
    <comment ref="G828" authorId="0" shapeId="0" xr:uid="{00000000-0006-0000-0000-0000A1020000}">
      <text>
        <r>
          <rPr>
            <sz val="10"/>
            <color rgb="FF000000"/>
            <rFont val="Arial"/>
            <scheme val="minor"/>
          </rPr>
          <t>Updated on 05-Sep-2024 08:01 AM</t>
        </r>
      </text>
    </comment>
    <comment ref="H828" authorId="0" shapeId="0" xr:uid="{00000000-0006-0000-0000-0000A2020000}">
      <text>
        <r>
          <rPr>
            <sz val="10"/>
            <color rgb="FF000000"/>
            <rFont val="Arial"/>
            <scheme val="minor"/>
          </rPr>
          <t>Updated on 05-Sep-2024 08:01 AM</t>
        </r>
      </text>
    </comment>
    <comment ref="F829" authorId="0" shapeId="0" xr:uid="{00000000-0006-0000-0000-0000A3020000}">
      <text>
        <r>
          <rPr>
            <sz val="10"/>
            <color rgb="FF000000"/>
            <rFont val="Arial"/>
            <scheme val="minor"/>
          </rPr>
          <t>Updated on 05-Sep-2024 08:09 AM</t>
        </r>
      </text>
    </comment>
    <comment ref="G829" authorId="0" shapeId="0" xr:uid="{00000000-0006-0000-0000-0000A4020000}">
      <text>
        <r>
          <rPr>
            <sz val="10"/>
            <color rgb="FF000000"/>
            <rFont val="Arial"/>
            <scheme val="minor"/>
          </rPr>
          <t>Updated on 05-Sep-2024 08:09 AM</t>
        </r>
      </text>
    </comment>
    <comment ref="H829" authorId="0" shapeId="0" xr:uid="{00000000-0006-0000-0000-0000A5020000}">
      <text>
        <r>
          <rPr>
            <sz val="10"/>
            <color rgb="FF000000"/>
            <rFont val="Arial"/>
            <scheme val="minor"/>
          </rPr>
          <t>Updated on 05-Sep-2024 08:09 AM</t>
        </r>
      </text>
    </comment>
    <comment ref="F830" authorId="0" shapeId="0" xr:uid="{00000000-0006-0000-0000-0000A6020000}">
      <text>
        <r>
          <rPr>
            <sz val="10"/>
            <color rgb="FF000000"/>
            <rFont val="Arial"/>
            <scheme val="minor"/>
          </rPr>
          <t>Updated on 05-Sep-2024 08:12 AM</t>
        </r>
      </text>
    </comment>
    <comment ref="G830" authorId="0" shapeId="0" xr:uid="{00000000-0006-0000-0000-0000A7020000}">
      <text>
        <r>
          <rPr>
            <sz val="10"/>
            <color rgb="FF000000"/>
            <rFont val="Arial"/>
            <scheme val="minor"/>
          </rPr>
          <t>Updated on 05-Sep-2024 08:12 AM</t>
        </r>
      </text>
    </comment>
    <comment ref="H830" authorId="0" shapeId="0" xr:uid="{00000000-0006-0000-0000-0000A8020000}">
      <text>
        <r>
          <rPr>
            <sz val="10"/>
            <color rgb="FF000000"/>
            <rFont val="Arial"/>
            <scheme val="minor"/>
          </rPr>
          <t>Updated on 05-Sep-2024 08:12 AM</t>
        </r>
      </text>
    </comment>
    <comment ref="F831" authorId="0" shapeId="0" xr:uid="{00000000-0006-0000-0000-0000A9020000}">
      <text>
        <r>
          <rPr>
            <sz val="10"/>
            <color rgb="FF000000"/>
            <rFont val="Arial"/>
            <scheme val="minor"/>
          </rPr>
          <t>Updated on 05-Sep-2024 08:14 AM</t>
        </r>
      </text>
    </comment>
    <comment ref="G831" authorId="0" shapeId="0" xr:uid="{00000000-0006-0000-0000-0000AA020000}">
      <text>
        <r>
          <rPr>
            <sz val="10"/>
            <color rgb="FF000000"/>
            <rFont val="Arial"/>
            <scheme val="minor"/>
          </rPr>
          <t>Updated on 05-Sep-2024 08:14 AM</t>
        </r>
      </text>
    </comment>
    <comment ref="H831" authorId="0" shapeId="0" xr:uid="{00000000-0006-0000-0000-0000AB020000}">
      <text>
        <r>
          <rPr>
            <sz val="10"/>
            <color rgb="FF000000"/>
            <rFont val="Arial"/>
            <scheme val="minor"/>
          </rPr>
          <t>Updated on 05-Sep-2024 08:14 AM</t>
        </r>
      </text>
    </comment>
    <comment ref="F832" authorId="0" shapeId="0" xr:uid="{00000000-0006-0000-0000-0000AC020000}">
      <text>
        <r>
          <rPr>
            <sz val="10"/>
            <color rgb="FF000000"/>
            <rFont val="Arial"/>
            <scheme val="minor"/>
          </rPr>
          <t>Updated on 05-Sep-2024 08:26 AM</t>
        </r>
      </text>
    </comment>
    <comment ref="G832" authorId="0" shapeId="0" xr:uid="{00000000-0006-0000-0000-0000AD020000}">
      <text>
        <r>
          <rPr>
            <sz val="10"/>
            <color rgb="FF000000"/>
            <rFont val="Arial"/>
            <scheme val="minor"/>
          </rPr>
          <t>Updated on 05-Sep-2024 08:26 AM</t>
        </r>
      </text>
    </comment>
    <comment ref="H832" authorId="0" shapeId="0" xr:uid="{00000000-0006-0000-0000-0000AE020000}">
      <text>
        <r>
          <rPr>
            <sz val="10"/>
            <color rgb="FF000000"/>
            <rFont val="Arial"/>
            <scheme val="minor"/>
          </rPr>
          <t>Updated on 05-Sep-2024 08:26 AM</t>
        </r>
      </text>
    </comment>
    <comment ref="F833" authorId="0" shapeId="0" xr:uid="{00000000-0006-0000-0000-0000AF020000}">
      <text>
        <r>
          <rPr>
            <sz val="10"/>
            <color rgb="FF000000"/>
            <rFont val="Arial"/>
            <scheme val="minor"/>
          </rPr>
          <t>Updated on 05-Sep-2024 08:29 AM</t>
        </r>
      </text>
    </comment>
    <comment ref="G833" authorId="0" shapeId="0" xr:uid="{00000000-0006-0000-0000-0000B0020000}">
      <text>
        <r>
          <rPr>
            <sz val="10"/>
            <color rgb="FF000000"/>
            <rFont val="Arial"/>
            <scheme val="minor"/>
          </rPr>
          <t>Updated on 05-Sep-2024 08:29 AM</t>
        </r>
      </text>
    </comment>
    <comment ref="H833" authorId="0" shapeId="0" xr:uid="{00000000-0006-0000-0000-0000B1020000}">
      <text>
        <r>
          <rPr>
            <sz val="10"/>
            <color rgb="FF000000"/>
            <rFont val="Arial"/>
            <scheme val="minor"/>
          </rPr>
          <t>Updated on 05-Sep-2024 08:29 AM</t>
        </r>
      </text>
    </comment>
    <comment ref="F834" authorId="0" shapeId="0" xr:uid="{00000000-0006-0000-0000-0000B2020000}">
      <text>
        <r>
          <rPr>
            <sz val="10"/>
            <color rgb="FF000000"/>
            <rFont val="Arial"/>
            <scheme val="minor"/>
          </rPr>
          <t>Updated on 05-Sep-2024 08:34 AM</t>
        </r>
      </text>
    </comment>
    <comment ref="G834" authorId="0" shapeId="0" xr:uid="{00000000-0006-0000-0000-0000B3020000}">
      <text>
        <r>
          <rPr>
            <sz val="10"/>
            <color rgb="FF000000"/>
            <rFont val="Arial"/>
            <scheme val="minor"/>
          </rPr>
          <t>Updated on 05-Sep-2024 08:34 AM</t>
        </r>
      </text>
    </comment>
    <comment ref="H834" authorId="0" shapeId="0" xr:uid="{00000000-0006-0000-0000-0000B4020000}">
      <text>
        <r>
          <rPr>
            <sz val="10"/>
            <color rgb="FF000000"/>
            <rFont val="Arial"/>
            <scheme val="minor"/>
          </rPr>
          <t>Updated on 05-Sep-2024 08:34 AM</t>
        </r>
      </text>
    </comment>
    <comment ref="F835" authorId="0" shapeId="0" xr:uid="{00000000-0006-0000-0000-0000B5020000}">
      <text>
        <r>
          <rPr>
            <sz val="10"/>
            <color rgb="FF000000"/>
            <rFont val="Arial"/>
            <scheme val="minor"/>
          </rPr>
          <t>Updated on 05-Sep-2024 10:55 AM</t>
        </r>
      </text>
    </comment>
    <comment ref="G835" authorId="0" shapeId="0" xr:uid="{00000000-0006-0000-0000-0000B6020000}">
      <text>
        <r>
          <rPr>
            <sz val="10"/>
            <color rgb="FF000000"/>
            <rFont val="Arial"/>
            <scheme val="minor"/>
          </rPr>
          <t>Updated on 05-Sep-2024 10:55 AM</t>
        </r>
      </text>
    </comment>
    <comment ref="H835" authorId="0" shapeId="0" xr:uid="{00000000-0006-0000-0000-0000B7020000}">
      <text>
        <r>
          <rPr>
            <sz val="10"/>
            <color rgb="FF000000"/>
            <rFont val="Arial"/>
            <scheme val="minor"/>
          </rPr>
          <t>Updated on 05-Sep-2024 10:55 AM</t>
        </r>
      </text>
    </comment>
    <comment ref="F836" authorId="0" shapeId="0" xr:uid="{00000000-0006-0000-0000-0000B8020000}">
      <text>
        <r>
          <rPr>
            <sz val="10"/>
            <color rgb="FF000000"/>
            <rFont val="Arial"/>
            <scheme val="minor"/>
          </rPr>
          <t>Updated on 05-Sep-2024 11:26 AM</t>
        </r>
      </text>
    </comment>
    <comment ref="G836" authorId="0" shapeId="0" xr:uid="{00000000-0006-0000-0000-0000B9020000}">
      <text>
        <r>
          <rPr>
            <sz val="10"/>
            <color rgb="FF000000"/>
            <rFont val="Arial"/>
            <scheme val="minor"/>
          </rPr>
          <t>Updated on 05-Sep-2024 11:26 AM</t>
        </r>
      </text>
    </comment>
    <comment ref="H836" authorId="0" shapeId="0" xr:uid="{00000000-0006-0000-0000-0000BA020000}">
      <text>
        <r>
          <rPr>
            <sz val="10"/>
            <color rgb="FF000000"/>
            <rFont val="Arial"/>
            <scheme val="minor"/>
          </rPr>
          <t>Updated on 05-Sep-2024 11:26 AM</t>
        </r>
      </text>
    </comment>
    <comment ref="F837" authorId="0" shapeId="0" xr:uid="{00000000-0006-0000-0000-0000BB020000}">
      <text>
        <r>
          <rPr>
            <sz val="10"/>
            <color rgb="FF000000"/>
            <rFont val="Arial"/>
            <scheme val="minor"/>
          </rPr>
          <t>Updated on 06-Sep-2024 09:36 AM</t>
        </r>
      </text>
    </comment>
    <comment ref="G837" authorId="0" shapeId="0" xr:uid="{00000000-0006-0000-0000-0000BC020000}">
      <text>
        <r>
          <rPr>
            <sz val="10"/>
            <color rgb="FF000000"/>
            <rFont val="Arial"/>
            <scheme val="minor"/>
          </rPr>
          <t>Updated on 06-Sep-2024 09:36 AM</t>
        </r>
      </text>
    </comment>
    <comment ref="H837" authorId="0" shapeId="0" xr:uid="{00000000-0006-0000-0000-0000BD020000}">
      <text>
        <r>
          <rPr>
            <sz val="10"/>
            <color rgb="FF000000"/>
            <rFont val="Arial"/>
            <scheme val="minor"/>
          </rPr>
          <t>Updated on 06-Sep-2024 09:36 AM</t>
        </r>
      </text>
    </comment>
    <comment ref="F838" authorId="0" shapeId="0" xr:uid="{00000000-0006-0000-0000-0000BE020000}">
      <text>
        <r>
          <rPr>
            <sz val="10"/>
            <color rgb="FF000000"/>
            <rFont val="Arial"/>
            <scheme val="minor"/>
          </rPr>
          <t>Updated on 06-Sep-2024 04:00 PM</t>
        </r>
      </text>
    </comment>
    <comment ref="G838" authorId="0" shapeId="0" xr:uid="{00000000-0006-0000-0000-0000BF020000}">
      <text>
        <r>
          <rPr>
            <sz val="10"/>
            <color rgb="FF000000"/>
            <rFont val="Arial"/>
            <scheme val="minor"/>
          </rPr>
          <t>Updated on 06-Sep-2024 04:00 PM</t>
        </r>
      </text>
    </comment>
    <comment ref="H838" authorId="0" shapeId="0" xr:uid="{00000000-0006-0000-0000-0000C0020000}">
      <text>
        <r>
          <rPr>
            <sz val="10"/>
            <color rgb="FF000000"/>
            <rFont val="Arial"/>
            <scheme val="minor"/>
          </rPr>
          <t>Updated on 06-Sep-2024 04:00 PM</t>
        </r>
      </text>
    </comment>
    <comment ref="F839" authorId="0" shapeId="0" xr:uid="{00000000-0006-0000-0000-0000C1020000}">
      <text>
        <r>
          <rPr>
            <sz val="10"/>
            <color rgb="FF000000"/>
            <rFont val="Arial"/>
            <scheme val="minor"/>
          </rPr>
          <t>Updated on 09-Sep-2024 08:41 AM</t>
        </r>
      </text>
    </comment>
    <comment ref="G839" authorId="0" shapeId="0" xr:uid="{00000000-0006-0000-0000-0000C2020000}">
      <text>
        <r>
          <rPr>
            <sz val="10"/>
            <color rgb="FF000000"/>
            <rFont val="Arial"/>
            <scheme val="minor"/>
          </rPr>
          <t>Updated on 09-Sep-2024 08:41 AM</t>
        </r>
      </text>
    </comment>
    <comment ref="H839" authorId="0" shapeId="0" xr:uid="{00000000-0006-0000-0000-0000C3020000}">
      <text>
        <r>
          <rPr>
            <sz val="10"/>
            <color rgb="FF000000"/>
            <rFont val="Arial"/>
            <scheme val="minor"/>
          </rPr>
          <t>Updated on 09-Sep-2024 08:41 AM</t>
        </r>
      </text>
    </comment>
    <comment ref="F840" authorId="0" shapeId="0" xr:uid="{00000000-0006-0000-0000-0000C4020000}">
      <text>
        <r>
          <rPr>
            <sz val="10"/>
            <color rgb="FF000000"/>
            <rFont val="Arial"/>
            <scheme val="minor"/>
          </rPr>
          <t>Updated on 09-Sep-2024 10:25 AM</t>
        </r>
      </text>
    </comment>
    <comment ref="G840" authorId="0" shapeId="0" xr:uid="{00000000-0006-0000-0000-0000C5020000}">
      <text>
        <r>
          <rPr>
            <sz val="10"/>
            <color rgb="FF000000"/>
            <rFont val="Arial"/>
            <scheme val="minor"/>
          </rPr>
          <t>Updated on 09-Sep-2024 10:25 AM</t>
        </r>
      </text>
    </comment>
    <comment ref="H840" authorId="0" shapeId="0" xr:uid="{00000000-0006-0000-0000-0000C6020000}">
      <text>
        <r>
          <rPr>
            <sz val="10"/>
            <color rgb="FF000000"/>
            <rFont val="Arial"/>
            <scheme val="minor"/>
          </rPr>
          <t>Updated on 09-Sep-2024 10:25 AM</t>
        </r>
      </text>
    </comment>
    <comment ref="F841" authorId="0" shapeId="0" xr:uid="{00000000-0006-0000-0000-0000C7020000}">
      <text>
        <r>
          <rPr>
            <sz val="10"/>
            <color rgb="FF000000"/>
            <rFont val="Arial"/>
            <scheme val="minor"/>
          </rPr>
          <t>Updated on 09-Sep-2024 10:35 AM</t>
        </r>
      </text>
    </comment>
    <comment ref="G841" authorId="0" shapeId="0" xr:uid="{00000000-0006-0000-0000-0000C8020000}">
      <text>
        <r>
          <rPr>
            <sz val="10"/>
            <color rgb="FF000000"/>
            <rFont val="Arial"/>
            <scheme val="minor"/>
          </rPr>
          <t>Updated on 09-Sep-2024 10:35 AM</t>
        </r>
      </text>
    </comment>
    <comment ref="H841" authorId="0" shapeId="0" xr:uid="{00000000-0006-0000-0000-0000C9020000}">
      <text>
        <r>
          <rPr>
            <sz val="10"/>
            <color rgb="FF000000"/>
            <rFont val="Arial"/>
            <scheme val="minor"/>
          </rPr>
          <t>Updated on 09-Sep-2024 10:35 AM</t>
        </r>
      </text>
    </comment>
    <comment ref="F842" authorId="0" shapeId="0" xr:uid="{00000000-0006-0000-0000-0000CA020000}">
      <text>
        <r>
          <rPr>
            <sz val="10"/>
            <color rgb="FF000000"/>
            <rFont val="Arial"/>
            <scheme val="minor"/>
          </rPr>
          <t>Updated on 09-Sep-2024 10:40 AM</t>
        </r>
      </text>
    </comment>
    <comment ref="G842" authorId="0" shapeId="0" xr:uid="{00000000-0006-0000-0000-0000CB020000}">
      <text>
        <r>
          <rPr>
            <sz val="10"/>
            <color rgb="FF000000"/>
            <rFont val="Arial"/>
            <scheme val="minor"/>
          </rPr>
          <t>Updated on 09-Sep-2024 10:40 AM</t>
        </r>
      </text>
    </comment>
    <comment ref="H842" authorId="0" shapeId="0" xr:uid="{00000000-0006-0000-0000-0000CC020000}">
      <text>
        <r>
          <rPr>
            <sz val="10"/>
            <color rgb="FF000000"/>
            <rFont val="Arial"/>
            <scheme val="minor"/>
          </rPr>
          <t>Updated on 09-Sep-2024 10:40 AM</t>
        </r>
      </text>
    </comment>
    <comment ref="F843" authorId="0" shapeId="0" xr:uid="{00000000-0006-0000-0000-0000CD020000}">
      <text>
        <r>
          <rPr>
            <sz val="10"/>
            <color rgb="FF000000"/>
            <rFont val="Arial"/>
            <scheme val="minor"/>
          </rPr>
          <t>Updated on 09-Sep-2024 10:43 AM</t>
        </r>
      </text>
    </comment>
    <comment ref="G843" authorId="0" shapeId="0" xr:uid="{00000000-0006-0000-0000-0000CE020000}">
      <text>
        <r>
          <rPr>
            <sz val="10"/>
            <color rgb="FF000000"/>
            <rFont val="Arial"/>
            <scheme val="minor"/>
          </rPr>
          <t>Updated on 09-Sep-2024 10:43 AM</t>
        </r>
      </text>
    </comment>
    <comment ref="H843" authorId="0" shapeId="0" xr:uid="{00000000-0006-0000-0000-0000CF020000}">
      <text>
        <r>
          <rPr>
            <sz val="10"/>
            <color rgb="FF000000"/>
            <rFont val="Arial"/>
            <scheme val="minor"/>
          </rPr>
          <t>Updated on 09-Sep-2024 10:43 AM</t>
        </r>
      </text>
    </comment>
    <comment ref="F844" authorId="0" shapeId="0" xr:uid="{00000000-0006-0000-0000-0000D0020000}">
      <text>
        <r>
          <rPr>
            <sz val="10"/>
            <color rgb="FF000000"/>
            <rFont val="Arial"/>
            <scheme val="minor"/>
          </rPr>
          <t>Updated on 09-Sep-2024 10:59 AM</t>
        </r>
      </text>
    </comment>
    <comment ref="G844" authorId="0" shapeId="0" xr:uid="{00000000-0006-0000-0000-0000D1020000}">
      <text>
        <r>
          <rPr>
            <sz val="10"/>
            <color rgb="FF000000"/>
            <rFont val="Arial"/>
            <scheme val="minor"/>
          </rPr>
          <t>Updated on 09-Sep-2024 10:59 AM</t>
        </r>
      </text>
    </comment>
    <comment ref="H844" authorId="0" shapeId="0" xr:uid="{00000000-0006-0000-0000-0000D2020000}">
      <text>
        <r>
          <rPr>
            <sz val="10"/>
            <color rgb="FF000000"/>
            <rFont val="Arial"/>
            <scheme val="minor"/>
          </rPr>
          <t>Updated on 09-Sep-2024 10:59 AM</t>
        </r>
      </text>
    </comment>
    <comment ref="F845" authorId="0" shapeId="0" xr:uid="{00000000-0006-0000-0000-0000D3020000}">
      <text>
        <r>
          <rPr>
            <sz val="10"/>
            <color rgb="FF000000"/>
            <rFont val="Arial"/>
            <scheme val="minor"/>
          </rPr>
          <t>Updated on 09-Sep-2024 11:32 AM</t>
        </r>
      </text>
    </comment>
    <comment ref="G845" authorId="0" shapeId="0" xr:uid="{00000000-0006-0000-0000-0000D4020000}">
      <text>
        <r>
          <rPr>
            <sz val="10"/>
            <color rgb="FF000000"/>
            <rFont val="Arial"/>
            <scheme val="minor"/>
          </rPr>
          <t>Updated on 09-Sep-2024 11:32 AM</t>
        </r>
      </text>
    </comment>
    <comment ref="H845" authorId="0" shapeId="0" xr:uid="{00000000-0006-0000-0000-0000D5020000}">
      <text>
        <r>
          <rPr>
            <sz val="10"/>
            <color rgb="FF000000"/>
            <rFont val="Arial"/>
            <scheme val="minor"/>
          </rPr>
          <t>Updated on 09-Sep-2024 11:32 AM</t>
        </r>
      </text>
    </comment>
    <comment ref="F846" authorId="0" shapeId="0" xr:uid="{00000000-0006-0000-0000-0000D6020000}">
      <text>
        <r>
          <rPr>
            <sz val="10"/>
            <color rgb="FF000000"/>
            <rFont val="Arial"/>
            <scheme val="minor"/>
          </rPr>
          <t>Updated on 09-Sep-2024 12:38 PM</t>
        </r>
      </text>
    </comment>
    <comment ref="G846" authorId="0" shapeId="0" xr:uid="{00000000-0006-0000-0000-0000D7020000}">
      <text>
        <r>
          <rPr>
            <sz val="10"/>
            <color rgb="FF000000"/>
            <rFont val="Arial"/>
            <scheme val="minor"/>
          </rPr>
          <t>Updated on 09-Sep-2024 12:38 PM</t>
        </r>
      </text>
    </comment>
    <comment ref="H846" authorId="0" shapeId="0" xr:uid="{00000000-0006-0000-0000-0000D8020000}">
      <text>
        <r>
          <rPr>
            <sz val="10"/>
            <color rgb="FF000000"/>
            <rFont val="Arial"/>
            <scheme val="minor"/>
          </rPr>
          <t>Updated on 09-Sep-2024 12:38 PM</t>
        </r>
      </text>
    </comment>
    <comment ref="F847" authorId="0" shapeId="0" xr:uid="{00000000-0006-0000-0000-0000D9020000}">
      <text>
        <r>
          <rPr>
            <sz val="10"/>
            <color rgb="FF000000"/>
            <rFont val="Arial"/>
            <scheme val="minor"/>
          </rPr>
          <t>Updated on 09-Sep-2024 04:04 PM</t>
        </r>
      </text>
    </comment>
    <comment ref="G847" authorId="0" shapeId="0" xr:uid="{00000000-0006-0000-0000-0000DA020000}">
      <text>
        <r>
          <rPr>
            <sz val="10"/>
            <color rgb="FF000000"/>
            <rFont val="Arial"/>
            <scheme val="minor"/>
          </rPr>
          <t>Updated on 09-Sep-2024 04:04 PM</t>
        </r>
      </text>
    </comment>
    <comment ref="H847" authorId="0" shapeId="0" xr:uid="{00000000-0006-0000-0000-0000DB020000}">
      <text>
        <r>
          <rPr>
            <sz val="10"/>
            <color rgb="FF000000"/>
            <rFont val="Arial"/>
            <scheme val="minor"/>
          </rPr>
          <t>Updated on 09-Sep-2024 04:04 PM</t>
        </r>
      </text>
    </comment>
    <comment ref="F848" authorId="0" shapeId="0" xr:uid="{00000000-0006-0000-0000-0000DC020000}">
      <text>
        <r>
          <rPr>
            <sz val="10"/>
            <color rgb="FF000000"/>
            <rFont val="Arial"/>
            <scheme val="minor"/>
          </rPr>
          <t>Updated on 11-Sep-2024 12:57 PM</t>
        </r>
      </text>
    </comment>
    <comment ref="G848" authorId="0" shapeId="0" xr:uid="{00000000-0006-0000-0000-0000DD020000}">
      <text>
        <r>
          <rPr>
            <sz val="10"/>
            <color rgb="FF000000"/>
            <rFont val="Arial"/>
            <scheme val="minor"/>
          </rPr>
          <t>Updated on 11-Sep-2024 12:57 PM</t>
        </r>
      </text>
    </comment>
    <comment ref="H848" authorId="0" shapeId="0" xr:uid="{00000000-0006-0000-0000-0000DE020000}">
      <text>
        <r>
          <rPr>
            <sz val="10"/>
            <color rgb="FF000000"/>
            <rFont val="Arial"/>
            <scheme val="minor"/>
          </rPr>
          <t>Updated on 11-Sep-2024 12:57 PM</t>
        </r>
      </text>
    </comment>
    <comment ref="F849" authorId="0" shapeId="0" xr:uid="{00000000-0006-0000-0000-0000DF020000}">
      <text>
        <r>
          <rPr>
            <sz val="10"/>
            <color rgb="FF000000"/>
            <rFont val="Arial"/>
            <scheme val="minor"/>
          </rPr>
          <t>Updated on 11-Sep-2024 02:11 PM</t>
        </r>
      </text>
    </comment>
    <comment ref="G849" authorId="0" shapeId="0" xr:uid="{00000000-0006-0000-0000-0000E0020000}">
      <text>
        <r>
          <rPr>
            <sz val="10"/>
            <color rgb="FF000000"/>
            <rFont val="Arial"/>
            <scheme val="minor"/>
          </rPr>
          <t>Updated on 11-Sep-2024 02:11 PM</t>
        </r>
      </text>
    </comment>
    <comment ref="H849" authorId="0" shapeId="0" xr:uid="{00000000-0006-0000-0000-0000E1020000}">
      <text>
        <r>
          <rPr>
            <sz val="10"/>
            <color rgb="FF000000"/>
            <rFont val="Arial"/>
            <scheme val="minor"/>
          </rPr>
          <t>Updated on 11-Sep-2024 02:11 PM</t>
        </r>
      </text>
    </comment>
    <comment ref="F850" authorId="0" shapeId="0" xr:uid="{00000000-0006-0000-0000-0000E2020000}">
      <text>
        <r>
          <rPr>
            <sz val="10"/>
            <color rgb="FF000000"/>
            <rFont val="Arial"/>
            <scheme val="minor"/>
          </rPr>
          <t>Updated on 11-Sep-2024 02:30 PM</t>
        </r>
      </text>
    </comment>
    <comment ref="G850" authorId="0" shapeId="0" xr:uid="{00000000-0006-0000-0000-0000E3020000}">
      <text>
        <r>
          <rPr>
            <sz val="10"/>
            <color rgb="FF000000"/>
            <rFont val="Arial"/>
            <scheme val="minor"/>
          </rPr>
          <t>Updated on 11-Sep-2024 02:30 PM</t>
        </r>
      </text>
    </comment>
    <comment ref="H850" authorId="0" shapeId="0" xr:uid="{00000000-0006-0000-0000-0000E4020000}">
      <text>
        <r>
          <rPr>
            <sz val="10"/>
            <color rgb="FF000000"/>
            <rFont val="Arial"/>
            <scheme val="minor"/>
          </rPr>
          <t>Updated on 11-Sep-2024 02:30 PM</t>
        </r>
      </text>
    </comment>
    <comment ref="F851" authorId="0" shapeId="0" xr:uid="{00000000-0006-0000-0000-0000E5020000}">
      <text>
        <r>
          <rPr>
            <sz val="10"/>
            <color rgb="FF000000"/>
            <rFont val="Arial"/>
            <scheme val="minor"/>
          </rPr>
          <t>Updated on 12-Sep-2024 09:59 AM</t>
        </r>
      </text>
    </comment>
    <comment ref="G851" authorId="0" shapeId="0" xr:uid="{00000000-0006-0000-0000-0000E6020000}">
      <text>
        <r>
          <rPr>
            <sz val="10"/>
            <color rgb="FF000000"/>
            <rFont val="Arial"/>
            <scheme val="minor"/>
          </rPr>
          <t>Updated on 12-Sep-2024 09:59 AM</t>
        </r>
      </text>
    </comment>
    <comment ref="H851" authorId="0" shapeId="0" xr:uid="{00000000-0006-0000-0000-0000E7020000}">
      <text>
        <r>
          <rPr>
            <sz val="10"/>
            <color rgb="FF000000"/>
            <rFont val="Arial"/>
            <scheme val="minor"/>
          </rPr>
          <t>Updated on 12-Sep-2024 09:59 AM</t>
        </r>
      </text>
    </comment>
    <comment ref="F852" authorId="0" shapeId="0" xr:uid="{00000000-0006-0000-0000-0000E8020000}">
      <text>
        <r>
          <rPr>
            <sz val="10"/>
            <color rgb="FF000000"/>
            <rFont val="Arial"/>
            <scheme val="minor"/>
          </rPr>
          <t>Updated on 17-Sep-2024 08:53 AM</t>
        </r>
      </text>
    </comment>
    <comment ref="G852" authorId="0" shapeId="0" xr:uid="{00000000-0006-0000-0000-0000E9020000}">
      <text>
        <r>
          <rPr>
            <sz val="10"/>
            <color rgb="FF000000"/>
            <rFont val="Arial"/>
            <scheme val="minor"/>
          </rPr>
          <t>Updated on 17-Sep-2024 08:53 AM</t>
        </r>
      </text>
    </comment>
    <comment ref="H852" authorId="0" shapeId="0" xr:uid="{00000000-0006-0000-0000-0000EA020000}">
      <text>
        <r>
          <rPr>
            <sz val="10"/>
            <color rgb="FF000000"/>
            <rFont val="Arial"/>
            <scheme val="minor"/>
          </rPr>
          <t>Updated on 17-Sep-2024 08:53 AM</t>
        </r>
      </text>
    </comment>
    <comment ref="F853" authorId="0" shapeId="0" xr:uid="{00000000-0006-0000-0000-0000EB020000}">
      <text>
        <r>
          <rPr>
            <sz val="10"/>
            <color rgb="FF000000"/>
            <rFont val="Arial"/>
            <scheme val="minor"/>
          </rPr>
          <t>Updated on 18-Sep-2024 07:17 AM</t>
        </r>
      </text>
    </comment>
    <comment ref="G853" authorId="0" shapeId="0" xr:uid="{00000000-0006-0000-0000-0000EC020000}">
      <text>
        <r>
          <rPr>
            <sz val="10"/>
            <color rgb="FF000000"/>
            <rFont val="Arial"/>
            <scheme val="minor"/>
          </rPr>
          <t>Updated on 18-Sep-2024 07:17 AM</t>
        </r>
      </text>
    </comment>
    <comment ref="H853" authorId="0" shapeId="0" xr:uid="{00000000-0006-0000-0000-0000ED020000}">
      <text>
        <r>
          <rPr>
            <sz val="10"/>
            <color rgb="FF000000"/>
            <rFont val="Arial"/>
            <scheme val="minor"/>
          </rPr>
          <t>Updated on 18-Sep-2024 07:17 AM</t>
        </r>
      </text>
    </comment>
    <comment ref="F854" authorId="0" shapeId="0" xr:uid="{00000000-0006-0000-0000-0000EE020000}">
      <text>
        <r>
          <rPr>
            <sz val="10"/>
            <color rgb="FF000000"/>
            <rFont val="Arial"/>
            <scheme val="minor"/>
          </rPr>
          <t>Updated on 18-Sep-2024 07:19 AM</t>
        </r>
      </text>
    </comment>
    <comment ref="G854" authorId="0" shapeId="0" xr:uid="{00000000-0006-0000-0000-0000EF020000}">
      <text>
        <r>
          <rPr>
            <sz val="10"/>
            <color rgb="FF000000"/>
            <rFont val="Arial"/>
            <scheme val="minor"/>
          </rPr>
          <t>Updated on 18-Sep-2024 07:19 AM</t>
        </r>
      </text>
    </comment>
    <comment ref="H854" authorId="0" shapeId="0" xr:uid="{00000000-0006-0000-0000-0000F0020000}">
      <text>
        <r>
          <rPr>
            <sz val="10"/>
            <color rgb="FF000000"/>
            <rFont val="Arial"/>
            <scheme val="minor"/>
          </rPr>
          <t>Updated on 18-Sep-2024 07:19 AM</t>
        </r>
      </text>
    </comment>
    <comment ref="F855" authorId="0" shapeId="0" xr:uid="{00000000-0006-0000-0000-0000F1020000}">
      <text>
        <r>
          <rPr>
            <sz val="10"/>
            <color rgb="FF000000"/>
            <rFont val="Arial"/>
            <scheme val="minor"/>
          </rPr>
          <t>Updated on 18-Sep-2024 07:21 AM</t>
        </r>
      </text>
    </comment>
    <comment ref="G855" authorId="0" shapeId="0" xr:uid="{00000000-0006-0000-0000-0000F2020000}">
      <text>
        <r>
          <rPr>
            <sz val="10"/>
            <color rgb="FF000000"/>
            <rFont val="Arial"/>
            <scheme val="minor"/>
          </rPr>
          <t>Updated on 18-Sep-2024 07:21 AM</t>
        </r>
      </text>
    </comment>
    <comment ref="H855" authorId="0" shapeId="0" xr:uid="{00000000-0006-0000-0000-0000F3020000}">
      <text>
        <r>
          <rPr>
            <sz val="10"/>
            <color rgb="FF000000"/>
            <rFont val="Arial"/>
            <scheme val="minor"/>
          </rPr>
          <t>Updated on 18-Sep-2024 07:21 AM</t>
        </r>
      </text>
    </comment>
    <comment ref="F856" authorId="0" shapeId="0" xr:uid="{00000000-0006-0000-0000-0000F4020000}">
      <text>
        <r>
          <rPr>
            <sz val="10"/>
            <color rgb="FF000000"/>
            <rFont val="Arial"/>
            <scheme val="minor"/>
          </rPr>
          <t>Updated on 18-Sep-2024 07:26 AM</t>
        </r>
      </text>
    </comment>
    <comment ref="G856" authorId="0" shapeId="0" xr:uid="{00000000-0006-0000-0000-0000F5020000}">
      <text>
        <r>
          <rPr>
            <sz val="10"/>
            <color rgb="FF000000"/>
            <rFont val="Arial"/>
            <scheme val="minor"/>
          </rPr>
          <t>Updated on 18-Sep-2024 07:26 AM</t>
        </r>
      </text>
    </comment>
    <comment ref="H856" authorId="0" shapeId="0" xr:uid="{00000000-0006-0000-0000-0000F6020000}">
      <text>
        <r>
          <rPr>
            <sz val="10"/>
            <color rgb="FF000000"/>
            <rFont val="Arial"/>
            <scheme val="minor"/>
          </rPr>
          <t>Updated on 18-Sep-2024 07:26 AM</t>
        </r>
      </text>
    </comment>
    <comment ref="F857" authorId="0" shapeId="0" xr:uid="{00000000-0006-0000-0000-0000F7020000}">
      <text>
        <r>
          <rPr>
            <sz val="10"/>
            <color rgb="FF000000"/>
            <rFont val="Arial"/>
            <scheme val="minor"/>
          </rPr>
          <t>Updated on 18-Sep-2024 07:28 AM</t>
        </r>
      </text>
    </comment>
    <comment ref="G857" authorId="0" shapeId="0" xr:uid="{00000000-0006-0000-0000-0000F8020000}">
      <text>
        <r>
          <rPr>
            <sz val="10"/>
            <color rgb="FF000000"/>
            <rFont val="Arial"/>
            <scheme val="minor"/>
          </rPr>
          <t>Updated on 18-Sep-2024 07:28 AM</t>
        </r>
      </text>
    </comment>
    <comment ref="H857" authorId="0" shapeId="0" xr:uid="{00000000-0006-0000-0000-0000F9020000}">
      <text>
        <r>
          <rPr>
            <sz val="10"/>
            <color rgb="FF000000"/>
            <rFont val="Arial"/>
            <scheme val="minor"/>
          </rPr>
          <t>Updated on 18-Sep-2024 07:28 AM</t>
        </r>
      </text>
    </comment>
    <comment ref="F858" authorId="0" shapeId="0" xr:uid="{00000000-0006-0000-0000-0000FA020000}">
      <text>
        <r>
          <rPr>
            <sz val="10"/>
            <color rgb="FF000000"/>
            <rFont val="Arial"/>
            <scheme val="minor"/>
          </rPr>
          <t>Updated on 18-Sep-2024 07:34 AM</t>
        </r>
      </text>
    </comment>
    <comment ref="G858" authorId="0" shapeId="0" xr:uid="{00000000-0006-0000-0000-0000FB020000}">
      <text>
        <r>
          <rPr>
            <sz val="10"/>
            <color rgb="FF000000"/>
            <rFont val="Arial"/>
            <scheme val="minor"/>
          </rPr>
          <t>Updated on 18-Sep-2024 07:34 AM</t>
        </r>
      </text>
    </comment>
    <comment ref="H858" authorId="0" shapeId="0" xr:uid="{00000000-0006-0000-0000-0000FC020000}">
      <text>
        <r>
          <rPr>
            <sz val="10"/>
            <color rgb="FF000000"/>
            <rFont val="Arial"/>
            <scheme val="minor"/>
          </rPr>
          <t>Updated on 18-Sep-2024 07:34 AM</t>
        </r>
      </text>
    </comment>
    <comment ref="F859" authorId="0" shapeId="0" xr:uid="{00000000-0006-0000-0000-0000FD020000}">
      <text>
        <r>
          <rPr>
            <sz val="10"/>
            <color rgb="FF000000"/>
            <rFont val="Arial"/>
            <scheme val="minor"/>
          </rPr>
          <t>Updated on 18-Sep-2024 08:07 AM</t>
        </r>
      </text>
    </comment>
    <comment ref="G859" authorId="0" shapeId="0" xr:uid="{00000000-0006-0000-0000-0000FE020000}">
      <text>
        <r>
          <rPr>
            <sz val="10"/>
            <color rgb="FF000000"/>
            <rFont val="Arial"/>
            <scheme val="minor"/>
          </rPr>
          <t>Updated on 18-Sep-2024 08:07 AM</t>
        </r>
      </text>
    </comment>
    <comment ref="H859" authorId="0" shapeId="0" xr:uid="{00000000-0006-0000-0000-0000FF020000}">
      <text>
        <r>
          <rPr>
            <sz val="10"/>
            <color rgb="FF000000"/>
            <rFont val="Arial"/>
            <scheme val="minor"/>
          </rPr>
          <t>Updated on 18-Sep-2024 08:07 AM</t>
        </r>
      </text>
    </comment>
    <comment ref="F860" authorId="0" shapeId="0" xr:uid="{00000000-0006-0000-0000-000000030000}">
      <text>
        <r>
          <rPr>
            <sz val="10"/>
            <color rgb="FF000000"/>
            <rFont val="Arial"/>
            <scheme val="minor"/>
          </rPr>
          <t>Updated on 18-Sep-2024 08:19 AM</t>
        </r>
      </text>
    </comment>
    <comment ref="G860" authorId="0" shapeId="0" xr:uid="{00000000-0006-0000-0000-000001030000}">
      <text>
        <r>
          <rPr>
            <sz val="10"/>
            <color rgb="FF000000"/>
            <rFont val="Arial"/>
            <scheme val="minor"/>
          </rPr>
          <t>Updated on 18-Sep-2024 08:19 AM</t>
        </r>
      </text>
    </comment>
    <comment ref="H860" authorId="0" shapeId="0" xr:uid="{00000000-0006-0000-0000-000002030000}">
      <text>
        <r>
          <rPr>
            <sz val="10"/>
            <color rgb="FF000000"/>
            <rFont val="Arial"/>
            <scheme val="minor"/>
          </rPr>
          <t>Updated on 18-Sep-2024 08:19 AM</t>
        </r>
      </text>
    </comment>
    <comment ref="F861" authorId="0" shapeId="0" xr:uid="{00000000-0006-0000-0000-000003030000}">
      <text>
        <r>
          <rPr>
            <sz val="10"/>
            <color rgb="FF000000"/>
            <rFont val="Arial"/>
            <scheme val="minor"/>
          </rPr>
          <t>Updated on 21-Sep-2024 09:35 AM</t>
        </r>
      </text>
    </comment>
    <comment ref="G861" authorId="0" shapeId="0" xr:uid="{00000000-0006-0000-0000-000004030000}">
      <text>
        <r>
          <rPr>
            <sz val="10"/>
            <color rgb="FF000000"/>
            <rFont val="Arial"/>
            <scheme val="minor"/>
          </rPr>
          <t>Updated on 21-Sep-2024 09:35 AM</t>
        </r>
      </text>
    </comment>
    <comment ref="H861" authorId="0" shapeId="0" xr:uid="{00000000-0006-0000-0000-000005030000}">
      <text>
        <r>
          <rPr>
            <sz val="10"/>
            <color rgb="FF000000"/>
            <rFont val="Arial"/>
            <scheme val="minor"/>
          </rPr>
          <t>Updated on 21-Sep-2024 09:35 AM</t>
        </r>
      </text>
    </comment>
    <comment ref="F862" authorId="0" shapeId="0" xr:uid="{00000000-0006-0000-0000-000006030000}">
      <text>
        <r>
          <rPr>
            <sz val="10"/>
            <color rgb="FF000000"/>
            <rFont val="Arial"/>
            <scheme val="minor"/>
          </rPr>
          <t>Updated on 02-Oct-2024 07:40 AM</t>
        </r>
      </text>
    </comment>
    <comment ref="G862" authorId="0" shapeId="0" xr:uid="{00000000-0006-0000-0000-000007030000}">
      <text>
        <r>
          <rPr>
            <sz val="10"/>
            <color rgb="FF000000"/>
            <rFont val="Arial"/>
            <scheme val="minor"/>
          </rPr>
          <t>Updated on 02-Oct-2024 07:40 AM</t>
        </r>
      </text>
    </comment>
    <comment ref="H862" authorId="0" shapeId="0" xr:uid="{00000000-0006-0000-0000-000008030000}">
      <text>
        <r>
          <rPr>
            <sz val="10"/>
            <color rgb="FF000000"/>
            <rFont val="Arial"/>
            <scheme val="minor"/>
          </rPr>
          <t>Updated on 02-Oct-2024 07:40 AM</t>
        </r>
      </text>
    </comment>
    <comment ref="F863" authorId="0" shapeId="0" xr:uid="{00000000-0006-0000-0000-000009030000}">
      <text>
        <r>
          <rPr>
            <sz val="10"/>
            <color rgb="FF000000"/>
            <rFont val="Arial"/>
            <scheme val="minor"/>
          </rPr>
          <t>Updated on 02-Oct-2024 08:27 AM</t>
        </r>
      </text>
    </comment>
    <comment ref="G863" authorId="0" shapeId="0" xr:uid="{00000000-0006-0000-0000-00000A030000}">
      <text>
        <r>
          <rPr>
            <sz val="10"/>
            <color rgb="FF000000"/>
            <rFont val="Arial"/>
            <scheme val="minor"/>
          </rPr>
          <t>Updated on 02-Oct-2024 08:27 AM</t>
        </r>
      </text>
    </comment>
    <comment ref="H863" authorId="0" shapeId="0" xr:uid="{00000000-0006-0000-0000-00000B030000}">
      <text>
        <r>
          <rPr>
            <sz val="10"/>
            <color rgb="FF000000"/>
            <rFont val="Arial"/>
            <scheme val="minor"/>
          </rPr>
          <t>Updated on 02-Oct-2024 08:27 AM</t>
        </r>
      </text>
    </comment>
    <comment ref="F864" authorId="0" shapeId="0" xr:uid="{00000000-0006-0000-0000-00000C030000}">
      <text>
        <r>
          <rPr>
            <sz val="10"/>
            <color rgb="FF000000"/>
            <rFont val="Arial"/>
            <scheme val="minor"/>
          </rPr>
          <t>Updated on 02-Oct-2024 08:27 AM</t>
        </r>
      </text>
    </comment>
    <comment ref="G864" authorId="0" shapeId="0" xr:uid="{00000000-0006-0000-0000-00000D030000}">
      <text>
        <r>
          <rPr>
            <sz val="10"/>
            <color rgb="FF000000"/>
            <rFont val="Arial"/>
            <scheme val="minor"/>
          </rPr>
          <t>Updated on 02-Oct-2024 08:27 AM</t>
        </r>
      </text>
    </comment>
    <comment ref="H864" authorId="0" shapeId="0" xr:uid="{00000000-0006-0000-0000-00000E030000}">
      <text>
        <r>
          <rPr>
            <sz val="10"/>
            <color rgb="FF000000"/>
            <rFont val="Arial"/>
            <scheme val="minor"/>
          </rPr>
          <t>Updated on 02-Oct-2024 08:27 AM</t>
        </r>
      </text>
    </comment>
    <comment ref="F865" authorId="0" shapeId="0" xr:uid="{00000000-0006-0000-0000-00000F030000}">
      <text>
        <r>
          <rPr>
            <sz val="10"/>
            <color rgb="FF000000"/>
            <rFont val="Arial"/>
            <scheme val="minor"/>
          </rPr>
          <t>Updated on 02-Oct-2024 11:59 AM</t>
        </r>
      </text>
    </comment>
    <comment ref="G865" authorId="0" shapeId="0" xr:uid="{00000000-0006-0000-0000-000010030000}">
      <text>
        <r>
          <rPr>
            <sz val="10"/>
            <color rgb="FF000000"/>
            <rFont val="Arial"/>
            <scheme val="minor"/>
          </rPr>
          <t>Updated on 02-Oct-2024 11:59 AM</t>
        </r>
      </text>
    </comment>
    <comment ref="H865" authorId="0" shapeId="0" xr:uid="{00000000-0006-0000-0000-000011030000}">
      <text>
        <r>
          <rPr>
            <sz val="10"/>
            <color rgb="FF000000"/>
            <rFont val="Arial"/>
            <scheme val="minor"/>
          </rPr>
          <t>Updated on 02-Oct-2024 11:59 AM</t>
        </r>
      </text>
    </comment>
    <comment ref="F866" authorId="0" shapeId="0" xr:uid="{00000000-0006-0000-0000-000012030000}">
      <text>
        <r>
          <rPr>
            <sz val="10"/>
            <color rgb="FF000000"/>
            <rFont val="Arial"/>
            <scheme val="minor"/>
          </rPr>
          <t>Updated on 02-Oct-2024 12:15 PM</t>
        </r>
      </text>
    </comment>
    <comment ref="G866" authorId="0" shapeId="0" xr:uid="{00000000-0006-0000-0000-000013030000}">
      <text>
        <r>
          <rPr>
            <sz val="10"/>
            <color rgb="FF000000"/>
            <rFont val="Arial"/>
            <scheme val="minor"/>
          </rPr>
          <t>Updated on 02-Oct-2024 12:15 PM</t>
        </r>
      </text>
    </comment>
    <comment ref="H866" authorId="0" shapeId="0" xr:uid="{00000000-0006-0000-0000-000014030000}">
      <text>
        <r>
          <rPr>
            <sz val="10"/>
            <color rgb="FF000000"/>
            <rFont val="Arial"/>
            <scheme val="minor"/>
          </rPr>
          <t>Updated on 02-Oct-2024 12:15 PM</t>
        </r>
      </text>
    </comment>
    <comment ref="F867" authorId="0" shapeId="0" xr:uid="{00000000-0006-0000-0000-000015030000}">
      <text>
        <r>
          <rPr>
            <sz val="10"/>
            <color rgb="FF000000"/>
            <rFont val="Arial"/>
            <scheme val="minor"/>
          </rPr>
          <t>Updated on 02-Oct-2024 03:17 PM</t>
        </r>
      </text>
    </comment>
    <comment ref="G867" authorId="0" shapeId="0" xr:uid="{00000000-0006-0000-0000-000016030000}">
      <text>
        <r>
          <rPr>
            <sz val="10"/>
            <color rgb="FF000000"/>
            <rFont val="Arial"/>
            <scheme val="minor"/>
          </rPr>
          <t>Updated on 02-Oct-2024 03:17 PM</t>
        </r>
      </text>
    </comment>
    <comment ref="H867" authorId="0" shapeId="0" xr:uid="{00000000-0006-0000-0000-000017030000}">
      <text>
        <r>
          <rPr>
            <sz val="10"/>
            <color rgb="FF000000"/>
            <rFont val="Arial"/>
            <scheme val="minor"/>
          </rPr>
          <t>Updated on 02-Oct-2024 03:17 PM</t>
        </r>
      </text>
    </comment>
    <comment ref="F868" authorId="0" shapeId="0" xr:uid="{00000000-0006-0000-0000-000018030000}">
      <text>
        <r>
          <rPr>
            <sz val="10"/>
            <color rgb="FF000000"/>
            <rFont val="Arial"/>
            <scheme val="minor"/>
          </rPr>
          <t>Updated on 02-Oct-2024 03:56 PM</t>
        </r>
      </text>
    </comment>
    <comment ref="G868" authorId="0" shapeId="0" xr:uid="{00000000-0006-0000-0000-000019030000}">
      <text>
        <r>
          <rPr>
            <sz val="10"/>
            <color rgb="FF000000"/>
            <rFont val="Arial"/>
            <scheme val="minor"/>
          </rPr>
          <t>Updated on 02-Oct-2024 03:55 PM</t>
        </r>
      </text>
    </comment>
    <comment ref="H868" authorId="0" shapeId="0" xr:uid="{00000000-0006-0000-0000-00001A030000}">
      <text>
        <r>
          <rPr>
            <sz val="10"/>
            <color rgb="FF000000"/>
            <rFont val="Arial"/>
            <scheme val="minor"/>
          </rPr>
          <t>Updated on 02-Oct-2024 03:55 PM</t>
        </r>
      </text>
    </comment>
    <comment ref="F869" authorId="0" shapeId="0" xr:uid="{00000000-0006-0000-0000-00001B030000}">
      <text>
        <r>
          <rPr>
            <sz val="10"/>
            <color rgb="FF000000"/>
            <rFont val="Arial"/>
            <scheme val="minor"/>
          </rPr>
          <t>Updated on 02-Oct-2024 03:59 PM</t>
        </r>
      </text>
    </comment>
    <comment ref="G869" authorId="0" shapeId="0" xr:uid="{00000000-0006-0000-0000-00001C030000}">
      <text>
        <r>
          <rPr>
            <sz val="10"/>
            <color rgb="FF000000"/>
            <rFont val="Arial"/>
            <scheme val="minor"/>
          </rPr>
          <t>Updated on 02-Oct-2024 03:59 PM</t>
        </r>
      </text>
    </comment>
    <comment ref="H869" authorId="0" shapeId="0" xr:uid="{00000000-0006-0000-0000-00001D030000}">
      <text>
        <r>
          <rPr>
            <sz val="10"/>
            <color rgb="FF000000"/>
            <rFont val="Arial"/>
            <scheme val="minor"/>
          </rPr>
          <t>Updated on 02-Oct-2024 03:59 PM</t>
        </r>
      </text>
    </comment>
    <comment ref="F870" authorId="0" shapeId="0" xr:uid="{00000000-0006-0000-0000-00001E030000}">
      <text>
        <r>
          <rPr>
            <sz val="10"/>
            <color rgb="FF000000"/>
            <rFont val="Arial"/>
            <scheme val="minor"/>
          </rPr>
          <t>Updated on 03-Oct-2024 07:26 AM</t>
        </r>
      </text>
    </comment>
    <comment ref="G870" authorId="0" shapeId="0" xr:uid="{00000000-0006-0000-0000-00001F030000}">
      <text>
        <r>
          <rPr>
            <sz val="10"/>
            <color rgb="FF000000"/>
            <rFont val="Arial"/>
            <scheme val="minor"/>
          </rPr>
          <t>Updated on 03-Oct-2024 07:26 AM</t>
        </r>
      </text>
    </comment>
    <comment ref="H870" authorId="0" shapeId="0" xr:uid="{00000000-0006-0000-0000-000020030000}">
      <text>
        <r>
          <rPr>
            <sz val="10"/>
            <color rgb="FF000000"/>
            <rFont val="Arial"/>
            <scheme val="minor"/>
          </rPr>
          <t>Updated on 03-Oct-2024 07:26 AM</t>
        </r>
      </text>
    </comment>
    <comment ref="F871" authorId="0" shapeId="0" xr:uid="{00000000-0006-0000-0000-000021030000}">
      <text>
        <r>
          <rPr>
            <sz val="10"/>
            <color rgb="FF000000"/>
            <rFont val="Arial"/>
            <scheme val="minor"/>
          </rPr>
          <t>Updated on 03-Oct-2024 07:45 AM</t>
        </r>
      </text>
    </comment>
    <comment ref="G871" authorId="0" shapeId="0" xr:uid="{00000000-0006-0000-0000-000022030000}">
      <text>
        <r>
          <rPr>
            <sz val="10"/>
            <color rgb="FF000000"/>
            <rFont val="Arial"/>
            <scheme val="minor"/>
          </rPr>
          <t>Updated on 03-Oct-2024 07:45 AM</t>
        </r>
      </text>
    </comment>
    <comment ref="H871" authorId="0" shapeId="0" xr:uid="{00000000-0006-0000-0000-000023030000}">
      <text>
        <r>
          <rPr>
            <sz val="10"/>
            <color rgb="FF000000"/>
            <rFont val="Arial"/>
            <scheme val="minor"/>
          </rPr>
          <t>Updated on 03-Oct-2024 07:45 AM</t>
        </r>
      </text>
    </comment>
    <comment ref="F872" authorId="0" shapeId="0" xr:uid="{00000000-0006-0000-0000-000024030000}">
      <text>
        <r>
          <rPr>
            <sz val="10"/>
            <color rgb="FF000000"/>
            <rFont val="Arial"/>
            <scheme val="minor"/>
          </rPr>
          <t>Updated on 03-Oct-2024 08:38 AM</t>
        </r>
      </text>
    </comment>
    <comment ref="G872" authorId="0" shapeId="0" xr:uid="{00000000-0006-0000-0000-000025030000}">
      <text>
        <r>
          <rPr>
            <sz val="10"/>
            <color rgb="FF000000"/>
            <rFont val="Arial"/>
            <scheme val="minor"/>
          </rPr>
          <t>Updated on 03-Oct-2024 08:38 AM</t>
        </r>
      </text>
    </comment>
    <comment ref="H872" authorId="0" shapeId="0" xr:uid="{00000000-0006-0000-0000-000026030000}">
      <text>
        <r>
          <rPr>
            <sz val="10"/>
            <color rgb="FF000000"/>
            <rFont val="Arial"/>
            <scheme val="minor"/>
          </rPr>
          <t>Updated on 03-Oct-2024 08:38 AM</t>
        </r>
      </text>
    </comment>
    <comment ref="F873" authorId="0" shapeId="0" xr:uid="{00000000-0006-0000-0000-000027030000}">
      <text>
        <r>
          <rPr>
            <sz val="10"/>
            <color rgb="FF000000"/>
            <rFont val="Arial"/>
            <scheme val="minor"/>
          </rPr>
          <t>Updated on 03-Oct-2024 08:41 AM</t>
        </r>
      </text>
    </comment>
    <comment ref="G873" authorId="0" shapeId="0" xr:uid="{00000000-0006-0000-0000-000028030000}">
      <text>
        <r>
          <rPr>
            <sz val="10"/>
            <color rgb="FF000000"/>
            <rFont val="Arial"/>
            <scheme val="minor"/>
          </rPr>
          <t>Updated on 03-Oct-2024 08:41 AM</t>
        </r>
      </text>
    </comment>
    <comment ref="H873" authorId="0" shapeId="0" xr:uid="{00000000-0006-0000-0000-000029030000}">
      <text>
        <r>
          <rPr>
            <sz val="10"/>
            <color rgb="FF000000"/>
            <rFont val="Arial"/>
            <scheme val="minor"/>
          </rPr>
          <t>Updated on 03-Oct-2024 08:41 AM</t>
        </r>
      </text>
    </comment>
    <comment ref="F874" authorId="0" shapeId="0" xr:uid="{00000000-0006-0000-0000-00002A030000}">
      <text>
        <r>
          <rPr>
            <sz val="10"/>
            <color rgb="FF000000"/>
            <rFont val="Arial"/>
            <scheme val="minor"/>
          </rPr>
          <t>Updated on 03-Oct-2024 08:42 AM</t>
        </r>
      </text>
    </comment>
    <comment ref="G874" authorId="0" shapeId="0" xr:uid="{00000000-0006-0000-0000-00002B030000}">
      <text>
        <r>
          <rPr>
            <sz val="10"/>
            <color rgb="FF000000"/>
            <rFont val="Arial"/>
            <scheme val="minor"/>
          </rPr>
          <t>Updated on 03-Oct-2024 08:42 AM</t>
        </r>
      </text>
    </comment>
    <comment ref="H874" authorId="0" shapeId="0" xr:uid="{00000000-0006-0000-0000-00002C030000}">
      <text>
        <r>
          <rPr>
            <sz val="10"/>
            <color rgb="FF000000"/>
            <rFont val="Arial"/>
            <scheme val="minor"/>
          </rPr>
          <t>Updated on 03-Oct-2024 08:42 AM</t>
        </r>
      </text>
    </comment>
    <comment ref="F875" authorId="0" shapeId="0" xr:uid="{00000000-0006-0000-0000-00002D030000}">
      <text>
        <r>
          <rPr>
            <sz val="10"/>
            <color rgb="FF000000"/>
            <rFont val="Arial"/>
            <scheme val="minor"/>
          </rPr>
          <t>Updated on 03-Oct-2024 09:02 AM</t>
        </r>
      </text>
    </comment>
    <comment ref="G875" authorId="0" shapeId="0" xr:uid="{00000000-0006-0000-0000-00002E030000}">
      <text>
        <r>
          <rPr>
            <sz val="10"/>
            <color rgb="FF000000"/>
            <rFont val="Arial"/>
            <scheme val="minor"/>
          </rPr>
          <t>Updated on 03-Oct-2024 09:02 AM</t>
        </r>
      </text>
    </comment>
    <comment ref="H875" authorId="0" shapeId="0" xr:uid="{00000000-0006-0000-0000-00002F030000}">
      <text>
        <r>
          <rPr>
            <sz val="10"/>
            <color rgb="FF000000"/>
            <rFont val="Arial"/>
            <scheme val="minor"/>
          </rPr>
          <t>Updated on 03-Oct-2024 09:02 AM</t>
        </r>
      </text>
    </comment>
    <comment ref="F876" authorId="0" shapeId="0" xr:uid="{00000000-0006-0000-0000-000030030000}">
      <text>
        <r>
          <rPr>
            <sz val="10"/>
            <color rgb="FF000000"/>
            <rFont val="Arial"/>
            <scheme val="minor"/>
          </rPr>
          <t>Updated on 03-Oct-2024 05:22 PM</t>
        </r>
      </text>
    </comment>
    <comment ref="G876" authorId="0" shapeId="0" xr:uid="{00000000-0006-0000-0000-000031030000}">
      <text>
        <r>
          <rPr>
            <sz val="10"/>
            <color rgb="FF000000"/>
            <rFont val="Arial"/>
            <scheme val="minor"/>
          </rPr>
          <t>Updated on 03-Oct-2024 05:22 PM</t>
        </r>
      </text>
    </comment>
    <comment ref="H876" authorId="0" shapeId="0" xr:uid="{00000000-0006-0000-0000-000032030000}">
      <text>
        <r>
          <rPr>
            <sz val="10"/>
            <color rgb="FF000000"/>
            <rFont val="Arial"/>
            <scheme val="minor"/>
          </rPr>
          <t>Updated on 03-Oct-2024 05:22 PM</t>
        </r>
      </text>
    </comment>
    <comment ref="F877" authorId="0" shapeId="0" xr:uid="{00000000-0006-0000-0000-000033030000}">
      <text>
        <r>
          <rPr>
            <sz val="10"/>
            <color rgb="FF000000"/>
            <rFont val="Arial"/>
            <scheme val="minor"/>
          </rPr>
          <t>Updated on 04-Oct-2024 09:09 AM</t>
        </r>
      </text>
    </comment>
    <comment ref="G877" authorId="0" shapeId="0" xr:uid="{00000000-0006-0000-0000-000034030000}">
      <text>
        <r>
          <rPr>
            <sz val="10"/>
            <color rgb="FF000000"/>
            <rFont val="Arial"/>
            <scheme val="minor"/>
          </rPr>
          <t>Updated on 04-Oct-2024 09:09 AM</t>
        </r>
      </text>
    </comment>
    <comment ref="H877" authorId="0" shapeId="0" xr:uid="{00000000-0006-0000-0000-000035030000}">
      <text>
        <r>
          <rPr>
            <sz val="10"/>
            <color rgb="FF000000"/>
            <rFont val="Arial"/>
            <scheme val="minor"/>
          </rPr>
          <t>Updated on 04-Oct-2024 09:09 AM</t>
        </r>
      </text>
    </comment>
    <comment ref="F878" authorId="0" shapeId="0" xr:uid="{00000000-0006-0000-0000-000036030000}">
      <text>
        <r>
          <rPr>
            <sz val="10"/>
            <color rgb="FF000000"/>
            <rFont val="Arial"/>
            <scheme val="minor"/>
          </rPr>
          <t>Updated on 04-Oct-2024 10:08 AM</t>
        </r>
      </text>
    </comment>
    <comment ref="G878" authorId="0" shapeId="0" xr:uid="{00000000-0006-0000-0000-000037030000}">
      <text>
        <r>
          <rPr>
            <sz val="10"/>
            <color rgb="FF000000"/>
            <rFont val="Arial"/>
            <scheme val="minor"/>
          </rPr>
          <t>Updated on 04-Oct-2024 10:08 AM</t>
        </r>
      </text>
    </comment>
    <comment ref="H878" authorId="0" shapeId="0" xr:uid="{00000000-0006-0000-0000-000038030000}">
      <text>
        <r>
          <rPr>
            <sz val="10"/>
            <color rgb="FF000000"/>
            <rFont val="Arial"/>
            <scheme val="minor"/>
          </rPr>
          <t>Updated on 04-Oct-2024 10:08 AM</t>
        </r>
      </text>
    </comment>
    <comment ref="F879" authorId="0" shapeId="0" xr:uid="{00000000-0006-0000-0000-000039030000}">
      <text>
        <r>
          <rPr>
            <sz val="10"/>
            <color rgb="FF000000"/>
            <rFont val="Arial"/>
            <scheme val="minor"/>
          </rPr>
          <t>Updated on 04-Oct-2024 11:19 AM</t>
        </r>
      </text>
    </comment>
    <comment ref="G879" authorId="0" shapeId="0" xr:uid="{00000000-0006-0000-0000-00003A030000}">
      <text>
        <r>
          <rPr>
            <sz val="10"/>
            <color rgb="FF000000"/>
            <rFont val="Arial"/>
            <scheme val="minor"/>
          </rPr>
          <t>Updated on 04-Oct-2024 11:19 AM</t>
        </r>
      </text>
    </comment>
    <comment ref="H879" authorId="0" shapeId="0" xr:uid="{00000000-0006-0000-0000-00003B030000}">
      <text>
        <r>
          <rPr>
            <sz val="10"/>
            <color rgb="FF000000"/>
            <rFont val="Arial"/>
            <scheme val="minor"/>
          </rPr>
          <t>Updated on 04-Oct-2024 11:19 AM</t>
        </r>
      </text>
    </comment>
    <comment ref="F880" authorId="0" shapeId="0" xr:uid="{00000000-0006-0000-0000-00003C030000}">
      <text>
        <r>
          <rPr>
            <sz val="10"/>
            <color rgb="FF000000"/>
            <rFont val="Arial"/>
            <scheme val="minor"/>
          </rPr>
          <t>Updated on 04-Oct-2024 01:01 PM</t>
        </r>
      </text>
    </comment>
    <comment ref="G880" authorId="0" shapeId="0" xr:uid="{00000000-0006-0000-0000-00003D030000}">
      <text>
        <r>
          <rPr>
            <sz val="10"/>
            <color rgb="FF000000"/>
            <rFont val="Arial"/>
            <scheme val="minor"/>
          </rPr>
          <t>Updated on 04-Oct-2024 01:01 PM</t>
        </r>
      </text>
    </comment>
    <comment ref="H880" authorId="0" shapeId="0" xr:uid="{00000000-0006-0000-0000-00003E030000}">
      <text>
        <r>
          <rPr>
            <sz val="10"/>
            <color rgb="FF000000"/>
            <rFont val="Arial"/>
            <scheme val="minor"/>
          </rPr>
          <t>Updated on 04-Oct-2024 01:01 PM</t>
        </r>
      </text>
    </comment>
    <comment ref="F881" authorId="0" shapeId="0" xr:uid="{00000000-0006-0000-0000-00003F030000}">
      <text>
        <r>
          <rPr>
            <sz val="10"/>
            <color rgb="FF000000"/>
            <rFont val="Arial"/>
            <scheme val="minor"/>
          </rPr>
          <t>Updated on 04-Oct-2024 02:19 PM</t>
        </r>
      </text>
    </comment>
    <comment ref="G881" authorId="0" shapeId="0" xr:uid="{00000000-0006-0000-0000-000040030000}">
      <text>
        <r>
          <rPr>
            <sz val="10"/>
            <color rgb="FF000000"/>
            <rFont val="Arial"/>
            <scheme val="minor"/>
          </rPr>
          <t>Updated on 04-Oct-2024 02:18 PM</t>
        </r>
      </text>
    </comment>
    <comment ref="H881" authorId="0" shapeId="0" xr:uid="{00000000-0006-0000-0000-000041030000}">
      <text>
        <r>
          <rPr>
            <sz val="10"/>
            <color rgb="FF000000"/>
            <rFont val="Arial"/>
            <scheme val="minor"/>
          </rPr>
          <t>Updated on 04-Oct-2024 02:18 PM</t>
        </r>
      </text>
    </comment>
    <comment ref="F882" authorId="0" shapeId="0" xr:uid="{00000000-0006-0000-0000-000042030000}">
      <text>
        <r>
          <rPr>
            <sz val="10"/>
            <color rgb="FF000000"/>
            <rFont val="Arial"/>
            <scheme val="minor"/>
          </rPr>
          <t>Updated on 04-Oct-2024 02:48 PM</t>
        </r>
      </text>
    </comment>
    <comment ref="G882" authorId="0" shapeId="0" xr:uid="{00000000-0006-0000-0000-000043030000}">
      <text>
        <r>
          <rPr>
            <sz val="10"/>
            <color rgb="FF000000"/>
            <rFont val="Arial"/>
            <scheme val="minor"/>
          </rPr>
          <t>Updated on 04-Oct-2024 02:48 PM</t>
        </r>
      </text>
    </comment>
    <comment ref="H882" authorId="0" shapeId="0" xr:uid="{00000000-0006-0000-0000-000044030000}">
      <text>
        <r>
          <rPr>
            <sz val="10"/>
            <color rgb="FF000000"/>
            <rFont val="Arial"/>
            <scheme val="minor"/>
          </rPr>
          <t>Updated on 04-Oct-2024 02:48 PM</t>
        </r>
      </text>
    </comment>
    <comment ref="F883" authorId="0" shapeId="0" xr:uid="{00000000-0006-0000-0000-000045030000}">
      <text>
        <r>
          <rPr>
            <sz val="10"/>
            <color rgb="FF000000"/>
            <rFont val="Arial"/>
            <scheme val="minor"/>
          </rPr>
          <t>Updated on 04-Oct-2024 03:28 PM</t>
        </r>
      </text>
    </comment>
    <comment ref="G883" authorId="0" shapeId="0" xr:uid="{00000000-0006-0000-0000-000046030000}">
      <text>
        <r>
          <rPr>
            <sz val="10"/>
            <color rgb="FF000000"/>
            <rFont val="Arial"/>
            <scheme val="minor"/>
          </rPr>
          <t>Updated on 04-Oct-2024 03:28 PM</t>
        </r>
      </text>
    </comment>
    <comment ref="H883" authorId="0" shapeId="0" xr:uid="{00000000-0006-0000-0000-000047030000}">
      <text>
        <r>
          <rPr>
            <sz val="10"/>
            <color rgb="FF000000"/>
            <rFont val="Arial"/>
            <scheme val="minor"/>
          </rPr>
          <t>Updated on 04-Oct-2024 03:28 PM</t>
        </r>
      </text>
    </comment>
    <comment ref="F884" authorId="0" shapeId="0" xr:uid="{00000000-0006-0000-0000-000048030000}">
      <text>
        <r>
          <rPr>
            <sz val="10"/>
            <color rgb="FF000000"/>
            <rFont val="Arial"/>
            <scheme val="minor"/>
          </rPr>
          <t>Updated on 04-Oct-2024 03:28 PM</t>
        </r>
      </text>
    </comment>
    <comment ref="G884" authorId="0" shapeId="0" xr:uid="{00000000-0006-0000-0000-000049030000}">
      <text>
        <r>
          <rPr>
            <sz val="10"/>
            <color rgb="FF000000"/>
            <rFont val="Arial"/>
            <scheme val="minor"/>
          </rPr>
          <t>Updated on 04-Oct-2024 03:28 PM</t>
        </r>
      </text>
    </comment>
    <comment ref="H884" authorId="0" shapeId="0" xr:uid="{00000000-0006-0000-0000-00004A030000}">
      <text>
        <r>
          <rPr>
            <sz val="10"/>
            <color rgb="FF000000"/>
            <rFont val="Arial"/>
            <scheme val="minor"/>
          </rPr>
          <t>Updated on 04-Oct-2024 03:28 PM</t>
        </r>
      </text>
    </comment>
    <comment ref="F885" authorId="0" shapeId="0" xr:uid="{00000000-0006-0000-0000-00004B030000}">
      <text>
        <r>
          <rPr>
            <sz val="10"/>
            <color rgb="FF000000"/>
            <rFont val="Arial"/>
            <scheme val="minor"/>
          </rPr>
          <t>Updated on 04-Oct-2024 05:43 PM</t>
        </r>
      </text>
    </comment>
    <comment ref="G885" authorId="0" shapeId="0" xr:uid="{00000000-0006-0000-0000-00004C030000}">
      <text>
        <r>
          <rPr>
            <sz val="10"/>
            <color rgb="FF000000"/>
            <rFont val="Arial"/>
            <scheme val="minor"/>
          </rPr>
          <t>Updated on 04-Oct-2024 05:43 PM</t>
        </r>
      </text>
    </comment>
    <comment ref="H885" authorId="0" shapeId="0" xr:uid="{00000000-0006-0000-0000-00004D030000}">
      <text>
        <r>
          <rPr>
            <sz val="10"/>
            <color rgb="FF000000"/>
            <rFont val="Arial"/>
            <scheme val="minor"/>
          </rPr>
          <t>Updated on 04-Oct-2024 05:43 PM</t>
        </r>
      </text>
    </comment>
    <comment ref="F886" authorId="0" shapeId="0" xr:uid="{00000000-0006-0000-0000-00004E030000}">
      <text>
        <r>
          <rPr>
            <sz val="10"/>
            <color rgb="FF000000"/>
            <rFont val="Arial"/>
            <scheme val="minor"/>
          </rPr>
          <t>Updated on 07-Oct-2024 07:17 AM</t>
        </r>
      </text>
    </comment>
    <comment ref="G886" authorId="0" shapeId="0" xr:uid="{00000000-0006-0000-0000-00004F030000}">
      <text>
        <r>
          <rPr>
            <sz val="10"/>
            <color rgb="FF000000"/>
            <rFont val="Arial"/>
            <scheme val="minor"/>
          </rPr>
          <t>Updated on 07-Oct-2024 07:17 AM</t>
        </r>
      </text>
    </comment>
    <comment ref="H886" authorId="0" shapeId="0" xr:uid="{00000000-0006-0000-0000-000050030000}">
      <text>
        <r>
          <rPr>
            <sz val="10"/>
            <color rgb="FF000000"/>
            <rFont val="Arial"/>
            <scheme val="minor"/>
          </rPr>
          <t>Updated on 07-Oct-2024 07:17 AM</t>
        </r>
      </text>
    </comment>
    <comment ref="F887" authorId="0" shapeId="0" xr:uid="{00000000-0006-0000-0000-000051030000}">
      <text>
        <r>
          <rPr>
            <sz val="10"/>
            <color rgb="FF000000"/>
            <rFont val="Arial"/>
            <scheme val="minor"/>
          </rPr>
          <t>Updated on 07-Oct-2024 07:22 AM</t>
        </r>
      </text>
    </comment>
    <comment ref="G887" authorId="0" shapeId="0" xr:uid="{00000000-0006-0000-0000-000052030000}">
      <text>
        <r>
          <rPr>
            <sz val="10"/>
            <color rgb="FF000000"/>
            <rFont val="Arial"/>
            <scheme val="minor"/>
          </rPr>
          <t>Updated on 07-Oct-2024 07:22 AM</t>
        </r>
      </text>
    </comment>
    <comment ref="H887" authorId="0" shapeId="0" xr:uid="{00000000-0006-0000-0000-000053030000}">
      <text>
        <r>
          <rPr>
            <sz val="10"/>
            <color rgb="FF000000"/>
            <rFont val="Arial"/>
            <scheme val="minor"/>
          </rPr>
          <t>Updated on 07-Oct-2024 07:22 AM</t>
        </r>
      </text>
    </comment>
    <comment ref="F888" authorId="0" shapeId="0" xr:uid="{00000000-0006-0000-0000-000054030000}">
      <text>
        <r>
          <rPr>
            <sz val="10"/>
            <color rgb="FF000000"/>
            <rFont val="Arial"/>
            <scheme val="minor"/>
          </rPr>
          <t>Updated on 07-Oct-2024 08:51 AM</t>
        </r>
      </text>
    </comment>
    <comment ref="G888" authorId="0" shapeId="0" xr:uid="{00000000-0006-0000-0000-000055030000}">
      <text>
        <r>
          <rPr>
            <sz val="10"/>
            <color rgb="FF000000"/>
            <rFont val="Arial"/>
            <scheme val="minor"/>
          </rPr>
          <t>Updated on 07-Oct-2024 08:51 AM</t>
        </r>
      </text>
    </comment>
    <comment ref="H888" authorId="0" shapeId="0" xr:uid="{00000000-0006-0000-0000-000056030000}">
      <text>
        <r>
          <rPr>
            <sz val="10"/>
            <color rgb="FF000000"/>
            <rFont val="Arial"/>
            <scheme val="minor"/>
          </rPr>
          <t>Updated on 07-Oct-2024 08:51 AM</t>
        </r>
      </text>
    </comment>
    <comment ref="F889" authorId="0" shapeId="0" xr:uid="{00000000-0006-0000-0000-000057030000}">
      <text>
        <r>
          <rPr>
            <sz val="10"/>
            <color rgb="FF000000"/>
            <rFont val="Arial"/>
            <scheme val="minor"/>
          </rPr>
          <t>Updated on 07-Oct-2024 08:52 AM</t>
        </r>
      </text>
    </comment>
    <comment ref="G889" authorId="0" shapeId="0" xr:uid="{00000000-0006-0000-0000-000058030000}">
      <text>
        <r>
          <rPr>
            <sz val="10"/>
            <color rgb="FF000000"/>
            <rFont val="Arial"/>
            <scheme val="minor"/>
          </rPr>
          <t>Updated on 07-Oct-2024 08:52 AM</t>
        </r>
      </text>
    </comment>
    <comment ref="H889" authorId="0" shapeId="0" xr:uid="{00000000-0006-0000-0000-000059030000}">
      <text>
        <r>
          <rPr>
            <sz val="10"/>
            <color rgb="FF000000"/>
            <rFont val="Arial"/>
            <scheme val="minor"/>
          </rPr>
          <t>Updated on 07-Oct-2024 08:52 AM</t>
        </r>
      </text>
    </comment>
    <comment ref="F890" authorId="0" shapeId="0" xr:uid="{00000000-0006-0000-0000-00005A030000}">
      <text>
        <r>
          <rPr>
            <sz val="10"/>
            <color rgb="FF000000"/>
            <rFont val="Arial"/>
            <scheme val="minor"/>
          </rPr>
          <t>Updated on 08-Oct-2024 08:18 AM</t>
        </r>
      </text>
    </comment>
    <comment ref="G890" authorId="0" shapeId="0" xr:uid="{00000000-0006-0000-0000-00005B030000}">
      <text>
        <r>
          <rPr>
            <sz val="10"/>
            <color rgb="FF000000"/>
            <rFont val="Arial"/>
            <scheme val="minor"/>
          </rPr>
          <t>Updated on 08-Oct-2024 08:18 AM</t>
        </r>
      </text>
    </comment>
    <comment ref="H890" authorId="0" shapeId="0" xr:uid="{00000000-0006-0000-0000-00005C030000}">
      <text>
        <r>
          <rPr>
            <sz val="10"/>
            <color rgb="FF000000"/>
            <rFont val="Arial"/>
            <scheme val="minor"/>
          </rPr>
          <t>Updated on 08-Oct-2024 08:18 AM</t>
        </r>
      </text>
    </comment>
    <comment ref="F891" authorId="0" shapeId="0" xr:uid="{00000000-0006-0000-0000-00005D030000}">
      <text>
        <r>
          <rPr>
            <sz val="10"/>
            <color rgb="FF000000"/>
            <rFont val="Arial"/>
            <scheme val="minor"/>
          </rPr>
          <t>Updated on 08-Oct-2024 02:49 PM</t>
        </r>
      </text>
    </comment>
    <comment ref="G891" authorId="0" shapeId="0" xr:uid="{00000000-0006-0000-0000-00005E030000}">
      <text>
        <r>
          <rPr>
            <sz val="10"/>
            <color rgb="FF000000"/>
            <rFont val="Arial"/>
            <scheme val="minor"/>
          </rPr>
          <t>Updated on 08-Oct-2024 02:49 PM</t>
        </r>
      </text>
    </comment>
    <comment ref="H891" authorId="0" shapeId="0" xr:uid="{00000000-0006-0000-0000-00005F030000}">
      <text>
        <r>
          <rPr>
            <sz val="10"/>
            <color rgb="FF000000"/>
            <rFont val="Arial"/>
            <scheme val="minor"/>
          </rPr>
          <t>Updated on 08-Oct-2024 02:49 PM</t>
        </r>
      </text>
    </comment>
    <comment ref="F892" authorId="0" shapeId="0" xr:uid="{00000000-0006-0000-0000-000060030000}">
      <text>
        <r>
          <rPr>
            <sz val="10"/>
            <color rgb="FF000000"/>
            <rFont val="Arial"/>
            <scheme val="minor"/>
          </rPr>
          <t>Updated on 08-Oct-2024 03:01 PM</t>
        </r>
      </text>
    </comment>
    <comment ref="G892" authorId="0" shapeId="0" xr:uid="{00000000-0006-0000-0000-000061030000}">
      <text>
        <r>
          <rPr>
            <sz val="10"/>
            <color rgb="FF000000"/>
            <rFont val="Arial"/>
            <scheme val="minor"/>
          </rPr>
          <t>Updated on 08-Oct-2024 03:01 PM</t>
        </r>
      </text>
    </comment>
    <comment ref="H892" authorId="0" shapeId="0" xr:uid="{00000000-0006-0000-0000-000062030000}">
      <text>
        <r>
          <rPr>
            <sz val="10"/>
            <color rgb="FF000000"/>
            <rFont val="Arial"/>
            <scheme val="minor"/>
          </rPr>
          <t>Updated on 08-Oct-2024 03:01 PM</t>
        </r>
      </text>
    </comment>
    <comment ref="F893" authorId="0" shapeId="0" xr:uid="{00000000-0006-0000-0000-000063030000}">
      <text>
        <r>
          <rPr>
            <sz val="10"/>
            <color rgb="FF000000"/>
            <rFont val="Arial"/>
            <scheme val="minor"/>
          </rPr>
          <t>Updated on 08-Oct-2024 03:30 PM</t>
        </r>
      </text>
    </comment>
    <comment ref="G893" authorId="0" shapeId="0" xr:uid="{00000000-0006-0000-0000-000064030000}">
      <text>
        <r>
          <rPr>
            <sz val="10"/>
            <color rgb="FF000000"/>
            <rFont val="Arial"/>
            <scheme val="minor"/>
          </rPr>
          <t>Updated on 08-Oct-2024 03:29 PM</t>
        </r>
      </text>
    </comment>
    <comment ref="H893" authorId="0" shapeId="0" xr:uid="{00000000-0006-0000-0000-000065030000}">
      <text>
        <r>
          <rPr>
            <sz val="10"/>
            <color rgb="FF000000"/>
            <rFont val="Arial"/>
            <scheme val="minor"/>
          </rPr>
          <t>Updated on 08-Oct-2024 03:29 PM</t>
        </r>
      </text>
    </comment>
    <comment ref="F894" authorId="0" shapeId="0" xr:uid="{00000000-0006-0000-0000-000066030000}">
      <text>
        <r>
          <rPr>
            <sz val="10"/>
            <color rgb="FF000000"/>
            <rFont val="Arial"/>
            <scheme val="minor"/>
          </rPr>
          <t>Updated on 09-Oct-2024 07:38 AM</t>
        </r>
      </text>
    </comment>
    <comment ref="G894" authorId="0" shapeId="0" xr:uid="{00000000-0006-0000-0000-000067030000}">
      <text>
        <r>
          <rPr>
            <sz val="10"/>
            <color rgb="FF000000"/>
            <rFont val="Arial"/>
            <scheme val="minor"/>
          </rPr>
          <t>Updated on 09-Oct-2024 07:38 AM</t>
        </r>
      </text>
    </comment>
    <comment ref="H894" authorId="0" shapeId="0" xr:uid="{00000000-0006-0000-0000-000068030000}">
      <text>
        <r>
          <rPr>
            <sz val="10"/>
            <color rgb="FF000000"/>
            <rFont val="Arial"/>
            <scheme val="minor"/>
          </rPr>
          <t>Updated on 09-Oct-2024 07:38 AM</t>
        </r>
      </text>
    </comment>
    <comment ref="F895" authorId="0" shapeId="0" xr:uid="{00000000-0006-0000-0000-000069030000}">
      <text>
        <r>
          <rPr>
            <sz val="10"/>
            <color rgb="FF000000"/>
            <rFont val="Arial"/>
            <scheme val="minor"/>
          </rPr>
          <t>Updated on 05-Nov-2024 03:23 PM</t>
        </r>
      </text>
    </comment>
    <comment ref="G895" authorId="0" shapeId="0" xr:uid="{00000000-0006-0000-0000-00006A030000}">
      <text>
        <r>
          <rPr>
            <sz val="10"/>
            <color rgb="FF000000"/>
            <rFont val="Arial"/>
            <scheme val="minor"/>
          </rPr>
          <t>Updated on 05-Nov-2024 03:23 PM</t>
        </r>
      </text>
    </comment>
    <comment ref="H895" authorId="0" shapeId="0" xr:uid="{00000000-0006-0000-0000-00006B030000}">
      <text>
        <r>
          <rPr>
            <sz val="10"/>
            <color rgb="FF000000"/>
            <rFont val="Arial"/>
            <scheme val="minor"/>
          </rPr>
          <t>Updated on 05-Nov-2024 03:23 PM</t>
        </r>
      </text>
    </comment>
    <comment ref="F896" authorId="0" shapeId="0" xr:uid="{00000000-0006-0000-0000-00006C030000}">
      <text>
        <r>
          <rPr>
            <sz val="10"/>
            <color rgb="FF000000"/>
            <rFont val="Arial"/>
            <scheme val="minor"/>
          </rPr>
          <t>Updated on 06-Nov-2024 08:31 AM</t>
        </r>
      </text>
    </comment>
    <comment ref="G896" authorId="0" shapeId="0" xr:uid="{00000000-0006-0000-0000-00006D030000}">
      <text>
        <r>
          <rPr>
            <sz val="10"/>
            <color rgb="FF000000"/>
            <rFont val="Arial"/>
            <scheme val="minor"/>
          </rPr>
          <t>Updated on 06-Nov-2024 08:31 AM</t>
        </r>
      </text>
    </comment>
    <comment ref="H896" authorId="0" shapeId="0" xr:uid="{00000000-0006-0000-0000-00006E030000}">
      <text>
        <r>
          <rPr>
            <sz val="10"/>
            <color rgb="FF000000"/>
            <rFont val="Arial"/>
            <scheme val="minor"/>
          </rPr>
          <t>Updated on 06-Nov-2024 08:31 AM</t>
        </r>
      </text>
    </comment>
    <comment ref="F897" authorId="0" shapeId="0" xr:uid="{00000000-0006-0000-0000-00006F030000}">
      <text>
        <r>
          <rPr>
            <sz val="10"/>
            <color rgb="FF000000"/>
            <rFont val="Arial"/>
            <scheme val="minor"/>
          </rPr>
          <t>Updated on 06-Nov-2024 03:08 PM</t>
        </r>
      </text>
    </comment>
    <comment ref="G897" authorId="0" shapeId="0" xr:uid="{00000000-0006-0000-0000-000070030000}">
      <text>
        <r>
          <rPr>
            <sz val="10"/>
            <color rgb="FF000000"/>
            <rFont val="Arial"/>
            <scheme val="minor"/>
          </rPr>
          <t>Updated on 06-Nov-2024 03:08 PM</t>
        </r>
      </text>
    </comment>
    <comment ref="H897" authorId="0" shapeId="0" xr:uid="{00000000-0006-0000-0000-000071030000}">
      <text>
        <r>
          <rPr>
            <sz val="10"/>
            <color rgb="FF000000"/>
            <rFont val="Arial"/>
            <scheme val="minor"/>
          </rPr>
          <t>Updated on 06-Nov-2024 03:08 PM</t>
        </r>
      </text>
    </comment>
    <comment ref="F898" authorId="0" shapeId="0" xr:uid="{00000000-0006-0000-0000-000072030000}">
      <text>
        <r>
          <rPr>
            <sz val="10"/>
            <color rgb="FF000000"/>
            <rFont val="Arial"/>
            <scheme val="minor"/>
          </rPr>
          <t>Updated on 07-Nov-2024 07:52 AM</t>
        </r>
      </text>
    </comment>
    <comment ref="G898" authorId="0" shapeId="0" xr:uid="{00000000-0006-0000-0000-000073030000}">
      <text>
        <r>
          <rPr>
            <sz val="10"/>
            <color rgb="FF000000"/>
            <rFont val="Arial"/>
            <scheme val="minor"/>
          </rPr>
          <t>Updated on 07-Nov-2024 07:52 AM</t>
        </r>
      </text>
    </comment>
    <comment ref="H898" authorId="0" shapeId="0" xr:uid="{00000000-0006-0000-0000-000074030000}">
      <text>
        <r>
          <rPr>
            <sz val="10"/>
            <color rgb="FF000000"/>
            <rFont val="Arial"/>
            <scheme val="minor"/>
          </rPr>
          <t>Updated on 07-Nov-2024 07:52 AM</t>
        </r>
      </text>
    </comment>
    <comment ref="F899" authorId="0" shapeId="0" xr:uid="{00000000-0006-0000-0000-000075030000}">
      <text>
        <r>
          <rPr>
            <sz val="10"/>
            <color rgb="FF000000"/>
            <rFont val="Arial"/>
            <scheme val="minor"/>
          </rPr>
          <t>Updated on 07-Nov-2024 07:58 AM</t>
        </r>
      </text>
    </comment>
    <comment ref="G899" authorId="0" shapeId="0" xr:uid="{00000000-0006-0000-0000-000076030000}">
      <text>
        <r>
          <rPr>
            <sz val="10"/>
            <color rgb="FF000000"/>
            <rFont val="Arial"/>
            <scheme val="minor"/>
          </rPr>
          <t>Updated on 07-Nov-2024 07:58 AM</t>
        </r>
      </text>
    </comment>
    <comment ref="H899" authorId="0" shapeId="0" xr:uid="{00000000-0006-0000-0000-000077030000}">
      <text>
        <r>
          <rPr>
            <sz val="10"/>
            <color rgb="FF000000"/>
            <rFont val="Arial"/>
            <scheme val="minor"/>
          </rPr>
          <t>Updated on 07-Nov-2024 07:58 AM</t>
        </r>
      </text>
    </comment>
    <comment ref="F900" authorId="0" shapeId="0" xr:uid="{00000000-0006-0000-0000-000078030000}">
      <text>
        <r>
          <rPr>
            <sz val="10"/>
            <color rgb="FF000000"/>
            <rFont val="Arial"/>
            <scheme val="minor"/>
          </rPr>
          <t>Updated on 07-Nov-2024 08:04 AM</t>
        </r>
      </text>
    </comment>
    <comment ref="G900" authorId="0" shapeId="0" xr:uid="{00000000-0006-0000-0000-000079030000}">
      <text>
        <r>
          <rPr>
            <sz val="10"/>
            <color rgb="FF000000"/>
            <rFont val="Arial"/>
            <scheme val="minor"/>
          </rPr>
          <t>Updated on 07-Nov-2024 08:04 AM</t>
        </r>
      </text>
    </comment>
    <comment ref="H900" authorId="0" shapeId="0" xr:uid="{00000000-0006-0000-0000-00007A030000}">
      <text>
        <r>
          <rPr>
            <sz val="10"/>
            <color rgb="FF000000"/>
            <rFont val="Arial"/>
            <scheme val="minor"/>
          </rPr>
          <t>Updated on 07-Nov-2024 08:04 AM</t>
        </r>
      </text>
    </comment>
    <comment ref="F901" authorId="0" shapeId="0" xr:uid="{00000000-0006-0000-0000-00007B030000}">
      <text>
        <r>
          <rPr>
            <sz val="10"/>
            <color rgb="FF000000"/>
            <rFont val="Arial"/>
            <scheme val="minor"/>
          </rPr>
          <t>Updated on 07-Nov-2024 08:05 AM</t>
        </r>
      </text>
    </comment>
    <comment ref="G901" authorId="0" shapeId="0" xr:uid="{00000000-0006-0000-0000-00007C030000}">
      <text>
        <r>
          <rPr>
            <sz val="10"/>
            <color rgb="FF000000"/>
            <rFont val="Arial"/>
            <scheme val="minor"/>
          </rPr>
          <t>Updated on 07-Nov-2024 08:05 AM</t>
        </r>
      </text>
    </comment>
    <comment ref="H901" authorId="0" shapeId="0" xr:uid="{00000000-0006-0000-0000-00007D030000}">
      <text>
        <r>
          <rPr>
            <sz val="10"/>
            <color rgb="FF000000"/>
            <rFont val="Arial"/>
            <scheme val="minor"/>
          </rPr>
          <t>Updated on 07-Nov-2024 08:05 AM</t>
        </r>
      </text>
    </comment>
    <comment ref="F902" authorId="0" shapeId="0" xr:uid="{00000000-0006-0000-0000-00007E030000}">
      <text>
        <r>
          <rPr>
            <sz val="10"/>
            <color rgb="FF000000"/>
            <rFont val="Arial"/>
            <scheme val="minor"/>
          </rPr>
          <t>Updated on 07-Nov-2024 08:28 AM</t>
        </r>
      </text>
    </comment>
    <comment ref="G902" authorId="0" shapeId="0" xr:uid="{00000000-0006-0000-0000-00007F030000}">
      <text>
        <r>
          <rPr>
            <sz val="10"/>
            <color rgb="FF000000"/>
            <rFont val="Arial"/>
            <scheme val="minor"/>
          </rPr>
          <t>Updated on 07-Nov-2024 08:28 AM</t>
        </r>
      </text>
    </comment>
    <comment ref="H902" authorId="0" shapeId="0" xr:uid="{00000000-0006-0000-0000-000080030000}">
      <text>
        <r>
          <rPr>
            <sz val="10"/>
            <color rgb="FF000000"/>
            <rFont val="Arial"/>
            <scheme val="minor"/>
          </rPr>
          <t>Updated on 07-Nov-2024 08:28 AM</t>
        </r>
      </text>
    </comment>
    <comment ref="F903" authorId="0" shapeId="0" xr:uid="{00000000-0006-0000-0000-000081030000}">
      <text>
        <r>
          <rPr>
            <sz val="10"/>
            <color rgb="FF000000"/>
            <rFont val="Arial"/>
            <scheme val="minor"/>
          </rPr>
          <t>Updated on 07-Nov-2024 10:16 AM</t>
        </r>
      </text>
    </comment>
    <comment ref="G903" authorId="0" shapeId="0" xr:uid="{00000000-0006-0000-0000-000082030000}">
      <text>
        <r>
          <rPr>
            <sz val="10"/>
            <color rgb="FF000000"/>
            <rFont val="Arial"/>
            <scheme val="minor"/>
          </rPr>
          <t>Updated on 07-Nov-2024 10:16 AM</t>
        </r>
      </text>
    </comment>
    <comment ref="H903" authorId="0" shapeId="0" xr:uid="{00000000-0006-0000-0000-000083030000}">
      <text>
        <r>
          <rPr>
            <sz val="10"/>
            <color rgb="FF000000"/>
            <rFont val="Arial"/>
            <scheme val="minor"/>
          </rPr>
          <t>Updated on 07-Nov-2024 10:16 AM</t>
        </r>
      </text>
    </comment>
    <comment ref="F904" authorId="0" shapeId="0" xr:uid="{00000000-0006-0000-0000-000084030000}">
      <text>
        <r>
          <rPr>
            <sz val="10"/>
            <color rgb="FF000000"/>
            <rFont val="Arial"/>
            <scheme val="minor"/>
          </rPr>
          <t>Updated on 07-Nov-2024 10:33 AM</t>
        </r>
      </text>
    </comment>
    <comment ref="G904" authorId="0" shapeId="0" xr:uid="{00000000-0006-0000-0000-000085030000}">
      <text>
        <r>
          <rPr>
            <sz val="10"/>
            <color rgb="FF000000"/>
            <rFont val="Arial"/>
            <scheme val="minor"/>
          </rPr>
          <t>Updated on 07-Nov-2024 10:33 AM</t>
        </r>
      </text>
    </comment>
    <comment ref="H904" authorId="0" shapeId="0" xr:uid="{00000000-0006-0000-0000-000086030000}">
      <text>
        <r>
          <rPr>
            <sz val="10"/>
            <color rgb="FF000000"/>
            <rFont val="Arial"/>
            <scheme val="minor"/>
          </rPr>
          <t>Updated on 07-Nov-2024 10:33 AM</t>
        </r>
      </text>
    </comment>
    <comment ref="F905" authorId="0" shapeId="0" xr:uid="{00000000-0006-0000-0000-000087030000}">
      <text>
        <r>
          <rPr>
            <sz val="10"/>
            <color rgb="FF000000"/>
            <rFont val="Arial"/>
            <scheme val="minor"/>
          </rPr>
          <t>Updated on 07-Nov-2024 10:38 AM</t>
        </r>
      </text>
    </comment>
    <comment ref="G905" authorId="0" shapeId="0" xr:uid="{00000000-0006-0000-0000-000088030000}">
      <text>
        <r>
          <rPr>
            <sz val="10"/>
            <color rgb="FF000000"/>
            <rFont val="Arial"/>
            <scheme val="minor"/>
          </rPr>
          <t>Updated on 07-Nov-2024 10:38 AM</t>
        </r>
      </text>
    </comment>
    <comment ref="H905" authorId="0" shapeId="0" xr:uid="{00000000-0006-0000-0000-000089030000}">
      <text>
        <r>
          <rPr>
            <sz val="10"/>
            <color rgb="FF000000"/>
            <rFont val="Arial"/>
            <scheme val="minor"/>
          </rPr>
          <t>Updated on 07-Nov-2024 10:38 AM</t>
        </r>
      </text>
    </comment>
    <comment ref="F906" authorId="0" shapeId="0" xr:uid="{00000000-0006-0000-0000-00008A030000}">
      <text>
        <r>
          <rPr>
            <sz val="10"/>
            <color rgb="FF000000"/>
            <rFont val="Arial"/>
            <scheme val="minor"/>
          </rPr>
          <t>Updated on 07-Nov-2024 10:38 AM</t>
        </r>
      </text>
    </comment>
    <comment ref="G906" authorId="0" shapeId="0" xr:uid="{00000000-0006-0000-0000-00008B030000}">
      <text>
        <r>
          <rPr>
            <sz val="10"/>
            <color rgb="FF000000"/>
            <rFont val="Arial"/>
            <scheme val="minor"/>
          </rPr>
          <t>Updated on 07-Nov-2024 10:38 AM</t>
        </r>
      </text>
    </comment>
    <comment ref="H906" authorId="0" shapeId="0" xr:uid="{00000000-0006-0000-0000-00008C030000}">
      <text>
        <r>
          <rPr>
            <sz val="10"/>
            <color rgb="FF000000"/>
            <rFont val="Arial"/>
            <scheme val="minor"/>
          </rPr>
          <t>Updated on 07-Nov-2024 10:38 AM</t>
        </r>
      </text>
    </comment>
    <comment ref="F907" authorId="0" shapeId="0" xr:uid="{00000000-0006-0000-0000-00008D030000}">
      <text>
        <r>
          <rPr>
            <sz val="10"/>
            <color rgb="FF000000"/>
            <rFont val="Arial"/>
            <scheme val="minor"/>
          </rPr>
          <t>Updated on 07-Nov-2024 10:39 AM</t>
        </r>
      </text>
    </comment>
    <comment ref="G907" authorId="0" shapeId="0" xr:uid="{00000000-0006-0000-0000-00008E030000}">
      <text>
        <r>
          <rPr>
            <sz val="10"/>
            <color rgb="FF000000"/>
            <rFont val="Arial"/>
            <scheme val="minor"/>
          </rPr>
          <t>Updated on 07-Nov-2024 10:39 AM</t>
        </r>
      </text>
    </comment>
    <comment ref="H907" authorId="0" shapeId="0" xr:uid="{00000000-0006-0000-0000-00008F030000}">
      <text>
        <r>
          <rPr>
            <sz val="10"/>
            <color rgb="FF000000"/>
            <rFont val="Arial"/>
            <scheme val="minor"/>
          </rPr>
          <t>Updated on 07-Nov-2024 10:39 AM</t>
        </r>
      </text>
    </comment>
    <comment ref="F908" authorId="0" shapeId="0" xr:uid="{00000000-0006-0000-0000-000090030000}">
      <text>
        <r>
          <rPr>
            <sz val="10"/>
            <color rgb="FF000000"/>
            <rFont val="Arial"/>
            <scheme val="minor"/>
          </rPr>
          <t>Updated on 08-Nov-2024 10:44 AM</t>
        </r>
      </text>
    </comment>
    <comment ref="G908" authorId="0" shapeId="0" xr:uid="{00000000-0006-0000-0000-000091030000}">
      <text>
        <r>
          <rPr>
            <sz val="10"/>
            <color rgb="FF000000"/>
            <rFont val="Arial"/>
            <scheme val="minor"/>
          </rPr>
          <t>Updated on 08-Nov-2024 10:44 AM</t>
        </r>
      </text>
    </comment>
    <comment ref="H908" authorId="0" shapeId="0" xr:uid="{00000000-0006-0000-0000-000092030000}">
      <text>
        <r>
          <rPr>
            <sz val="10"/>
            <color rgb="FF000000"/>
            <rFont val="Arial"/>
            <scheme val="minor"/>
          </rPr>
          <t>Updated on 08-Nov-2024 10:44 AM</t>
        </r>
      </text>
    </comment>
    <comment ref="F909" authorId="0" shapeId="0" xr:uid="{00000000-0006-0000-0000-000093030000}">
      <text>
        <r>
          <rPr>
            <sz val="10"/>
            <color rgb="FF000000"/>
            <rFont val="Arial"/>
            <scheme val="minor"/>
          </rPr>
          <t>Updated on 08-Nov-2024 03:54 PM</t>
        </r>
      </text>
    </comment>
    <comment ref="G909" authorId="0" shapeId="0" xr:uid="{00000000-0006-0000-0000-000094030000}">
      <text>
        <r>
          <rPr>
            <sz val="10"/>
            <color rgb="FF000000"/>
            <rFont val="Arial"/>
            <scheme val="minor"/>
          </rPr>
          <t>Updated on 08-Nov-2024 03:54 PM</t>
        </r>
      </text>
    </comment>
    <comment ref="H909" authorId="0" shapeId="0" xr:uid="{00000000-0006-0000-0000-000095030000}">
      <text>
        <r>
          <rPr>
            <sz val="10"/>
            <color rgb="FF000000"/>
            <rFont val="Arial"/>
            <scheme val="minor"/>
          </rPr>
          <t>Updated on 08-Nov-2024 03:54 PM</t>
        </r>
      </text>
    </comment>
    <comment ref="F910" authorId="0" shapeId="0" xr:uid="{00000000-0006-0000-0000-000096030000}">
      <text>
        <r>
          <rPr>
            <sz val="10"/>
            <color rgb="FF000000"/>
            <rFont val="Arial"/>
            <scheme val="minor"/>
          </rPr>
          <t>Updated on 13-Nov-2024 08:52 AM</t>
        </r>
      </text>
    </comment>
    <comment ref="G910" authorId="0" shapeId="0" xr:uid="{00000000-0006-0000-0000-000097030000}">
      <text>
        <r>
          <rPr>
            <sz val="10"/>
            <color rgb="FF000000"/>
            <rFont val="Arial"/>
            <scheme val="minor"/>
          </rPr>
          <t>Updated on 13-Nov-2024 08:52 AM</t>
        </r>
      </text>
    </comment>
    <comment ref="H910" authorId="0" shapeId="0" xr:uid="{00000000-0006-0000-0000-000098030000}">
      <text>
        <r>
          <rPr>
            <sz val="10"/>
            <color rgb="FF000000"/>
            <rFont val="Arial"/>
            <scheme val="minor"/>
          </rPr>
          <t>Updated on 13-Nov-2024 08:52 AM</t>
        </r>
      </text>
    </comment>
    <comment ref="F911" authorId="0" shapeId="0" xr:uid="{00000000-0006-0000-0000-000099030000}">
      <text>
        <r>
          <rPr>
            <sz val="10"/>
            <color rgb="FF000000"/>
            <rFont val="Arial"/>
            <scheme val="minor"/>
          </rPr>
          <t>Updated on 13-Nov-2024 02:59 PM</t>
        </r>
      </text>
    </comment>
    <comment ref="G911" authorId="0" shapeId="0" xr:uid="{00000000-0006-0000-0000-00009A030000}">
      <text>
        <r>
          <rPr>
            <sz val="10"/>
            <color rgb="FF000000"/>
            <rFont val="Arial"/>
            <scheme val="minor"/>
          </rPr>
          <t>Updated on 13-Nov-2024 02:59 PM</t>
        </r>
      </text>
    </comment>
    <comment ref="H911" authorId="0" shapeId="0" xr:uid="{00000000-0006-0000-0000-00009B030000}">
      <text>
        <r>
          <rPr>
            <sz val="10"/>
            <color rgb="FF000000"/>
            <rFont val="Arial"/>
            <scheme val="minor"/>
          </rPr>
          <t>Updated on 13-Nov-2024 02:59 PM</t>
        </r>
      </text>
    </comment>
    <comment ref="F912" authorId="0" shapeId="0" xr:uid="{00000000-0006-0000-0000-00009C030000}">
      <text>
        <r>
          <rPr>
            <sz val="10"/>
            <color rgb="FF000000"/>
            <rFont val="Arial"/>
            <scheme val="minor"/>
          </rPr>
          <t>Updated on 14-Nov-2024 08:41 AM</t>
        </r>
      </text>
    </comment>
    <comment ref="G912" authorId="0" shapeId="0" xr:uid="{00000000-0006-0000-0000-00009D030000}">
      <text>
        <r>
          <rPr>
            <sz val="10"/>
            <color rgb="FF000000"/>
            <rFont val="Arial"/>
            <scheme val="minor"/>
          </rPr>
          <t>Updated on 14-Nov-2024 08:41 AM</t>
        </r>
      </text>
    </comment>
    <comment ref="H912" authorId="0" shapeId="0" xr:uid="{00000000-0006-0000-0000-00009E030000}">
      <text>
        <r>
          <rPr>
            <sz val="10"/>
            <color rgb="FF000000"/>
            <rFont val="Arial"/>
            <scheme val="minor"/>
          </rPr>
          <t>Updated on 14-Nov-2024 08:41 AM</t>
        </r>
      </text>
    </comment>
    <comment ref="F913" authorId="0" shapeId="0" xr:uid="{00000000-0006-0000-0000-00009F030000}">
      <text>
        <r>
          <rPr>
            <sz val="10"/>
            <color rgb="FF000000"/>
            <rFont val="Arial"/>
            <scheme val="minor"/>
          </rPr>
          <t>Updated on 14-Nov-2024 09:16 AM</t>
        </r>
      </text>
    </comment>
    <comment ref="G913" authorId="0" shapeId="0" xr:uid="{00000000-0006-0000-0000-0000A0030000}">
      <text>
        <r>
          <rPr>
            <sz val="10"/>
            <color rgb="FF000000"/>
            <rFont val="Arial"/>
            <scheme val="minor"/>
          </rPr>
          <t>Updated on 14-Nov-2024 09:16 AM</t>
        </r>
      </text>
    </comment>
    <comment ref="H913" authorId="0" shapeId="0" xr:uid="{00000000-0006-0000-0000-0000A1030000}">
      <text>
        <r>
          <rPr>
            <sz val="10"/>
            <color rgb="FF000000"/>
            <rFont val="Arial"/>
            <scheme val="minor"/>
          </rPr>
          <t>Updated on 14-Nov-2024 09:16 AM</t>
        </r>
      </text>
    </comment>
    <comment ref="F914" authorId="0" shapeId="0" xr:uid="{00000000-0006-0000-0000-0000A2030000}">
      <text>
        <r>
          <rPr>
            <sz val="10"/>
            <color rgb="FF000000"/>
            <rFont val="Arial"/>
            <scheme val="minor"/>
          </rPr>
          <t>Updated on 14-Nov-2024 09:21 AM</t>
        </r>
      </text>
    </comment>
    <comment ref="G914" authorId="0" shapeId="0" xr:uid="{00000000-0006-0000-0000-0000A3030000}">
      <text>
        <r>
          <rPr>
            <sz val="10"/>
            <color rgb="FF000000"/>
            <rFont val="Arial"/>
            <scheme val="minor"/>
          </rPr>
          <t>Updated on 14-Nov-2024 09:21 AM</t>
        </r>
      </text>
    </comment>
    <comment ref="H914" authorId="0" shapeId="0" xr:uid="{00000000-0006-0000-0000-0000A4030000}">
      <text>
        <r>
          <rPr>
            <sz val="10"/>
            <color rgb="FF000000"/>
            <rFont val="Arial"/>
            <scheme val="minor"/>
          </rPr>
          <t>Updated on 14-Nov-2024 09:21 AM</t>
        </r>
      </text>
    </comment>
    <comment ref="F915" authorId="0" shapeId="0" xr:uid="{00000000-0006-0000-0000-0000A5030000}">
      <text>
        <r>
          <rPr>
            <sz val="10"/>
            <color rgb="FF000000"/>
            <rFont val="Arial"/>
            <scheme val="minor"/>
          </rPr>
          <t>Updated on 14-Nov-2024 09:25 AM</t>
        </r>
      </text>
    </comment>
    <comment ref="G915" authorId="0" shapeId="0" xr:uid="{00000000-0006-0000-0000-0000A6030000}">
      <text>
        <r>
          <rPr>
            <sz val="10"/>
            <color rgb="FF000000"/>
            <rFont val="Arial"/>
            <scheme val="minor"/>
          </rPr>
          <t>Updated on 14-Nov-2024 09:25 AM</t>
        </r>
      </text>
    </comment>
    <comment ref="H915" authorId="0" shapeId="0" xr:uid="{00000000-0006-0000-0000-0000A7030000}">
      <text>
        <r>
          <rPr>
            <sz val="10"/>
            <color rgb="FF000000"/>
            <rFont val="Arial"/>
            <scheme val="minor"/>
          </rPr>
          <t>Updated on 14-Nov-2024 09:25 AM</t>
        </r>
      </text>
    </comment>
    <comment ref="F916" authorId="0" shapeId="0" xr:uid="{00000000-0006-0000-0000-0000A8030000}">
      <text>
        <r>
          <rPr>
            <sz val="10"/>
            <color rgb="FF000000"/>
            <rFont val="Arial"/>
            <scheme val="minor"/>
          </rPr>
          <t>Updated on 14-Nov-2024 09:37 AM</t>
        </r>
      </text>
    </comment>
    <comment ref="G916" authorId="0" shapeId="0" xr:uid="{00000000-0006-0000-0000-0000A9030000}">
      <text>
        <r>
          <rPr>
            <sz val="10"/>
            <color rgb="FF000000"/>
            <rFont val="Arial"/>
            <scheme val="minor"/>
          </rPr>
          <t>Updated on 14-Nov-2024 09:37 AM</t>
        </r>
      </text>
    </comment>
    <comment ref="H916" authorId="0" shapeId="0" xr:uid="{00000000-0006-0000-0000-0000AA030000}">
      <text>
        <r>
          <rPr>
            <sz val="10"/>
            <color rgb="FF000000"/>
            <rFont val="Arial"/>
            <scheme val="minor"/>
          </rPr>
          <t>Updated on 14-Nov-2024 09:37 AM</t>
        </r>
      </text>
    </comment>
    <comment ref="F917" authorId="0" shapeId="0" xr:uid="{00000000-0006-0000-0000-0000AB030000}">
      <text>
        <r>
          <rPr>
            <sz val="10"/>
            <color rgb="FF000000"/>
            <rFont val="Arial"/>
            <scheme val="minor"/>
          </rPr>
          <t>Updated on 14-Nov-2024 09:50 AM</t>
        </r>
      </text>
    </comment>
    <comment ref="G917" authorId="0" shapeId="0" xr:uid="{00000000-0006-0000-0000-0000AC030000}">
      <text>
        <r>
          <rPr>
            <sz val="10"/>
            <color rgb="FF000000"/>
            <rFont val="Arial"/>
            <scheme val="minor"/>
          </rPr>
          <t>Updated on 14-Nov-2024 09:50 AM</t>
        </r>
      </text>
    </comment>
    <comment ref="H917" authorId="0" shapeId="0" xr:uid="{00000000-0006-0000-0000-0000AD030000}">
      <text>
        <r>
          <rPr>
            <sz val="10"/>
            <color rgb="FF000000"/>
            <rFont val="Arial"/>
            <scheme val="minor"/>
          </rPr>
          <t>Updated on 14-Nov-2024 09:50 AM</t>
        </r>
      </text>
    </comment>
    <comment ref="F918" authorId="0" shapeId="0" xr:uid="{00000000-0006-0000-0000-0000AE030000}">
      <text>
        <r>
          <rPr>
            <sz val="10"/>
            <color rgb="FF000000"/>
            <rFont val="Arial"/>
            <scheme val="minor"/>
          </rPr>
          <t>Updated on 14-Nov-2024 02:13 PM</t>
        </r>
      </text>
    </comment>
    <comment ref="G918" authorId="0" shapeId="0" xr:uid="{00000000-0006-0000-0000-0000AF030000}">
      <text>
        <r>
          <rPr>
            <sz val="10"/>
            <color rgb="FF000000"/>
            <rFont val="Arial"/>
            <scheme val="minor"/>
          </rPr>
          <t>Updated on 14-Nov-2024 02:13 PM</t>
        </r>
      </text>
    </comment>
    <comment ref="H918" authorId="0" shapeId="0" xr:uid="{00000000-0006-0000-0000-0000B0030000}">
      <text>
        <r>
          <rPr>
            <sz val="10"/>
            <color rgb="FF000000"/>
            <rFont val="Arial"/>
            <scheme val="minor"/>
          </rPr>
          <t>Updated on 14-Nov-2024 02:13 PM</t>
        </r>
      </text>
    </comment>
    <comment ref="F919" authorId="0" shapeId="0" xr:uid="{00000000-0006-0000-0000-0000B1030000}">
      <text>
        <r>
          <rPr>
            <sz val="10"/>
            <color rgb="FF000000"/>
            <rFont val="Arial"/>
            <scheme val="minor"/>
          </rPr>
          <t>Updated on 14-Nov-2024 02:13 PM</t>
        </r>
      </text>
    </comment>
    <comment ref="G919" authorId="0" shapeId="0" xr:uid="{00000000-0006-0000-0000-0000B2030000}">
      <text>
        <r>
          <rPr>
            <sz val="10"/>
            <color rgb="FF000000"/>
            <rFont val="Arial"/>
            <scheme val="minor"/>
          </rPr>
          <t>Updated on 14-Nov-2024 02:13 PM</t>
        </r>
      </text>
    </comment>
    <comment ref="H919" authorId="0" shapeId="0" xr:uid="{00000000-0006-0000-0000-0000B3030000}">
      <text>
        <r>
          <rPr>
            <sz val="10"/>
            <color rgb="FF000000"/>
            <rFont val="Arial"/>
            <scheme val="minor"/>
          </rPr>
          <t>Updated on 14-Nov-2024 02:13 PM</t>
        </r>
      </text>
    </comment>
    <comment ref="F920" authorId="0" shapeId="0" xr:uid="{00000000-0006-0000-0000-0000B4030000}">
      <text>
        <r>
          <rPr>
            <sz val="10"/>
            <color rgb="FF000000"/>
            <rFont val="Arial"/>
            <scheme val="minor"/>
          </rPr>
          <t>Updated on 15-Nov-2024 09:15 AM</t>
        </r>
      </text>
    </comment>
    <comment ref="G920" authorId="0" shapeId="0" xr:uid="{00000000-0006-0000-0000-0000B5030000}">
      <text>
        <r>
          <rPr>
            <sz val="10"/>
            <color rgb="FF000000"/>
            <rFont val="Arial"/>
            <scheme val="minor"/>
          </rPr>
          <t>Updated on 15-Nov-2024 09:14 AM</t>
        </r>
      </text>
    </comment>
    <comment ref="H920" authorId="0" shapeId="0" xr:uid="{00000000-0006-0000-0000-0000B6030000}">
      <text>
        <r>
          <rPr>
            <sz val="10"/>
            <color rgb="FF000000"/>
            <rFont val="Arial"/>
            <scheme val="minor"/>
          </rPr>
          <t>Updated on 15-Nov-2024 09:14 AM</t>
        </r>
      </text>
    </comment>
    <comment ref="F921" authorId="0" shapeId="0" xr:uid="{00000000-0006-0000-0000-0000B7030000}">
      <text>
        <r>
          <rPr>
            <sz val="10"/>
            <color rgb="FF000000"/>
            <rFont val="Arial"/>
            <scheme val="minor"/>
          </rPr>
          <t>Updated on 15-Nov-2024 09:24 AM</t>
        </r>
      </text>
    </comment>
    <comment ref="G921" authorId="0" shapeId="0" xr:uid="{00000000-0006-0000-0000-0000B8030000}">
      <text>
        <r>
          <rPr>
            <sz val="10"/>
            <color rgb="FF000000"/>
            <rFont val="Arial"/>
            <scheme val="minor"/>
          </rPr>
          <t>Updated on 15-Nov-2024 09:24 AM</t>
        </r>
      </text>
    </comment>
    <comment ref="H921" authorId="0" shapeId="0" xr:uid="{00000000-0006-0000-0000-0000B9030000}">
      <text>
        <r>
          <rPr>
            <sz val="10"/>
            <color rgb="FF000000"/>
            <rFont val="Arial"/>
            <scheme val="minor"/>
          </rPr>
          <t>Updated on 15-Nov-2024 09:24 AM</t>
        </r>
      </text>
    </comment>
    <comment ref="F922" authorId="0" shapeId="0" xr:uid="{00000000-0006-0000-0000-0000BA030000}">
      <text>
        <r>
          <rPr>
            <sz val="10"/>
            <color rgb="FF000000"/>
            <rFont val="Arial"/>
            <scheme val="minor"/>
          </rPr>
          <t>Updated on 15-Nov-2024 09:26 AM</t>
        </r>
      </text>
    </comment>
    <comment ref="G922" authorId="0" shapeId="0" xr:uid="{00000000-0006-0000-0000-0000BB030000}">
      <text>
        <r>
          <rPr>
            <sz val="10"/>
            <color rgb="FF000000"/>
            <rFont val="Arial"/>
            <scheme val="minor"/>
          </rPr>
          <t>Updated on 15-Nov-2024 09:26 AM</t>
        </r>
      </text>
    </comment>
    <comment ref="H922" authorId="0" shapeId="0" xr:uid="{00000000-0006-0000-0000-0000BC030000}">
      <text>
        <r>
          <rPr>
            <sz val="10"/>
            <color rgb="FF000000"/>
            <rFont val="Arial"/>
            <scheme val="minor"/>
          </rPr>
          <t>Updated on 15-Nov-2024 09:26 AM</t>
        </r>
      </text>
    </comment>
    <comment ref="F923" authorId="0" shapeId="0" xr:uid="{00000000-0006-0000-0000-0000BD030000}">
      <text>
        <r>
          <rPr>
            <sz val="10"/>
            <color rgb="FF000000"/>
            <rFont val="Arial"/>
            <scheme val="minor"/>
          </rPr>
          <t>Updated on 15-Nov-2024 09:56 AM</t>
        </r>
      </text>
    </comment>
    <comment ref="G923" authorId="0" shapeId="0" xr:uid="{00000000-0006-0000-0000-0000BE030000}">
      <text>
        <r>
          <rPr>
            <sz val="10"/>
            <color rgb="FF000000"/>
            <rFont val="Arial"/>
            <scheme val="minor"/>
          </rPr>
          <t>Updated on 15-Nov-2024 09:56 AM</t>
        </r>
      </text>
    </comment>
    <comment ref="H923" authorId="0" shapeId="0" xr:uid="{00000000-0006-0000-0000-0000BF030000}">
      <text>
        <r>
          <rPr>
            <sz val="10"/>
            <color rgb="FF000000"/>
            <rFont val="Arial"/>
            <scheme val="minor"/>
          </rPr>
          <t>Updated on 15-Nov-2024 09:56 AM</t>
        </r>
      </text>
    </comment>
    <comment ref="F924" authorId="0" shapeId="0" xr:uid="{00000000-0006-0000-0000-0000C0030000}">
      <text>
        <r>
          <rPr>
            <sz val="10"/>
            <color rgb="FF000000"/>
            <rFont val="Arial"/>
            <scheme val="minor"/>
          </rPr>
          <t>Updated on 18-Nov-2024 07:19 AM</t>
        </r>
      </text>
    </comment>
    <comment ref="G924" authorId="0" shapeId="0" xr:uid="{00000000-0006-0000-0000-0000C1030000}">
      <text>
        <r>
          <rPr>
            <sz val="10"/>
            <color rgb="FF000000"/>
            <rFont val="Arial"/>
            <scheme val="minor"/>
          </rPr>
          <t>Updated on 18-Nov-2024 07:19 AM</t>
        </r>
      </text>
    </comment>
    <comment ref="H924" authorId="0" shapeId="0" xr:uid="{00000000-0006-0000-0000-0000C2030000}">
      <text>
        <r>
          <rPr>
            <sz val="10"/>
            <color rgb="FF000000"/>
            <rFont val="Arial"/>
            <scheme val="minor"/>
          </rPr>
          <t>Updated on 18-Nov-2024 07:19 AM</t>
        </r>
      </text>
    </comment>
    <comment ref="F925" authorId="0" shapeId="0" xr:uid="{00000000-0006-0000-0000-0000C3030000}">
      <text>
        <r>
          <rPr>
            <sz val="10"/>
            <color rgb="FF000000"/>
            <rFont val="Arial"/>
            <scheme val="minor"/>
          </rPr>
          <t>Updated on 18-Nov-2024 08:21 AM</t>
        </r>
      </text>
    </comment>
    <comment ref="G925" authorId="0" shapeId="0" xr:uid="{00000000-0006-0000-0000-0000C4030000}">
      <text>
        <r>
          <rPr>
            <sz val="10"/>
            <color rgb="FF000000"/>
            <rFont val="Arial"/>
            <scheme val="minor"/>
          </rPr>
          <t>Updated on 18-Nov-2024 08:21 AM</t>
        </r>
      </text>
    </comment>
    <comment ref="H925" authorId="0" shapeId="0" xr:uid="{00000000-0006-0000-0000-0000C5030000}">
      <text>
        <r>
          <rPr>
            <sz val="10"/>
            <color rgb="FF000000"/>
            <rFont val="Arial"/>
            <scheme val="minor"/>
          </rPr>
          <t>Updated on 18-Nov-2024 08:21 AM</t>
        </r>
      </text>
    </comment>
    <comment ref="F926" authorId="0" shapeId="0" xr:uid="{00000000-0006-0000-0000-0000C6030000}">
      <text>
        <r>
          <rPr>
            <sz val="10"/>
            <color rgb="FF000000"/>
            <rFont val="Arial"/>
            <scheme val="minor"/>
          </rPr>
          <t>Updated on 18-Nov-2024 08:46 AM</t>
        </r>
      </text>
    </comment>
    <comment ref="G926" authorId="0" shapeId="0" xr:uid="{00000000-0006-0000-0000-0000C7030000}">
      <text>
        <r>
          <rPr>
            <sz val="10"/>
            <color rgb="FF000000"/>
            <rFont val="Arial"/>
            <scheme val="minor"/>
          </rPr>
          <t>Updated on 18-Nov-2024 08:46 AM</t>
        </r>
      </text>
    </comment>
    <comment ref="H926" authorId="0" shapeId="0" xr:uid="{00000000-0006-0000-0000-0000C8030000}">
      <text>
        <r>
          <rPr>
            <sz val="10"/>
            <color rgb="FF000000"/>
            <rFont val="Arial"/>
            <scheme val="minor"/>
          </rPr>
          <t>Updated on 18-Nov-2024 08:46 AM</t>
        </r>
      </text>
    </comment>
    <comment ref="F927" authorId="0" shapeId="0" xr:uid="{00000000-0006-0000-0000-0000C9030000}">
      <text>
        <r>
          <rPr>
            <sz val="10"/>
            <color rgb="FF000000"/>
            <rFont val="Arial"/>
            <scheme val="minor"/>
          </rPr>
          <t>Updated on 18-Nov-2024 09:03 AM</t>
        </r>
      </text>
    </comment>
    <comment ref="G927" authorId="0" shapeId="0" xr:uid="{00000000-0006-0000-0000-0000CA030000}">
      <text>
        <r>
          <rPr>
            <sz val="10"/>
            <color rgb="FF000000"/>
            <rFont val="Arial"/>
            <scheme val="minor"/>
          </rPr>
          <t>Updated on 18-Nov-2024 09:03 AM</t>
        </r>
      </text>
    </comment>
    <comment ref="H927" authorId="0" shapeId="0" xr:uid="{00000000-0006-0000-0000-0000CB030000}">
      <text>
        <r>
          <rPr>
            <sz val="10"/>
            <color rgb="FF000000"/>
            <rFont val="Arial"/>
            <scheme val="minor"/>
          </rPr>
          <t>Updated on 18-Nov-2024 09:03 AM</t>
        </r>
      </text>
    </comment>
    <comment ref="F928" authorId="0" shapeId="0" xr:uid="{00000000-0006-0000-0000-0000CC030000}">
      <text>
        <r>
          <rPr>
            <sz val="10"/>
            <color rgb="FF000000"/>
            <rFont val="Arial"/>
            <scheme val="minor"/>
          </rPr>
          <t>Updated on 18-Nov-2024 12:08 PM</t>
        </r>
      </text>
    </comment>
    <comment ref="G928" authorId="0" shapeId="0" xr:uid="{00000000-0006-0000-0000-0000CD030000}">
      <text>
        <r>
          <rPr>
            <sz val="10"/>
            <color rgb="FF000000"/>
            <rFont val="Arial"/>
            <scheme val="minor"/>
          </rPr>
          <t>Updated on 18-Nov-2024 12:08 PM</t>
        </r>
      </text>
    </comment>
    <comment ref="H928" authorId="0" shapeId="0" xr:uid="{00000000-0006-0000-0000-0000CE030000}">
      <text>
        <r>
          <rPr>
            <sz val="10"/>
            <color rgb="FF000000"/>
            <rFont val="Arial"/>
            <scheme val="minor"/>
          </rPr>
          <t>Updated on 18-Nov-2024 12:08 PM</t>
        </r>
      </text>
    </comment>
    <comment ref="F929" authorId="0" shapeId="0" xr:uid="{00000000-0006-0000-0000-0000CF030000}">
      <text>
        <r>
          <rPr>
            <sz val="10"/>
            <color rgb="FF000000"/>
            <rFont val="Arial"/>
            <scheme val="minor"/>
          </rPr>
          <t>Updated on 05-Dec-2024 07:38 AM</t>
        </r>
      </text>
    </comment>
    <comment ref="G929" authorId="0" shapeId="0" xr:uid="{00000000-0006-0000-0000-0000D0030000}">
      <text>
        <r>
          <rPr>
            <sz val="10"/>
            <color rgb="FF000000"/>
            <rFont val="Arial"/>
            <scheme val="minor"/>
          </rPr>
          <t>Updated on 05-Dec-2024 07:38 AM</t>
        </r>
      </text>
    </comment>
    <comment ref="H929" authorId="0" shapeId="0" xr:uid="{00000000-0006-0000-0000-0000D1030000}">
      <text>
        <r>
          <rPr>
            <sz val="10"/>
            <color rgb="FF000000"/>
            <rFont val="Arial"/>
            <scheme val="minor"/>
          </rPr>
          <t>Updated on 05-Dec-2024 07:38 AM</t>
        </r>
      </text>
    </comment>
    <comment ref="F930" authorId="0" shapeId="0" xr:uid="{00000000-0006-0000-0000-0000D2030000}">
      <text>
        <r>
          <rPr>
            <sz val="10"/>
            <color rgb="FF000000"/>
            <rFont val="Arial"/>
            <scheme val="minor"/>
          </rPr>
          <t>Updated on 05-Dec-2024 10:05 AM</t>
        </r>
      </text>
    </comment>
    <comment ref="G930" authorId="0" shapeId="0" xr:uid="{00000000-0006-0000-0000-0000D3030000}">
      <text>
        <r>
          <rPr>
            <sz val="10"/>
            <color rgb="FF000000"/>
            <rFont val="Arial"/>
            <scheme val="minor"/>
          </rPr>
          <t>Updated on 05-Dec-2024 10:05 AM</t>
        </r>
      </text>
    </comment>
    <comment ref="H930" authorId="0" shapeId="0" xr:uid="{00000000-0006-0000-0000-0000D4030000}">
      <text>
        <r>
          <rPr>
            <sz val="10"/>
            <color rgb="FF000000"/>
            <rFont val="Arial"/>
            <scheme val="minor"/>
          </rPr>
          <t>Updated on 05-Dec-2024 10:05 AM</t>
        </r>
      </text>
    </comment>
    <comment ref="F931" authorId="0" shapeId="0" xr:uid="{00000000-0006-0000-0000-0000D5030000}">
      <text>
        <r>
          <rPr>
            <sz val="10"/>
            <color rgb="FF000000"/>
            <rFont val="Arial"/>
            <scheme val="minor"/>
          </rPr>
          <t>Updated on 05-Dec-2024 10:40 AM</t>
        </r>
      </text>
    </comment>
    <comment ref="G931" authorId="0" shapeId="0" xr:uid="{00000000-0006-0000-0000-0000D6030000}">
      <text>
        <r>
          <rPr>
            <sz val="10"/>
            <color rgb="FF000000"/>
            <rFont val="Arial"/>
            <scheme val="minor"/>
          </rPr>
          <t>Updated on 05-Dec-2024 10:40 AM</t>
        </r>
      </text>
    </comment>
    <comment ref="H931" authorId="0" shapeId="0" xr:uid="{00000000-0006-0000-0000-0000D7030000}">
      <text>
        <r>
          <rPr>
            <sz val="10"/>
            <color rgb="FF000000"/>
            <rFont val="Arial"/>
            <scheme val="minor"/>
          </rPr>
          <t>Updated on 05-Dec-2024 10:40 AM</t>
        </r>
      </text>
    </comment>
    <comment ref="F932" authorId="0" shapeId="0" xr:uid="{00000000-0006-0000-0000-0000D8030000}">
      <text>
        <r>
          <rPr>
            <sz val="10"/>
            <color rgb="FF000000"/>
            <rFont val="Arial"/>
            <scheme val="minor"/>
          </rPr>
          <t>Updated on 05-Dec-2024 11:12 AM</t>
        </r>
      </text>
    </comment>
    <comment ref="G932" authorId="0" shapeId="0" xr:uid="{00000000-0006-0000-0000-0000D9030000}">
      <text>
        <r>
          <rPr>
            <sz val="10"/>
            <color rgb="FF000000"/>
            <rFont val="Arial"/>
            <scheme val="minor"/>
          </rPr>
          <t>Updated on 05-Dec-2024 11:12 AM</t>
        </r>
      </text>
    </comment>
    <comment ref="H932" authorId="0" shapeId="0" xr:uid="{00000000-0006-0000-0000-0000DA030000}">
      <text>
        <r>
          <rPr>
            <sz val="10"/>
            <color rgb="FF000000"/>
            <rFont val="Arial"/>
            <scheme val="minor"/>
          </rPr>
          <t>Updated on 05-Dec-2024 11:12 AM</t>
        </r>
      </text>
    </comment>
    <comment ref="F933" authorId="0" shapeId="0" xr:uid="{00000000-0006-0000-0000-0000DB030000}">
      <text>
        <r>
          <rPr>
            <sz val="10"/>
            <color rgb="FF000000"/>
            <rFont val="Arial"/>
            <scheme val="minor"/>
          </rPr>
          <t>Updated on 05-Dec-2024 11:13 AM</t>
        </r>
      </text>
    </comment>
    <comment ref="G933" authorId="0" shapeId="0" xr:uid="{00000000-0006-0000-0000-0000DC030000}">
      <text>
        <r>
          <rPr>
            <sz val="10"/>
            <color rgb="FF000000"/>
            <rFont val="Arial"/>
            <scheme val="minor"/>
          </rPr>
          <t>Updated on 05-Dec-2024 11:13 AM</t>
        </r>
      </text>
    </comment>
    <comment ref="H933" authorId="0" shapeId="0" xr:uid="{00000000-0006-0000-0000-0000DD030000}">
      <text>
        <r>
          <rPr>
            <sz val="10"/>
            <color rgb="FF000000"/>
            <rFont val="Arial"/>
            <scheme val="minor"/>
          </rPr>
          <t>Updated on 05-Dec-2024 11:13 AM</t>
        </r>
      </text>
    </comment>
    <comment ref="F934" authorId="0" shapeId="0" xr:uid="{00000000-0006-0000-0000-0000DE030000}">
      <text>
        <r>
          <rPr>
            <sz val="10"/>
            <color rgb="FF000000"/>
            <rFont val="Arial"/>
            <scheme val="minor"/>
          </rPr>
          <t>Updated on 05-Dec-2024 11:13 AM</t>
        </r>
      </text>
    </comment>
    <comment ref="G934" authorId="0" shapeId="0" xr:uid="{00000000-0006-0000-0000-0000DF030000}">
      <text>
        <r>
          <rPr>
            <sz val="10"/>
            <color rgb="FF000000"/>
            <rFont val="Arial"/>
            <scheme val="minor"/>
          </rPr>
          <t>Updated on 05-Dec-2024 11:13 AM</t>
        </r>
      </text>
    </comment>
    <comment ref="H934" authorId="0" shapeId="0" xr:uid="{00000000-0006-0000-0000-0000E0030000}">
      <text>
        <r>
          <rPr>
            <sz val="10"/>
            <color rgb="FF000000"/>
            <rFont val="Arial"/>
            <scheme val="minor"/>
          </rPr>
          <t>Updated on 05-Dec-2024 11:13 AM</t>
        </r>
      </text>
    </comment>
    <comment ref="F935" authorId="0" shapeId="0" xr:uid="{00000000-0006-0000-0000-0000E1030000}">
      <text>
        <r>
          <rPr>
            <sz val="10"/>
            <color rgb="FF000000"/>
            <rFont val="Arial"/>
            <scheme val="minor"/>
          </rPr>
          <t>Updated on 05-Dec-2024 11:25 AM</t>
        </r>
      </text>
    </comment>
    <comment ref="G935" authorId="0" shapeId="0" xr:uid="{00000000-0006-0000-0000-0000E2030000}">
      <text>
        <r>
          <rPr>
            <sz val="10"/>
            <color rgb="FF000000"/>
            <rFont val="Arial"/>
            <scheme val="minor"/>
          </rPr>
          <t>Updated on 05-Dec-2024 11:25 AM</t>
        </r>
      </text>
    </comment>
    <comment ref="H935" authorId="0" shapeId="0" xr:uid="{00000000-0006-0000-0000-0000E3030000}">
      <text>
        <r>
          <rPr>
            <sz val="10"/>
            <color rgb="FF000000"/>
            <rFont val="Arial"/>
            <scheme val="minor"/>
          </rPr>
          <t>Updated on 05-Dec-2024 11:25 AM</t>
        </r>
      </text>
    </comment>
    <comment ref="F936" authorId="0" shapeId="0" xr:uid="{00000000-0006-0000-0000-0000E4030000}">
      <text>
        <r>
          <rPr>
            <sz val="10"/>
            <color rgb="FF000000"/>
            <rFont val="Arial"/>
            <scheme val="minor"/>
          </rPr>
          <t>Updated on 06-Dec-2024 07:49 AM</t>
        </r>
      </text>
    </comment>
    <comment ref="G936" authorId="0" shapeId="0" xr:uid="{00000000-0006-0000-0000-0000E5030000}">
      <text>
        <r>
          <rPr>
            <sz val="10"/>
            <color rgb="FF000000"/>
            <rFont val="Arial"/>
            <scheme val="minor"/>
          </rPr>
          <t>Updated on 06-Dec-2024 07:49 AM</t>
        </r>
      </text>
    </comment>
    <comment ref="H936" authorId="0" shapeId="0" xr:uid="{00000000-0006-0000-0000-0000E6030000}">
      <text>
        <r>
          <rPr>
            <sz val="10"/>
            <color rgb="FF000000"/>
            <rFont val="Arial"/>
            <scheme val="minor"/>
          </rPr>
          <t>Updated on 06-Dec-2024 07:49 AM</t>
        </r>
      </text>
    </comment>
    <comment ref="F937" authorId="0" shapeId="0" xr:uid="{00000000-0006-0000-0000-0000E7030000}">
      <text>
        <r>
          <rPr>
            <sz val="10"/>
            <color rgb="FF000000"/>
            <rFont val="Arial"/>
            <scheme val="minor"/>
          </rPr>
          <t>Updated on 06-Dec-2024 08:05 AM</t>
        </r>
      </text>
    </comment>
    <comment ref="G937" authorId="0" shapeId="0" xr:uid="{00000000-0006-0000-0000-0000E8030000}">
      <text>
        <r>
          <rPr>
            <sz val="10"/>
            <color rgb="FF000000"/>
            <rFont val="Arial"/>
            <scheme val="minor"/>
          </rPr>
          <t>Updated on 06-Dec-2024 08:05 AM</t>
        </r>
      </text>
    </comment>
    <comment ref="H937" authorId="0" shapeId="0" xr:uid="{00000000-0006-0000-0000-0000E9030000}">
      <text>
        <r>
          <rPr>
            <sz val="10"/>
            <color rgb="FF000000"/>
            <rFont val="Arial"/>
            <scheme val="minor"/>
          </rPr>
          <t>Updated on 06-Dec-2024 08:05 AM</t>
        </r>
      </text>
    </comment>
    <comment ref="F938" authorId="0" shapeId="0" xr:uid="{00000000-0006-0000-0000-0000EA030000}">
      <text>
        <r>
          <rPr>
            <sz val="10"/>
            <color rgb="FF000000"/>
            <rFont val="Arial"/>
            <scheme val="minor"/>
          </rPr>
          <t>Updated on 06-Dec-2024 09:18 AM</t>
        </r>
      </text>
    </comment>
    <comment ref="G938" authorId="0" shapeId="0" xr:uid="{00000000-0006-0000-0000-0000EB030000}">
      <text>
        <r>
          <rPr>
            <sz val="10"/>
            <color rgb="FF000000"/>
            <rFont val="Arial"/>
            <scheme val="minor"/>
          </rPr>
          <t>Updated on 06-Dec-2024 09:18 AM</t>
        </r>
      </text>
    </comment>
    <comment ref="H938" authorId="0" shapeId="0" xr:uid="{00000000-0006-0000-0000-0000EC030000}">
      <text>
        <r>
          <rPr>
            <sz val="10"/>
            <color rgb="FF000000"/>
            <rFont val="Arial"/>
            <scheme val="minor"/>
          </rPr>
          <t>Updated on 06-Dec-2024 09:18 AM</t>
        </r>
      </text>
    </comment>
    <comment ref="F939" authorId="0" shapeId="0" xr:uid="{00000000-0006-0000-0000-0000ED030000}">
      <text>
        <r>
          <rPr>
            <sz val="10"/>
            <color rgb="FF000000"/>
            <rFont val="Arial"/>
            <scheme val="minor"/>
          </rPr>
          <t>Updated on 06-Dec-2024 09:45 AM</t>
        </r>
      </text>
    </comment>
    <comment ref="G939" authorId="0" shapeId="0" xr:uid="{00000000-0006-0000-0000-0000EE030000}">
      <text>
        <r>
          <rPr>
            <sz val="10"/>
            <color rgb="FF000000"/>
            <rFont val="Arial"/>
            <scheme val="minor"/>
          </rPr>
          <t>Updated on 06-Dec-2024 09:45 AM</t>
        </r>
      </text>
    </comment>
    <comment ref="H939" authorId="0" shapeId="0" xr:uid="{00000000-0006-0000-0000-0000EF030000}">
      <text>
        <r>
          <rPr>
            <sz val="10"/>
            <color rgb="FF000000"/>
            <rFont val="Arial"/>
            <scheme val="minor"/>
          </rPr>
          <t>Updated on 06-Dec-2024 09:45 AM</t>
        </r>
      </text>
    </comment>
    <comment ref="F940" authorId="0" shapeId="0" xr:uid="{00000000-0006-0000-0000-0000F0030000}">
      <text>
        <r>
          <rPr>
            <sz val="10"/>
            <color rgb="FF000000"/>
            <rFont val="Arial"/>
            <scheme val="minor"/>
          </rPr>
          <t>Updated on 06-Dec-2024 02:08 PM</t>
        </r>
      </text>
    </comment>
    <comment ref="G940" authorId="0" shapeId="0" xr:uid="{00000000-0006-0000-0000-0000F1030000}">
      <text>
        <r>
          <rPr>
            <sz val="10"/>
            <color rgb="FF000000"/>
            <rFont val="Arial"/>
            <scheme val="minor"/>
          </rPr>
          <t>Updated on 06-Dec-2024 02:08 PM</t>
        </r>
      </text>
    </comment>
    <comment ref="H940" authorId="0" shapeId="0" xr:uid="{00000000-0006-0000-0000-0000F2030000}">
      <text>
        <r>
          <rPr>
            <sz val="10"/>
            <color rgb="FF000000"/>
            <rFont val="Arial"/>
            <scheme val="minor"/>
          </rPr>
          <t>Updated on 06-Dec-2024 02:08 PM</t>
        </r>
      </text>
    </comment>
    <comment ref="F941" authorId="0" shapeId="0" xr:uid="{00000000-0006-0000-0000-0000F3030000}">
      <text>
        <r>
          <rPr>
            <sz val="10"/>
            <color rgb="FF000000"/>
            <rFont val="Arial"/>
            <scheme val="minor"/>
          </rPr>
          <t>Updated on 06-Dec-2024 02:11 PM</t>
        </r>
      </text>
    </comment>
    <comment ref="G941" authorId="0" shapeId="0" xr:uid="{00000000-0006-0000-0000-0000F4030000}">
      <text>
        <r>
          <rPr>
            <sz val="10"/>
            <color rgb="FF000000"/>
            <rFont val="Arial"/>
            <scheme val="minor"/>
          </rPr>
          <t>Updated on 06-Dec-2024 02:10 PM</t>
        </r>
      </text>
    </comment>
    <comment ref="H941" authorId="0" shapeId="0" xr:uid="{00000000-0006-0000-0000-0000F5030000}">
      <text>
        <r>
          <rPr>
            <sz val="10"/>
            <color rgb="FF000000"/>
            <rFont val="Arial"/>
            <scheme val="minor"/>
          </rPr>
          <t>Updated on 06-Dec-2024 02:10 PM</t>
        </r>
      </text>
    </comment>
    <comment ref="F942" authorId="0" shapeId="0" xr:uid="{00000000-0006-0000-0000-0000F6030000}">
      <text>
        <r>
          <rPr>
            <sz val="10"/>
            <color rgb="FF000000"/>
            <rFont val="Arial"/>
            <scheme val="minor"/>
          </rPr>
          <t>Updated on 06-Dec-2024 02:15 PM</t>
        </r>
      </text>
    </comment>
    <comment ref="G942" authorId="0" shapeId="0" xr:uid="{00000000-0006-0000-0000-0000F7030000}">
      <text>
        <r>
          <rPr>
            <sz val="10"/>
            <color rgb="FF000000"/>
            <rFont val="Arial"/>
            <scheme val="minor"/>
          </rPr>
          <t>Updated on 06-Dec-2024 02:15 PM</t>
        </r>
      </text>
    </comment>
    <comment ref="H942" authorId="0" shapeId="0" xr:uid="{00000000-0006-0000-0000-0000F8030000}">
      <text>
        <r>
          <rPr>
            <sz val="10"/>
            <color rgb="FF000000"/>
            <rFont val="Arial"/>
            <scheme val="minor"/>
          </rPr>
          <t>Updated on 06-Dec-2024 02:15 PM</t>
        </r>
      </text>
    </comment>
    <comment ref="F943" authorId="0" shapeId="0" xr:uid="{00000000-0006-0000-0000-0000F9030000}">
      <text>
        <r>
          <rPr>
            <sz val="10"/>
            <color rgb="FF000000"/>
            <rFont val="Arial"/>
            <scheme val="minor"/>
          </rPr>
          <t>Updated on 06-Dec-2024 02:18 PM</t>
        </r>
      </text>
    </comment>
    <comment ref="G943" authorId="0" shapeId="0" xr:uid="{00000000-0006-0000-0000-0000FA030000}">
      <text>
        <r>
          <rPr>
            <sz val="10"/>
            <color rgb="FF000000"/>
            <rFont val="Arial"/>
            <scheme val="minor"/>
          </rPr>
          <t>Updated on 06-Dec-2024 02:18 PM</t>
        </r>
      </text>
    </comment>
    <comment ref="H943" authorId="0" shapeId="0" xr:uid="{00000000-0006-0000-0000-0000FB030000}">
      <text>
        <r>
          <rPr>
            <sz val="10"/>
            <color rgb="FF000000"/>
            <rFont val="Arial"/>
            <scheme val="minor"/>
          </rPr>
          <t>Updated on 06-Dec-2024 02:18 PM</t>
        </r>
      </text>
    </comment>
    <comment ref="F944" authorId="0" shapeId="0" xr:uid="{00000000-0006-0000-0000-0000FC030000}">
      <text>
        <r>
          <rPr>
            <sz val="10"/>
            <color rgb="FF000000"/>
            <rFont val="Arial"/>
            <scheme val="minor"/>
          </rPr>
          <t>Updated on 06-Dec-2024 02:20 PM</t>
        </r>
      </text>
    </comment>
    <comment ref="G944" authorId="0" shapeId="0" xr:uid="{00000000-0006-0000-0000-0000FD030000}">
      <text>
        <r>
          <rPr>
            <sz val="10"/>
            <color rgb="FF000000"/>
            <rFont val="Arial"/>
            <scheme val="minor"/>
          </rPr>
          <t>Updated on 06-Dec-2024 02:20 PM</t>
        </r>
      </text>
    </comment>
    <comment ref="H944" authorId="0" shapeId="0" xr:uid="{00000000-0006-0000-0000-0000FE030000}">
      <text>
        <r>
          <rPr>
            <sz val="10"/>
            <color rgb="FF000000"/>
            <rFont val="Arial"/>
            <scheme val="minor"/>
          </rPr>
          <t>Updated on 06-Dec-2024 02:20 PM</t>
        </r>
      </text>
    </comment>
    <comment ref="F945" authorId="0" shapeId="0" xr:uid="{00000000-0006-0000-0000-0000FF030000}">
      <text>
        <r>
          <rPr>
            <sz val="10"/>
            <color rgb="FF000000"/>
            <rFont val="Arial"/>
            <scheme val="minor"/>
          </rPr>
          <t>Updated on 06-Dec-2024 04:16 PM</t>
        </r>
      </text>
    </comment>
    <comment ref="G945" authorId="0" shapeId="0" xr:uid="{00000000-0006-0000-0000-000000040000}">
      <text>
        <r>
          <rPr>
            <sz val="10"/>
            <color rgb="FF000000"/>
            <rFont val="Arial"/>
            <scheme val="minor"/>
          </rPr>
          <t>Updated on 06-Dec-2024 04:16 PM</t>
        </r>
      </text>
    </comment>
    <comment ref="H945" authorId="0" shapeId="0" xr:uid="{00000000-0006-0000-0000-000001040000}">
      <text>
        <r>
          <rPr>
            <sz val="10"/>
            <color rgb="FF000000"/>
            <rFont val="Arial"/>
            <scheme val="minor"/>
          </rPr>
          <t>Updated on 06-Dec-2024 04:16 PM</t>
        </r>
      </text>
    </comment>
    <comment ref="F946" authorId="0" shapeId="0" xr:uid="{00000000-0006-0000-0000-000002040000}">
      <text>
        <r>
          <rPr>
            <sz val="10"/>
            <color rgb="FF000000"/>
            <rFont val="Arial"/>
            <scheme val="minor"/>
          </rPr>
          <t>Updated on 06-Dec-2024 04:23 PM</t>
        </r>
      </text>
    </comment>
    <comment ref="G946" authorId="0" shapeId="0" xr:uid="{00000000-0006-0000-0000-000003040000}">
      <text>
        <r>
          <rPr>
            <sz val="10"/>
            <color rgb="FF000000"/>
            <rFont val="Arial"/>
            <scheme val="minor"/>
          </rPr>
          <t>Updated on 06-Dec-2024 04:23 PM</t>
        </r>
      </text>
    </comment>
    <comment ref="H946" authorId="0" shapeId="0" xr:uid="{00000000-0006-0000-0000-000004040000}">
      <text>
        <r>
          <rPr>
            <sz val="10"/>
            <color rgb="FF000000"/>
            <rFont val="Arial"/>
            <scheme val="minor"/>
          </rPr>
          <t>Updated on 06-Dec-2024 04:23 PM</t>
        </r>
      </text>
    </comment>
    <comment ref="F947" authorId="0" shapeId="0" xr:uid="{00000000-0006-0000-0000-000005040000}">
      <text>
        <r>
          <rPr>
            <sz val="10"/>
            <color rgb="FF000000"/>
            <rFont val="Arial"/>
            <scheme val="minor"/>
          </rPr>
          <t>Updated on 09-Dec-2024 07:22 AM</t>
        </r>
      </text>
    </comment>
    <comment ref="G947" authorId="0" shapeId="0" xr:uid="{00000000-0006-0000-0000-000006040000}">
      <text>
        <r>
          <rPr>
            <sz val="10"/>
            <color rgb="FF000000"/>
            <rFont val="Arial"/>
            <scheme val="minor"/>
          </rPr>
          <t>Updated on 09-Dec-2024 07:21 AM</t>
        </r>
      </text>
    </comment>
    <comment ref="H947" authorId="0" shapeId="0" xr:uid="{00000000-0006-0000-0000-000007040000}">
      <text>
        <r>
          <rPr>
            <sz val="10"/>
            <color rgb="FF000000"/>
            <rFont val="Arial"/>
            <scheme val="minor"/>
          </rPr>
          <t>Updated on 09-Dec-2024 07:21 AM</t>
        </r>
      </text>
    </comment>
    <comment ref="F948" authorId="0" shapeId="0" xr:uid="{00000000-0006-0000-0000-000008040000}">
      <text>
        <r>
          <rPr>
            <sz val="10"/>
            <color rgb="FF000000"/>
            <rFont val="Arial"/>
            <scheme val="minor"/>
          </rPr>
          <t>Updated on 09-Dec-2024 08:26 AM</t>
        </r>
      </text>
    </comment>
    <comment ref="G948" authorId="0" shapeId="0" xr:uid="{00000000-0006-0000-0000-000009040000}">
      <text>
        <r>
          <rPr>
            <sz val="10"/>
            <color rgb="FF000000"/>
            <rFont val="Arial"/>
            <scheme val="minor"/>
          </rPr>
          <t>Updated on 09-Dec-2024 08:26 AM</t>
        </r>
      </text>
    </comment>
    <comment ref="H948" authorId="0" shapeId="0" xr:uid="{00000000-0006-0000-0000-00000A040000}">
      <text>
        <r>
          <rPr>
            <sz val="10"/>
            <color rgb="FF000000"/>
            <rFont val="Arial"/>
            <scheme val="minor"/>
          </rPr>
          <t>Updated on 09-Dec-2024 08:26 AM</t>
        </r>
      </text>
    </comment>
    <comment ref="F949" authorId="0" shapeId="0" xr:uid="{00000000-0006-0000-0000-00000B040000}">
      <text>
        <r>
          <rPr>
            <sz val="10"/>
            <color rgb="FF000000"/>
            <rFont val="Arial"/>
            <scheme val="minor"/>
          </rPr>
          <t>Updated on 09-Dec-2024 08:29 AM</t>
        </r>
      </text>
    </comment>
    <comment ref="G949" authorId="0" shapeId="0" xr:uid="{00000000-0006-0000-0000-00000C040000}">
      <text>
        <r>
          <rPr>
            <sz val="10"/>
            <color rgb="FF000000"/>
            <rFont val="Arial"/>
            <scheme val="minor"/>
          </rPr>
          <t>Updated on 09-Dec-2024 08:29 AM</t>
        </r>
      </text>
    </comment>
    <comment ref="H949" authorId="0" shapeId="0" xr:uid="{00000000-0006-0000-0000-00000D040000}">
      <text>
        <r>
          <rPr>
            <sz val="10"/>
            <color rgb="FF000000"/>
            <rFont val="Arial"/>
            <scheme val="minor"/>
          </rPr>
          <t>Updated on 09-Dec-2024 08:29 AM</t>
        </r>
      </text>
    </comment>
    <comment ref="F950" authorId="0" shapeId="0" xr:uid="{00000000-0006-0000-0000-00000E040000}">
      <text>
        <r>
          <rPr>
            <sz val="10"/>
            <color rgb="FF000000"/>
            <rFont val="Arial"/>
            <scheme val="minor"/>
          </rPr>
          <t>Updated on 09-Dec-2024 08:31 AM</t>
        </r>
      </text>
    </comment>
    <comment ref="G950" authorId="0" shapeId="0" xr:uid="{00000000-0006-0000-0000-00000F040000}">
      <text>
        <r>
          <rPr>
            <sz val="10"/>
            <color rgb="FF000000"/>
            <rFont val="Arial"/>
            <scheme val="minor"/>
          </rPr>
          <t>Updated on 09-Dec-2024 08:31 AM</t>
        </r>
      </text>
    </comment>
    <comment ref="H950" authorId="0" shapeId="0" xr:uid="{00000000-0006-0000-0000-000010040000}">
      <text>
        <r>
          <rPr>
            <sz val="10"/>
            <color rgb="FF000000"/>
            <rFont val="Arial"/>
            <scheme val="minor"/>
          </rPr>
          <t>Updated on 09-Dec-2024 08:31 AM</t>
        </r>
      </text>
    </comment>
    <comment ref="F951" authorId="0" shapeId="0" xr:uid="{00000000-0006-0000-0000-000011040000}">
      <text>
        <r>
          <rPr>
            <sz val="10"/>
            <color rgb="FF000000"/>
            <rFont val="Arial"/>
            <scheme val="minor"/>
          </rPr>
          <t>Updated on 09-Dec-2024 08:43 AM</t>
        </r>
      </text>
    </comment>
    <comment ref="G951" authorId="0" shapeId="0" xr:uid="{00000000-0006-0000-0000-000012040000}">
      <text>
        <r>
          <rPr>
            <sz val="10"/>
            <color rgb="FF000000"/>
            <rFont val="Arial"/>
            <scheme val="minor"/>
          </rPr>
          <t>Updated on 09-Dec-2024 08:43 AM</t>
        </r>
      </text>
    </comment>
    <comment ref="H951" authorId="0" shapeId="0" xr:uid="{00000000-0006-0000-0000-000013040000}">
      <text>
        <r>
          <rPr>
            <sz val="10"/>
            <color rgb="FF000000"/>
            <rFont val="Arial"/>
            <scheme val="minor"/>
          </rPr>
          <t>Updated on 09-Dec-2024 08:43 AM</t>
        </r>
      </text>
    </comment>
    <comment ref="F952" authorId="0" shapeId="0" xr:uid="{00000000-0006-0000-0000-000014040000}">
      <text>
        <r>
          <rPr>
            <sz val="10"/>
            <color rgb="FF000000"/>
            <rFont val="Arial"/>
            <scheme val="minor"/>
          </rPr>
          <t>Updated on 09-Dec-2024 08:56 AM</t>
        </r>
      </text>
    </comment>
    <comment ref="G952" authorId="0" shapeId="0" xr:uid="{00000000-0006-0000-0000-000015040000}">
      <text>
        <r>
          <rPr>
            <sz val="10"/>
            <color rgb="FF000000"/>
            <rFont val="Arial"/>
            <scheme val="minor"/>
          </rPr>
          <t>Updated on 09-Dec-2024 08:56 AM</t>
        </r>
      </text>
    </comment>
    <comment ref="H952" authorId="0" shapeId="0" xr:uid="{00000000-0006-0000-0000-000016040000}">
      <text>
        <r>
          <rPr>
            <sz val="10"/>
            <color rgb="FF000000"/>
            <rFont val="Arial"/>
            <scheme val="minor"/>
          </rPr>
          <t>Updated on 09-Dec-2024 08:56 AM</t>
        </r>
      </text>
    </comment>
    <comment ref="F953" authorId="0" shapeId="0" xr:uid="{00000000-0006-0000-0000-000017040000}">
      <text>
        <r>
          <rPr>
            <sz val="10"/>
            <color rgb="FF000000"/>
            <rFont val="Arial"/>
            <scheme val="minor"/>
          </rPr>
          <t>Updated on 09-Dec-2024 09:36 AM</t>
        </r>
      </text>
    </comment>
    <comment ref="G953" authorId="0" shapeId="0" xr:uid="{00000000-0006-0000-0000-000018040000}">
      <text>
        <r>
          <rPr>
            <sz val="10"/>
            <color rgb="FF000000"/>
            <rFont val="Arial"/>
            <scheme val="minor"/>
          </rPr>
          <t>Updated on 09-Dec-2024 09:36 AM</t>
        </r>
      </text>
    </comment>
    <comment ref="H953" authorId="0" shapeId="0" xr:uid="{00000000-0006-0000-0000-000019040000}">
      <text>
        <r>
          <rPr>
            <sz val="10"/>
            <color rgb="FF000000"/>
            <rFont val="Arial"/>
            <scheme val="minor"/>
          </rPr>
          <t>Updated on 09-Dec-2024 09:36 AM</t>
        </r>
      </text>
    </comment>
    <comment ref="F954" authorId="0" shapeId="0" xr:uid="{00000000-0006-0000-0000-00001A040000}">
      <text>
        <r>
          <rPr>
            <sz val="10"/>
            <color rgb="FF000000"/>
            <rFont val="Arial"/>
            <scheme val="minor"/>
          </rPr>
          <t>Updated on 09-Dec-2024 09:41 AM</t>
        </r>
      </text>
    </comment>
    <comment ref="G954" authorId="0" shapeId="0" xr:uid="{00000000-0006-0000-0000-00001B040000}">
      <text>
        <r>
          <rPr>
            <sz val="10"/>
            <color rgb="FF000000"/>
            <rFont val="Arial"/>
            <scheme val="minor"/>
          </rPr>
          <t>Updated on 09-Dec-2024 09:41 AM</t>
        </r>
      </text>
    </comment>
    <comment ref="H954" authorId="0" shapeId="0" xr:uid="{00000000-0006-0000-0000-00001C040000}">
      <text>
        <r>
          <rPr>
            <sz val="10"/>
            <color rgb="FF000000"/>
            <rFont val="Arial"/>
            <scheme val="minor"/>
          </rPr>
          <t>Updated on 09-Dec-2024 09:41 AM</t>
        </r>
      </text>
    </comment>
    <comment ref="F955" authorId="0" shapeId="0" xr:uid="{00000000-0006-0000-0000-00001D040000}">
      <text>
        <r>
          <rPr>
            <sz val="10"/>
            <color rgb="FF000000"/>
            <rFont val="Arial"/>
            <scheme val="minor"/>
          </rPr>
          <t>Updated on 10-Dec-2024 07:56 AM</t>
        </r>
      </text>
    </comment>
    <comment ref="G955" authorId="0" shapeId="0" xr:uid="{00000000-0006-0000-0000-00001E040000}">
      <text>
        <r>
          <rPr>
            <sz val="10"/>
            <color rgb="FF000000"/>
            <rFont val="Arial"/>
            <scheme val="minor"/>
          </rPr>
          <t>Updated on 10-Dec-2024 07:56 AM</t>
        </r>
      </text>
    </comment>
    <comment ref="H955" authorId="0" shapeId="0" xr:uid="{00000000-0006-0000-0000-00001F040000}">
      <text>
        <r>
          <rPr>
            <sz val="10"/>
            <color rgb="FF000000"/>
            <rFont val="Arial"/>
            <scheme val="minor"/>
          </rPr>
          <t>Updated on 10-Dec-2024 07:56 AM</t>
        </r>
      </text>
    </comment>
    <comment ref="F956" authorId="0" shapeId="0" xr:uid="{00000000-0006-0000-0000-000020040000}">
      <text>
        <r>
          <rPr>
            <sz val="10"/>
            <color rgb="FF000000"/>
            <rFont val="Arial"/>
            <scheme val="minor"/>
          </rPr>
          <t>Updated on 10-Dec-2024 07:57 AM</t>
        </r>
      </text>
    </comment>
    <comment ref="G956" authorId="0" shapeId="0" xr:uid="{00000000-0006-0000-0000-000021040000}">
      <text>
        <r>
          <rPr>
            <sz val="10"/>
            <color rgb="FF000000"/>
            <rFont val="Arial"/>
            <scheme val="minor"/>
          </rPr>
          <t>Updated on 10-Dec-2024 07:57 AM</t>
        </r>
      </text>
    </comment>
    <comment ref="H956" authorId="0" shapeId="0" xr:uid="{00000000-0006-0000-0000-000022040000}">
      <text>
        <r>
          <rPr>
            <sz val="10"/>
            <color rgb="FF000000"/>
            <rFont val="Arial"/>
            <scheme val="minor"/>
          </rPr>
          <t>Updated on 10-Dec-2024 07:57 AM</t>
        </r>
      </text>
    </comment>
    <comment ref="F957" authorId="0" shapeId="0" xr:uid="{00000000-0006-0000-0000-000023040000}">
      <text>
        <r>
          <rPr>
            <sz val="10"/>
            <color rgb="FF000000"/>
            <rFont val="Arial"/>
            <scheme val="minor"/>
          </rPr>
          <t>Updated on 10-Dec-2024 08:00 AM</t>
        </r>
      </text>
    </comment>
    <comment ref="G957" authorId="0" shapeId="0" xr:uid="{00000000-0006-0000-0000-000024040000}">
      <text>
        <r>
          <rPr>
            <sz val="10"/>
            <color rgb="FF000000"/>
            <rFont val="Arial"/>
            <scheme val="minor"/>
          </rPr>
          <t>Updated on 10-Dec-2024 08:00 AM</t>
        </r>
      </text>
    </comment>
    <comment ref="H957" authorId="0" shapeId="0" xr:uid="{00000000-0006-0000-0000-000025040000}">
      <text>
        <r>
          <rPr>
            <sz val="10"/>
            <color rgb="FF000000"/>
            <rFont val="Arial"/>
            <scheme val="minor"/>
          </rPr>
          <t>Updated on 10-Dec-2024 08:00 AM</t>
        </r>
      </text>
    </comment>
    <comment ref="F958" authorId="0" shapeId="0" xr:uid="{00000000-0006-0000-0000-000026040000}">
      <text>
        <r>
          <rPr>
            <sz val="10"/>
            <color rgb="FF000000"/>
            <rFont val="Arial"/>
            <scheme val="minor"/>
          </rPr>
          <t>Updated on 10-Dec-2024 08:00 AM</t>
        </r>
      </text>
    </comment>
    <comment ref="G958" authorId="0" shapeId="0" xr:uid="{00000000-0006-0000-0000-000027040000}">
      <text>
        <r>
          <rPr>
            <sz val="10"/>
            <color rgb="FF000000"/>
            <rFont val="Arial"/>
            <scheme val="minor"/>
          </rPr>
          <t>Updated on 10-Dec-2024 08:00 AM</t>
        </r>
      </text>
    </comment>
    <comment ref="H958" authorId="0" shapeId="0" xr:uid="{00000000-0006-0000-0000-000028040000}">
      <text>
        <r>
          <rPr>
            <sz val="10"/>
            <color rgb="FF000000"/>
            <rFont val="Arial"/>
            <scheme val="minor"/>
          </rPr>
          <t>Updated on 10-Dec-2024 08:00 AM</t>
        </r>
      </text>
    </comment>
    <comment ref="F959" authorId="0" shapeId="0" xr:uid="{00000000-0006-0000-0000-000029040000}">
      <text>
        <r>
          <rPr>
            <sz val="10"/>
            <color rgb="FF000000"/>
            <rFont val="Arial"/>
            <scheme val="minor"/>
          </rPr>
          <t>Updated on 10-Dec-2024 08:05 AM</t>
        </r>
      </text>
    </comment>
    <comment ref="G959" authorId="0" shapeId="0" xr:uid="{00000000-0006-0000-0000-00002A040000}">
      <text>
        <r>
          <rPr>
            <sz val="10"/>
            <color rgb="FF000000"/>
            <rFont val="Arial"/>
            <scheme val="minor"/>
          </rPr>
          <t>Updated on 10-Dec-2024 08:05 AM</t>
        </r>
      </text>
    </comment>
    <comment ref="H959" authorId="0" shapeId="0" xr:uid="{00000000-0006-0000-0000-00002B040000}">
      <text>
        <r>
          <rPr>
            <sz val="10"/>
            <color rgb="FF000000"/>
            <rFont val="Arial"/>
            <scheme val="minor"/>
          </rPr>
          <t>Updated on 10-Dec-2024 08:05 AM</t>
        </r>
      </text>
    </comment>
    <comment ref="F960" authorId="0" shapeId="0" xr:uid="{00000000-0006-0000-0000-00002C040000}">
      <text>
        <r>
          <rPr>
            <sz val="10"/>
            <color rgb="FF000000"/>
            <rFont val="Arial"/>
            <scheme val="minor"/>
          </rPr>
          <t>Updated on 10-Dec-2024 09:05 AM</t>
        </r>
      </text>
    </comment>
    <comment ref="G960" authorId="0" shapeId="0" xr:uid="{00000000-0006-0000-0000-00002D040000}">
      <text>
        <r>
          <rPr>
            <sz val="10"/>
            <color rgb="FF000000"/>
            <rFont val="Arial"/>
            <scheme val="minor"/>
          </rPr>
          <t>Updated on 10-Dec-2024 09:05 AM</t>
        </r>
      </text>
    </comment>
    <comment ref="H960" authorId="0" shapeId="0" xr:uid="{00000000-0006-0000-0000-00002E040000}">
      <text>
        <r>
          <rPr>
            <sz val="10"/>
            <color rgb="FF000000"/>
            <rFont val="Arial"/>
            <scheme val="minor"/>
          </rPr>
          <t>Updated on 10-Dec-2024 09:05 AM</t>
        </r>
      </text>
    </comment>
    <comment ref="F961" authorId="0" shapeId="0" xr:uid="{00000000-0006-0000-0000-00002F040000}">
      <text>
        <r>
          <rPr>
            <sz val="10"/>
            <color rgb="FF000000"/>
            <rFont val="Arial"/>
            <scheme val="minor"/>
          </rPr>
          <t>Updated on 10-Dec-2024 10:25 AM</t>
        </r>
      </text>
    </comment>
    <comment ref="G961" authorId="0" shapeId="0" xr:uid="{00000000-0006-0000-0000-000030040000}">
      <text>
        <r>
          <rPr>
            <sz val="10"/>
            <color rgb="FF000000"/>
            <rFont val="Arial"/>
            <scheme val="minor"/>
          </rPr>
          <t>Updated on 10-Dec-2024 10:25 AM</t>
        </r>
      </text>
    </comment>
    <comment ref="H961" authorId="0" shapeId="0" xr:uid="{00000000-0006-0000-0000-000031040000}">
      <text>
        <r>
          <rPr>
            <sz val="10"/>
            <color rgb="FF000000"/>
            <rFont val="Arial"/>
            <scheme val="minor"/>
          </rPr>
          <t>Updated on 10-Dec-2024 10:25 AM</t>
        </r>
      </text>
    </comment>
    <comment ref="F962" authorId="0" shapeId="0" xr:uid="{00000000-0006-0000-0000-000032040000}">
      <text>
        <r>
          <rPr>
            <sz val="10"/>
            <color rgb="FF000000"/>
            <rFont val="Arial"/>
            <scheme val="minor"/>
          </rPr>
          <t>Updated on 12-Dec-2024 01:27 PM</t>
        </r>
      </text>
    </comment>
    <comment ref="G962" authorId="0" shapeId="0" xr:uid="{00000000-0006-0000-0000-000033040000}">
      <text>
        <r>
          <rPr>
            <sz val="10"/>
            <color rgb="FF000000"/>
            <rFont val="Arial"/>
            <scheme val="minor"/>
          </rPr>
          <t>Updated on 12-Dec-2024 01:27 PM</t>
        </r>
      </text>
    </comment>
    <comment ref="H962" authorId="0" shapeId="0" xr:uid="{00000000-0006-0000-0000-000034040000}">
      <text>
        <r>
          <rPr>
            <sz val="10"/>
            <color rgb="FF000000"/>
            <rFont val="Arial"/>
            <scheme val="minor"/>
          </rPr>
          <t>Updated on 12-Dec-2024 01:27 PM</t>
        </r>
      </text>
    </comment>
    <comment ref="F963" authorId="0" shapeId="0" xr:uid="{00000000-0006-0000-0000-000035040000}">
      <text>
        <r>
          <rPr>
            <sz val="10"/>
            <color rgb="FF000000"/>
            <rFont val="Arial"/>
            <scheme val="minor"/>
          </rPr>
          <t>Updated on 03-Jan-2025 08:34 AM</t>
        </r>
      </text>
    </comment>
    <comment ref="G963" authorId="0" shapeId="0" xr:uid="{00000000-0006-0000-0000-000036040000}">
      <text>
        <r>
          <rPr>
            <sz val="10"/>
            <color rgb="FF000000"/>
            <rFont val="Arial"/>
            <scheme val="minor"/>
          </rPr>
          <t>Updated on 03-Jan-2025 08:34 AM</t>
        </r>
      </text>
    </comment>
    <comment ref="H963" authorId="0" shapeId="0" xr:uid="{00000000-0006-0000-0000-000037040000}">
      <text>
        <r>
          <rPr>
            <sz val="10"/>
            <color rgb="FF000000"/>
            <rFont val="Arial"/>
            <scheme val="minor"/>
          </rPr>
          <t>Updated on 03-Jan-2025 08:34 AM</t>
        </r>
      </text>
    </comment>
    <comment ref="F964" authorId="0" shapeId="0" xr:uid="{00000000-0006-0000-0000-000038040000}">
      <text>
        <r>
          <rPr>
            <sz val="10"/>
            <color rgb="FF000000"/>
            <rFont val="Arial"/>
            <scheme val="minor"/>
          </rPr>
          <t>Updated on 03-Jan-2025 02:23 PM</t>
        </r>
      </text>
    </comment>
    <comment ref="G964" authorId="0" shapeId="0" xr:uid="{00000000-0006-0000-0000-000039040000}">
      <text>
        <r>
          <rPr>
            <sz val="10"/>
            <color rgb="FF000000"/>
            <rFont val="Arial"/>
            <scheme val="minor"/>
          </rPr>
          <t>Updated on 03-Jan-2025 02:23 PM</t>
        </r>
      </text>
    </comment>
    <comment ref="H964" authorId="0" shapeId="0" xr:uid="{00000000-0006-0000-0000-00003A040000}">
      <text>
        <r>
          <rPr>
            <sz val="10"/>
            <color rgb="FF000000"/>
            <rFont val="Arial"/>
            <scheme val="minor"/>
          </rPr>
          <t>Updated on 03-Jan-2025 02:23 PM</t>
        </r>
      </text>
    </comment>
    <comment ref="F965" authorId="0" shapeId="0" xr:uid="{00000000-0006-0000-0000-00003B040000}">
      <text>
        <r>
          <rPr>
            <sz val="10"/>
            <color rgb="FF000000"/>
            <rFont val="Arial"/>
            <scheme val="minor"/>
          </rPr>
          <t>Updated on 03-Jan-2025 03:00 PM</t>
        </r>
      </text>
    </comment>
    <comment ref="G965" authorId="0" shapeId="0" xr:uid="{00000000-0006-0000-0000-00003C040000}">
      <text>
        <r>
          <rPr>
            <sz val="10"/>
            <color rgb="FF000000"/>
            <rFont val="Arial"/>
            <scheme val="minor"/>
          </rPr>
          <t>Updated on 03-Jan-2025 03:00 PM</t>
        </r>
      </text>
    </comment>
    <comment ref="H965" authorId="0" shapeId="0" xr:uid="{00000000-0006-0000-0000-00003D040000}">
      <text>
        <r>
          <rPr>
            <sz val="10"/>
            <color rgb="FF000000"/>
            <rFont val="Arial"/>
            <scheme val="minor"/>
          </rPr>
          <t>Updated on 03-Jan-2025 03:00 PM</t>
        </r>
      </text>
    </comment>
    <comment ref="F966" authorId="0" shapeId="0" xr:uid="{00000000-0006-0000-0000-00003E040000}">
      <text>
        <r>
          <rPr>
            <sz val="10"/>
            <color rgb="FF000000"/>
            <rFont val="Arial"/>
            <scheme val="minor"/>
          </rPr>
          <t>Updated on 03-Jan-2025 03:04 PM</t>
        </r>
      </text>
    </comment>
    <comment ref="G966" authorId="0" shapeId="0" xr:uid="{00000000-0006-0000-0000-00003F040000}">
      <text>
        <r>
          <rPr>
            <sz val="10"/>
            <color rgb="FF000000"/>
            <rFont val="Arial"/>
            <scheme val="minor"/>
          </rPr>
          <t>Updated on 03-Jan-2025 03:04 PM</t>
        </r>
      </text>
    </comment>
    <comment ref="H966" authorId="0" shapeId="0" xr:uid="{00000000-0006-0000-0000-000040040000}">
      <text>
        <r>
          <rPr>
            <sz val="10"/>
            <color rgb="FF000000"/>
            <rFont val="Arial"/>
            <scheme val="minor"/>
          </rPr>
          <t>Updated on 03-Jan-2025 03:04 PM</t>
        </r>
      </text>
    </comment>
    <comment ref="F967" authorId="0" shapeId="0" xr:uid="{00000000-0006-0000-0000-000041040000}">
      <text>
        <r>
          <rPr>
            <sz val="10"/>
            <color rgb="FF000000"/>
            <rFont val="Arial"/>
            <scheme val="minor"/>
          </rPr>
          <t>Updated on 03-Jan-2025 03:48 PM</t>
        </r>
      </text>
    </comment>
    <comment ref="G967" authorId="0" shapeId="0" xr:uid="{00000000-0006-0000-0000-000042040000}">
      <text>
        <r>
          <rPr>
            <sz val="10"/>
            <color rgb="FF000000"/>
            <rFont val="Arial"/>
            <scheme val="minor"/>
          </rPr>
          <t>Updated on 03-Jan-2025 03:48 PM</t>
        </r>
      </text>
    </comment>
    <comment ref="H967" authorId="0" shapeId="0" xr:uid="{00000000-0006-0000-0000-000043040000}">
      <text>
        <r>
          <rPr>
            <sz val="10"/>
            <color rgb="FF000000"/>
            <rFont val="Arial"/>
            <scheme val="minor"/>
          </rPr>
          <t>Updated on 03-Jan-2025 03:48 PM</t>
        </r>
      </text>
    </comment>
    <comment ref="F968" authorId="0" shapeId="0" xr:uid="{00000000-0006-0000-0000-000044040000}">
      <text>
        <r>
          <rPr>
            <sz val="10"/>
            <color rgb="FF000000"/>
            <rFont val="Arial"/>
            <scheme val="minor"/>
          </rPr>
          <t>Updated on 06-Jan-2025 07:50 AM</t>
        </r>
      </text>
    </comment>
    <comment ref="G968" authorId="0" shapeId="0" xr:uid="{00000000-0006-0000-0000-000045040000}">
      <text>
        <r>
          <rPr>
            <sz val="10"/>
            <color rgb="FF000000"/>
            <rFont val="Arial"/>
            <scheme val="minor"/>
          </rPr>
          <t>Updated on 06-Jan-2025 07:50 AM</t>
        </r>
      </text>
    </comment>
    <comment ref="H968" authorId="0" shapeId="0" xr:uid="{00000000-0006-0000-0000-000046040000}">
      <text>
        <r>
          <rPr>
            <sz val="10"/>
            <color rgb="FF000000"/>
            <rFont val="Arial"/>
            <scheme val="minor"/>
          </rPr>
          <t>Updated on 06-Jan-2025 07:50 AM</t>
        </r>
      </text>
    </comment>
    <comment ref="F969" authorId="0" shapeId="0" xr:uid="{00000000-0006-0000-0000-000047040000}">
      <text>
        <r>
          <rPr>
            <sz val="10"/>
            <color rgb="FF000000"/>
            <rFont val="Arial"/>
            <scheme val="minor"/>
          </rPr>
          <t>Updated on 06-Jan-2025 09:28 AM</t>
        </r>
      </text>
    </comment>
    <comment ref="G969" authorId="0" shapeId="0" xr:uid="{00000000-0006-0000-0000-000048040000}">
      <text>
        <r>
          <rPr>
            <sz val="10"/>
            <color rgb="FF000000"/>
            <rFont val="Arial"/>
            <scheme val="minor"/>
          </rPr>
          <t>Updated on 06-Jan-2025 09:28 AM</t>
        </r>
      </text>
    </comment>
    <comment ref="H969" authorId="0" shapeId="0" xr:uid="{00000000-0006-0000-0000-000049040000}">
      <text>
        <r>
          <rPr>
            <sz val="10"/>
            <color rgb="FF000000"/>
            <rFont val="Arial"/>
            <scheme val="minor"/>
          </rPr>
          <t>Updated on 06-Jan-2025 09:28 AM</t>
        </r>
      </text>
    </comment>
    <comment ref="F970" authorId="0" shapeId="0" xr:uid="{00000000-0006-0000-0000-00004A040000}">
      <text>
        <r>
          <rPr>
            <sz val="10"/>
            <color rgb="FF000000"/>
            <rFont val="Arial"/>
            <scheme val="minor"/>
          </rPr>
          <t>Updated on 06-Jan-2025 10:18 AM</t>
        </r>
      </text>
    </comment>
    <comment ref="G970" authorId="0" shapeId="0" xr:uid="{00000000-0006-0000-0000-00004B040000}">
      <text>
        <r>
          <rPr>
            <sz val="10"/>
            <color rgb="FF000000"/>
            <rFont val="Arial"/>
            <scheme val="minor"/>
          </rPr>
          <t>Updated on 06-Jan-2025 10:18 AM</t>
        </r>
      </text>
    </comment>
    <comment ref="H970" authorId="0" shapeId="0" xr:uid="{00000000-0006-0000-0000-00004C040000}">
      <text>
        <r>
          <rPr>
            <sz val="10"/>
            <color rgb="FF000000"/>
            <rFont val="Arial"/>
            <scheme val="minor"/>
          </rPr>
          <t>Updated on 06-Jan-2025 10:18 AM</t>
        </r>
      </text>
    </comment>
    <comment ref="F971" authorId="0" shapeId="0" xr:uid="{00000000-0006-0000-0000-00004D040000}">
      <text>
        <r>
          <rPr>
            <sz val="10"/>
            <color rgb="FF000000"/>
            <rFont val="Arial"/>
            <scheme val="minor"/>
          </rPr>
          <t>Updated on 06-Jan-2025 10:24 AM</t>
        </r>
      </text>
    </comment>
    <comment ref="G971" authorId="0" shapeId="0" xr:uid="{00000000-0006-0000-0000-00004E040000}">
      <text>
        <r>
          <rPr>
            <sz val="10"/>
            <color rgb="FF000000"/>
            <rFont val="Arial"/>
            <scheme val="minor"/>
          </rPr>
          <t>Updated on 06-Jan-2025 10:24 AM</t>
        </r>
      </text>
    </comment>
    <comment ref="H971" authorId="0" shapeId="0" xr:uid="{00000000-0006-0000-0000-00004F040000}">
      <text>
        <r>
          <rPr>
            <sz val="10"/>
            <color rgb="FF000000"/>
            <rFont val="Arial"/>
            <scheme val="minor"/>
          </rPr>
          <t>Updated on 06-Jan-2025 10:24 AM</t>
        </r>
      </text>
    </comment>
    <comment ref="F972" authorId="0" shapeId="0" xr:uid="{00000000-0006-0000-0000-000050040000}">
      <text>
        <r>
          <rPr>
            <sz val="10"/>
            <color rgb="FF000000"/>
            <rFont val="Arial"/>
            <scheme val="minor"/>
          </rPr>
          <t>Updated on 06-Jan-2025 10:46 AM</t>
        </r>
      </text>
    </comment>
    <comment ref="G972" authorId="0" shapeId="0" xr:uid="{00000000-0006-0000-0000-000051040000}">
      <text>
        <r>
          <rPr>
            <sz val="10"/>
            <color rgb="FF000000"/>
            <rFont val="Arial"/>
            <scheme val="minor"/>
          </rPr>
          <t>Updated on 06-Jan-2025 10:46 AM</t>
        </r>
      </text>
    </comment>
    <comment ref="H972" authorId="0" shapeId="0" xr:uid="{00000000-0006-0000-0000-000052040000}">
      <text>
        <r>
          <rPr>
            <sz val="10"/>
            <color rgb="FF000000"/>
            <rFont val="Arial"/>
            <scheme val="minor"/>
          </rPr>
          <t>Updated on 06-Jan-2025 10:46 AM</t>
        </r>
      </text>
    </comment>
    <comment ref="F973" authorId="0" shapeId="0" xr:uid="{00000000-0006-0000-0000-000053040000}">
      <text>
        <r>
          <rPr>
            <sz val="10"/>
            <color rgb="FF000000"/>
            <rFont val="Arial"/>
            <scheme val="minor"/>
          </rPr>
          <t>Updated on 06-Jan-2025 10:47 AM</t>
        </r>
      </text>
    </comment>
    <comment ref="G973" authorId="0" shapeId="0" xr:uid="{00000000-0006-0000-0000-000054040000}">
      <text>
        <r>
          <rPr>
            <sz val="10"/>
            <color rgb="FF000000"/>
            <rFont val="Arial"/>
            <scheme val="minor"/>
          </rPr>
          <t>Updated on 06-Jan-2025 10:47 AM</t>
        </r>
      </text>
    </comment>
    <comment ref="H973" authorId="0" shapeId="0" xr:uid="{00000000-0006-0000-0000-000055040000}">
      <text>
        <r>
          <rPr>
            <sz val="10"/>
            <color rgb="FF000000"/>
            <rFont val="Arial"/>
            <scheme val="minor"/>
          </rPr>
          <t>Updated on 06-Jan-2025 10:47 AM</t>
        </r>
      </text>
    </comment>
    <comment ref="F974" authorId="0" shapeId="0" xr:uid="{00000000-0006-0000-0000-000056040000}">
      <text>
        <r>
          <rPr>
            <sz val="10"/>
            <color rgb="FF000000"/>
            <rFont val="Arial"/>
            <scheme val="minor"/>
          </rPr>
          <t>Updated on 06-Jan-2025 10:50 AM</t>
        </r>
      </text>
    </comment>
    <comment ref="G974" authorId="0" shapeId="0" xr:uid="{00000000-0006-0000-0000-000057040000}">
      <text>
        <r>
          <rPr>
            <sz val="10"/>
            <color rgb="FF000000"/>
            <rFont val="Arial"/>
            <scheme val="minor"/>
          </rPr>
          <t>Updated on 06-Jan-2025 10:50 AM</t>
        </r>
      </text>
    </comment>
    <comment ref="H974" authorId="0" shapeId="0" xr:uid="{00000000-0006-0000-0000-000058040000}">
      <text>
        <r>
          <rPr>
            <sz val="10"/>
            <color rgb="FF000000"/>
            <rFont val="Arial"/>
            <scheme val="minor"/>
          </rPr>
          <t>Updated on 06-Jan-2025 10:50 AM</t>
        </r>
      </text>
    </comment>
    <comment ref="F975" authorId="0" shapeId="0" xr:uid="{00000000-0006-0000-0000-000059040000}">
      <text>
        <r>
          <rPr>
            <sz val="10"/>
            <color rgb="FF000000"/>
            <rFont val="Arial"/>
            <scheme val="minor"/>
          </rPr>
          <t>Updated on 06-Jan-2025 11:01 AM</t>
        </r>
      </text>
    </comment>
    <comment ref="G975" authorId="0" shapeId="0" xr:uid="{00000000-0006-0000-0000-00005A040000}">
      <text>
        <r>
          <rPr>
            <sz val="10"/>
            <color rgb="FF000000"/>
            <rFont val="Arial"/>
            <scheme val="minor"/>
          </rPr>
          <t>Updated on 06-Jan-2025 11:01 AM</t>
        </r>
      </text>
    </comment>
    <comment ref="H975" authorId="0" shapeId="0" xr:uid="{00000000-0006-0000-0000-00005B040000}">
      <text>
        <r>
          <rPr>
            <sz val="10"/>
            <color rgb="FF000000"/>
            <rFont val="Arial"/>
            <scheme val="minor"/>
          </rPr>
          <t>Updated on 06-Jan-2025 11:01 AM</t>
        </r>
      </text>
    </comment>
    <comment ref="F976" authorId="0" shapeId="0" xr:uid="{00000000-0006-0000-0000-00005C040000}">
      <text>
        <r>
          <rPr>
            <sz val="10"/>
            <color rgb="FF000000"/>
            <rFont val="Arial"/>
            <scheme val="minor"/>
          </rPr>
          <t>Updated on 06-Jan-2025 11:04 AM</t>
        </r>
      </text>
    </comment>
    <comment ref="G976" authorId="0" shapeId="0" xr:uid="{00000000-0006-0000-0000-00005D040000}">
      <text>
        <r>
          <rPr>
            <sz val="10"/>
            <color rgb="FF000000"/>
            <rFont val="Arial"/>
            <scheme val="minor"/>
          </rPr>
          <t>Updated on 06-Jan-2025 11:04 AM</t>
        </r>
      </text>
    </comment>
    <comment ref="H976" authorId="0" shapeId="0" xr:uid="{00000000-0006-0000-0000-00005E040000}">
      <text>
        <r>
          <rPr>
            <sz val="10"/>
            <color rgb="FF000000"/>
            <rFont val="Arial"/>
            <scheme val="minor"/>
          </rPr>
          <t>Updated on 06-Jan-2025 11:04 AM</t>
        </r>
      </text>
    </comment>
    <comment ref="F977" authorId="0" shapeId="0" xr:uid="{00000000-0006-0000-0000-00005F040000}">
      <text>
        <r>
          <rPr>
            <sz val="10"/>
            <color rgb="FF000000"/>
            <rFont val="Arial"/>
            <scheme val="minor"/>
          </rPr>
          <t>Updated on 06-Jan-2025 11:05 AM</t>
        </r>
      </text>
    </comment>
    <comment ref="G977" authorId="0" shapeId="0" xr:uid="{00000000-0006-0000-0000-000060040000}">
      <text>
        <r>
          <rPr>
            <sz val="10"/>
            <color rgb="FF000000"/>
            <rFont val="Arial"/>
            <scheme val="minor"/>
          </rPr>
          <t>Updated on 06-Jan-2025 11:05 AM</t>
        </r>
      </text>
    </comment>
    <comment ref="H977" authorId="0" shapeId="0" xr:uid="{00000000-0006-0000-0000-000061040000}">
      <text>
        <r>
          <rPr>
            <sz val="10"/>
            <color rgb="FF000000"/>
            <rFont val="Arial"/>
            <scheme val="minor"/>
          </rPr>
          <t>Updated on 06-Jan-2025 11:05 AM</t>
        </r>
      </text>
    </comment>
    <comment ref="F978" authorId="0" shapeId="0" xr:uid="{00000000-0006-0000-0000-000062040000}">
      <text>
        <r>
          <rPr>
            <sz val="10"/>
            <color rgb="FF000000"/>
            <rFont val="Arial"/>
            <scheme val="minor"/>
          </rPr>
          <t>Updated on 06-Jan-2025 11:05 AM</t>
        </r>
      </text>
    </comment>
    <comment ref="G978" authorId="0" shapeId="0" xr:uid="{00000000-0006-0000-0000-000063040000}">
      <text>
        <r>
          <rPr>
            <sz val="10"/>
            <color rgb="FF000000"/>
            <rFont val="Arial"/>
            <scheme val="minor"/>
          </rPr>
          <t>Updated on 06-Jan-2025 11:05 AM</t>
        </r>
      </text>
    </comment>
    <comment ref="H978" authorId="0" shapeId="0" xr:uid="{00000000-0006-0000-0000-000064040000}">
      <text>
        <r>
          <rPr>
            <sz val="10"/>
            <color rgb="FF000000"/>
            <rFont val="Arial"/>
            <scheme val="minor"/>
          </rPr>
          <t>Updated on 06-Jan-2025 11:05 AM</t>
        </r>
      </text>
    </comment>
    <comment ref="F979" authorId="0" shapeId="0" xr:uid="{00000000-0006-0000-0000-000065040000}">
      <text>
        <r>
          <rPr>
            <sz val="10"/>
            <color rgb="FF000000"/>
            <rFont val="Arial"/>
            <scheme val="minor"/>
          </rPr>
          <t>Updated on 06-Jan-2025 11:13 AM</t>
        </r>
      </text>
    </comment>
    <comment ref="G979" authorId="0" shapeId="0" xr:uid="{00000000-0006-0000-0000-000066040000}">
      <text>
        <r>
          <rPr>
            <sz val="10"/>
            <color rgb="FF000000"/>
            <rFont val="Arial"/>
            <scheme val="minor"/>
          </rPr>
          <t>Updated on 06-Jan-2025 11:13 AM</t>
        </r>
      </text>
    </comment>
    <comment ref="H979" authorId="0" shapeId="0" xr:uid="{00000000-0006-0000-0000-000067040000}">
      <text>
        <r>
          <rPr>
            <sz val="10"/>
            <color rgb="FF000000"/>
            <rFont val="Arial"/>
            <scheme val="minor"/>
          </rPr>
          <t>Updated on 06-Jan-2025 11:13 AM</t>
        </r>
      </text>
    </comment>
    <comment ref="F980" authorId="0" shapeId="0" xr:uid="{00000000-0006-0000-0000-000068040000}">
      <text>
        <r>
          <rPr>
            <sz val="10"/>
            <color rgb="FF000000"/>
            <rFont val="Arial"/>
            <scheme val="minor"/>
          </rPr>
          <t>Updated on 06-Jan-2025 12:21 PM</t>
        </r>
      </text>
    </comment>
    <comment ref="G980" authorId="0" shapeId="0" xr:uid="{00000000-0006-0000-0000-000069040000}">
      <text>
        <r>
          <rPr>
            <sz val="10"/>
            <color rgb="FF000000"/>
            <rFont val="Arial"/>
            <scheme val="minor"/>
          </rPr>
          <t>Updated on 06-Jan-2025 12:21 PM</t>
        </r>
      </text>
    </comment>
    <comment ref="H980" authorId="0" shapeId="0" xr:uid="{00000000-0006-0000-0000-00006A040000}">
      <text>
        <r>
          <rPr>
            <sz val="10"/>
            <color rgb="FF000000"/>
            <rFont val="Arial"/>
            <scheme val="minor"/>
          </rPr>
          <t>Updated on 06-Jan-2025 12:21 PM</t>
        </r>
      </text>
    </comment>
    <comment ref="F981" authorId="0" shapeId="0" xr:uid="{00000000-0006-0000-0000-00006B040000}">
      <text>
        <r>
          <rPr>
            <sz val="10"/>
            <color rgb="FF000000"/>
            <rFont val="Arial"/>
            <scheme val="minor"/>
          </rPr>
          <t>Updated on 06-Jan-2025 12:21 PM</t>
        </r>
      </text>
    </comment>
    <comment ref="G981" authorId="0" shapeId="0" xr:uid="{00000000-0006-0000-0000-00006C040000}">
      <text>
        <r>
          <rPr>
            <sz val="10"/>
            <color rgb="FF000000"/>
            <rFont val="Arial"/>
            <scheme val="minor"/>
          </rPr>
          <t>Updated on 06-Jan-2025 12:21 PM</t>
        </r>
      </text>
    </comment>
    <comment ref="H981" authorId="0" shapeId="0" xr:uid="{00000000-0006-0000-0000-00006D040000}">
      <text>
        <r>
          <rPr>
            <sz val="10"/>
            <color rgb="FF000000"/>
            <rFont val="Arial"/>
            <scheme val="minor"/>
          </rPr>
          <t>Updated on 06-Jan-2025 12:21 PM</t>
        </r>
      </text>
    </comment>
    <comment ref="F982" authorId="0" shapeId="0" xr:uid="{00000000-0006-0000-0000-00006E040000}">
      <text>
        <r>
          <rPr>
            <sz val="10"/>
            <color rgb="FF000000"/>
            <rFont val="Arial"/>
            <scheme val="minor"/>
          </rPr>
          <t>Updated on 07-Jan-2025 07:47 AM</t>
        </r>
      </text>
    </comment>
    <comment ref="G982" authorId="0" shapeId="0" xr:uid="{00000000-0006-0000-0000-00006F040000}">
      <text>
        <r>
          <rPr>
            <sz val="10"/>
            <color rgb="FF000000"/>
            <rFont val="Arial"/>
            <scheme val="minor"/>
          </rPr>
          <t>Updated on 07-Jan-2025 07:47 AM</t>
        </r>
      </text>
    </comment>
    <comment ref="H982" authorId="0" shapeId="0" xr:uid="{00000000-0006-0000-0000-000070040000}">
      <text>
        <r>
          <rPr>
            <sz val="10"/>
            <color rgb="FF000000"/>
            <rFont val="Arial"/>
            <scheme val="minor"/>
          </rPr>
          <t>Updated on 07-Jan-2025 07:47 AM</t>
        </r>
      </text>
    </comment>
    <comment ref="F983" authorId="0" shapeId="0" xr:uid="{00000000-0006-0000-0000-000071040000}">
      <text>
        <r>
          <rPr>
            <sz val="10"/>
            <color rgb="FF000000"/>
            <rFont val="Arial"/>
            <scheme val="minor"/>
          </rPr>
          <t>Updated on 07-Jan-2025 08:20 AM</t>
        </r>
      </text>
    </comment>
    <comment ref="G983" authorId="0" shapeId="0" xr:uid="{00000000-0006-0000-0000-000072040000}">
      <text>
        <r>
          <rPr>
            <sz val="10"/>
            <color rgb="FF000000"/>
            <rFont val="Arial"/>
            <scheme val="minor"/>
          </rPr>
          <t>Updated on 07-Jan-2025 08:20 AM</t>
        </r>
      </text>
    </comment>
    <comment ref="H983" authorId="0" shapeId="0" xr:uid="{00000000-0006-0000-0000-000073040000}">
      <text>
        <r>
          <rPr>
            <sz val="10"/>
            <color rgb="FF000000"/>
            <rFont val="Arial"/>
            <scheme val="minor"/>
          </rPr>
          <t>Updated on 07-Jan-2025 08:20 AM</t>
        </r>
      </text>
    </comment>
    <comment ref="F984" authorId="0" shapeId="0" xr:uid="{00000000-0006-0000-0000-000074040000}">
      <text>
        <r>
          <rPr>
            <sz val="10"/>
            <color rgb="FF000000"/>
            <rFont val="Arial"/>
            <scheme val="minor"/>
          </rPr>
          <t>Updated on 07-Jan-2025 08:22 AM</t>
        </r>
      </text>
    </comment>
    <comment ref="G984" authorId="0" shapeId="0" xr:uid="{00000000-0006-0000-0000-000075040000}">
      <text>
        <r>
          <rPr>
            <sz val="10"/>
            <color rgb="FF000000"/>
            <rFont val="Arial"/>
            <scheme val="minor"/>
          </rPr>
          <t>Updated on 07-Jan-2025 08:22 AM</t>
        </r>
      </text>
    </comment>
    <comment ref="H984" authorId="0" shapeId="0" xr:uid="{00000000-0006-0000-0000-000076040000}">
      <text>
        <r>
          <rPr>
            <sz val="10"/>
            <color rgb="FF000000"/>
            <rFont val="Arial"/>
            <scheme val="minor"/>
          </rPr>
          <t>Updated on 07-Jan-2025 08:22 AM</t>
        </r>
      </text>
    </comment>
    <comment ref="F985" authorId="0" shapeId="0" xr:uid="{00000000-0006-0000-0000-000077040000}">
      <text>
        <r>
          <rPr>
            <sz val="10"/>
            <color rgb="FF000000"/>
            <rFont val="Arial"/>
            <scheme val="minor"/>
          </rPr>
          <t>Updated on 07-Jan-2025 09:05 AM</t>
        </r>
      </text>
    </comment>
    <comment ref="G985" authorId="0" shapeId="0" xr:uid="{00000000-0006-0000-0000-000078040000}">
      <text>
        <r>
          <rPr>
            <sz val="10"/>
            <color rgb="FF000000"/>
            <rFont val="Arial"/>
            <scheme val="minor"/>
          </rPr>
          <t>Updated on 07-Jan-2025 09:05 AM</t>
        </r>
      </text>
    </comment>
    <comment ref="H985" authorId="0" shapeId="0" xr:uid="{00000000-0006-0000-0000-000079040000}">
      <text>
        <r>
          <rPr>
            <sz val="10"/>
            <color rgb="FF000000"/>
            <rFont val="Arial"/>
            <scheme val="minor"/>
          </rPr>
          <t>Updated on 07-Jan-2025 09:05 AM</t>
        </r>
      </text>
    </comment>
    <comment ref="F986" authorId="0" shapeId="0" xr:uid="{00000000-0006-0000-0000-00007A040000}">
      <text>
        <r>
          <rPr>
            <sz val="10"/>
            <color rgb="FF000000"/>
            <rFont val="Arial"/>
            <scheme val="minor"/>
          </rPr>
          <t>Updated on 07-Jan-2025 09:23 AM</t>
        </r>
      </text>
    </comment>
    <comment ref="G986" authorId="0" shapeId="0" xr:uid="{00000000-0006-0000-0000-00007B040000}">
      <text>
        <r>
          <rPr>
            <sz val="10"/>
            <color rgb="FF000000"/>
            <rFont val="Arial"/>
            <scheme val="minor"/>
          </rPr>
          <t>Updated on 07-Jan-2025 09:23 AM</t>
        </r>
      </text>
    </comment>
    <comment ref="H986" authorId="0" shapeId="0" xr:uid="{00000000-0006-0000-0000-00007C040000}">
      <text>
        <r>
          <rPr>
            <sz val="10"/>
            <color rgb="FF000000"/>
            <rFont val="Arial"/>
            <scheme val="minor"/>
          </rPr>
          <t>Updated on 07-Jan-2025 09:23 AM</t>
        </r>
      </text>
    </comment>
    <comment ref="F987" authorId="0" shapeId="0" xr:uid="{00000000-0006-0000-0000-00007D040000}">
      <text>
        <r>
          <rPr>
            <sz val="10"/>
            <color rgb="FF000000"/>
            <rFont val="Arial"/>
            <scheme val="minor"/>
          </rPr>
          <t>Updated on 07-Jan-2025 01:42 PM</t>
        </r>
      </text>
    </comment>
    <comment ref="G987" authorId="0" shapeId="0" xr:uid="{00000000-0006-0000-0000-00007E040000}">
      <text>
        <r>
          <rPr>
            <sz val="10"/>
            <color rgb="FF000000"/>
            <rFont val="Arial"/>
            <scheme val="minor"/>
          </rPr>
          <t>Updated on 07-Jan-2025 01:42 PM</t>
        </r>
      </text>
    </comment>
    <comment ref="H987" authorId="0" shapeId="0" xr:uid="{00000000-0006-0000-0000-00007F040000}">
      <text>
        <r>
          <rPr>
            <sz val="10"/>
            <color rgb="FF000000"/>
            <rFont val="Arial"/>
            <scheme val="minor"/>
          </rPr>
          <t>Updated on 07-Jan-2025 01:42 PM</t>
        </r>
      </text>
    </comment>
    <comment ref="F988" authorId="0" shapeId="0" xr:uid="{00000000-0006-0000-0000-000080040000}">
      <text>
        <r>
          <rPr>
            <sz val="10"/>
            <color rgb="FF000000"/>
            <rFont val="Arial"/>
            <scheme val="minor"/>
          </rPr>
          <t>Updated on 07-Jan-2025 01:43 PM</t>
        </r>
      </text>
    </comment>
    <comment ref="G988" authorId="0" shapeId="0" xr:uid="{00000000-0006-0000-0000-000081040000}">
      <text>
        <r>
          <rPr>
            <sz val="10"/>
            <color rgb="FF000000"/>
            <rFont val="Arial"/>
            <scheme val="minor"/>
          </rPr>
          <t>Updated on 07-Jan-2025 01:43 PM</t>
        </r>
      </text>
    </comment>
    <comment ref="H988" authorId="0" shapeId="0" xr:uid="{00000000-0006-0000-0000-000082040000}">
      <text>
        <r>
          <rPr>
            <sz val="10"/>
            <color rgb="FF000000"/>
            <rFont val="Arial"/>
            <scheme val="minor"/>
          </rPr>
          <t>Updated on 07-Jan-2025 01:43 PM</t>
        </r>
      </text>
    </comment>
    <comment ref="F989" authorId="0" shapeId="0" xr:uid="{00000000-0006-0000-0000-000083040000}">
      <text>
        <r>
          <rPr>
            <sz val="10"/>
            <color rgb="FF000000"/>
            <rFont val="Arial"/>
            <scheme val="minor"/>
          </rPr>
          <t>Updated on 07-Jan-2025 02:00 PM</t>
        </r>
      </text>
    </comment>
    <comment ref="G989" authorId="0" shapeId="0" xr:uid="{00000000-0006-0000-0000-000084040000}">
      <text>
        <r>
          <rPr>
            <sz val="10"/>
            <color rgb="FF000000"/>
            <rFont val="Arial"/>
            <scheme val="minor"/>
          </rPr>
          <t>Updated on 07-Jan-2025 02:00 PM</t>
        </r>
      </text>
    </comment>
    <comment ref="H989" authorId="0" shapeId="0" xr:uid="{00000000-0006-0000-0000-000085040000}">
      <text>
        <r>
          <rPr>
            <sz val="10"/>
            <color rgb="FF000000"/>
            <rFont val="Arial"/>
            <scheme val="minor"/>
          </rPr>
          <t>Updated on 07-Jan-2025 02:00 PM</t>
        </r>
      </text>
    </comment>
    <comment ref="F990" authorId="0" shapeId="0" xr:uid="{00000000-0006-0000-0000-000086040000}">
      <text>
        <r>
          <rPr>
            <sz val="10"/>
            <color rgb="FF000000"/>
            <rFont val="Arial"/>
            <scheme val="minor"/>
          </rPr>
          <t>Updated on 08-Jan-2025 08:48 AM</t>
        </r>
      </text>
    </comment>
    <comment ref="G990" authorId="0" shapeId="0" xr:uid="{00000000-0006-0000-0000-000087040000}">
      <text>
        <r>
          <rPr>
            <sz val="10"/>
            <color rgb="FF000000"/>
            <rFont val="Arial"/>
            <scheme val="minor"/>
          </rPr>
          <t>Updated on 08-Jan-2025 08:48 AM</t>
        </r>
      </text>
    </comment>
    <comment ref="H990" authorId="0" shapeId="0" xr:uid="{00000000-0006-0000-0000-000088040000}">
      <text>
        <r>
          <rPr>
            <sz val="10"/>
            <color rgb="FF000000"/>
            <rFont val="Arial"/>
            <scheme val="minor"/>
          </rPr>
          <t>Updated on 08-Jan-2025 08:48 AM</t>
        </r>
      </text>
    </comment>
    <comment ref="F991" authorId="0" shapeId="0" xr:uid="{00000000-0006-0000-0000-000089040000}">
      <text>
        <r>
          <rPr>
            <sz val="10"/>
            <color rgb="FF000000"/>
            <rFont val="Arial"/>
            <scheme val="minor"/>
          </rPr>
          <t>Updated on 08-Jan-2025 04:01 PM</t>
        </r>
      </text>
    </comment>
    <comment ref="G991" authorId="0" shapeId="0" xr:uid="{00000000-0006-0000-0000-00008A040000}">
      <text>
        <r>
          <rPr>
            <sz val="10"/>
            <color rgb="FF000000"/>
            <rFont val="Arial"/>
            <scheme val="minor"/>
          </rPr>
          <t>Updated on 08-Jan-2025 04:01 PM</t>
        </r>
      </text>
    </comment>
    <comment ref="H991" authorId="0" shapeId="0" xr:uid="{00000000-0006-0000-0000-00008B040000}">
      <text>
        <r>
          <rPr>
            <sz val="10"/>
            <color rgb="FF000000"/>
            <rFont val="Arial"/>
            <scheme val="minor"/>
          </rPr>
          <t>Updated on 08-Jan-2025 04:01 PM</t>
        </r>
      </text>
    </comment>
    <comment ref="F992" authorId="0" shapeId="0" xr:uid="{00000000-0006-0000-0000-00008C040000}">
      <text>
        <r>
          <rPr>
            <sz val="10"/>
            <color rgb="FF000000"/>
            <rFont val="Arial"/>
            <scheme val="minor"/>
          </rPr>
          <t>Updated on 09-Jan-2025 09:19 AM</t>
        </r>
      </text>
    </comment>
    <comment ref="G992" authorId="0" shapeId="0" xr:uid="{00000000-0006-0000-0000-00008D040000}">
      <text>
        <r>
          <rPr>
            <sz val="10"/>
            <color rgb="FF000000"/>
            <rFont val="Arial"/>
            <scheme val="minor"/>
          </rPr>
          <t>Updated on 09-Jan-2025 09:19 AM</t>
        </r>
      </text>
    </comment>
    <comment ref="H992" authorId="0" shapeId="0" xr:uid="{00000000-0006-0000-0000-00008E040000}">
      <text>
        <r>
          <rPr>
            <sz val="10"/>
            <color rgb="FF000000"/>
            <rFont val="Arial"/>
            <scheme val="minor"/>
          </rPr>
          <t>Updated on 09-Jan-2025 09:19 AM</t>
        </r>
      </text>
    </comment>
    <comment ref="F993" authorId="0" shapeId="0" xr:uid="{00000000-0006-0000-0000-00008F040000}">
      <text>
        <r>
          <rPr>
            <sz val="10"/>
            <color rgb="FF000000"/>
            <rFont val="Arial"/>
            <scheme val="minor"/>
          </rPr>
          <t>Updated on 09-Jan-2025 09:20 AM</t>
        </r>
      </text>
    </comment>
    <comment ref="G993" authorId="0" shapeId="0" xr:uid="{00000000-0006-0000-0000-000090040000}">
      <text>
        <r>
          <rPr>
            <sz val="10"/>
            <color rgb="FF000000"/>
            <rFont val="Arial"/>
            <scheme val="minor"/>
          </rPr>
          <t>Updated on 09-Jan-2025 09:20 AM</t>
        </r>
      </text>
    </comment>
    <comment ref="H993" authorId="0" shapeId="0" xr:uid="{00000000-0006-0000-0000-000091040000}">
      <text>
        <r>
          <rPr>
            <sz val="10"/>
            <color rgb="FF000000"/>
            <rFont val="Arial"/>
            <scheme val="minor"/>
          </rPr>
          <t>Updated on 09-Jan-2025 09:20 AM</t>
        </r>
      </text>
    </comment>
    <comment ref="F994" authorId="0" shapeId="0" xr:uid="{00000000-0006-0000-0000-000092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994" authorId="0" shapeId="0" xr:uid="{00000000-0006-0000-0000-000093040000}">
      <text>
        <r>
          <rPr>
            <sz val="10"/>
            <color rgb="FF000000"/>
            <rFont val="Arial"/>
            <scheme val="minor"/>
          </rPr>
          <t>Updated on 09-Jan-2025 02:26 PM</t>
        </r>
      </text>
    </comment>
    <comment ref="H994" authorId="0" shapeId="0" xr:uid="{00000000-0006-0000-0000-000094040000}">
      <text>
        <r>
          <rPr>
            <sz val="10"/>
            <color rgb="FF000000"/>
            <rFont val="Arial"/>
            <scheme val="minor"/>
          </rPr>
          <t>Updated on 09-Jan-2025 02:26 PM</t>
        </r>
      </text>
    </comment>
    <comment ref="F995" authorId="0" shapeId="0" xr:uid="{00000000-0006-0000-0000-000095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995" authorId="0" shapeId="0" xr:uid="{00000000-0006-0000-0000-000096040000}">
      <text>
        <r>
          <rPr>
            <sz val="10"/>
            <color rgb="FF000000"/>
            <rFont val="Arial"/>
            <scheme val="minor"/>
          </rPr>
          <t>Updated on 09-Jan-2025 02:26 PM</t>
        </r>
      </text>
    </comment>
    <comment ref="H995" authorId="0" shapeId="0" xr:uid="{00000000-0006-0000-0000-000097040000}">
      <text>
        <r>
          <rPr>
            <sz val="10"/>
            <color rgb="FF000000"/>
            <rFont val="Arial"/>
            <scheme val="minor"/>
          </rPr>
          <t>Updated on 09-Jan-2025 02:26 PM</t>
        </r>
      </text>
    </comment>
    <comment ref="F996" authorId="0" shapeId="0" xr:uid="{00000000-0006-0000-0000-000098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996" authorId="0" shapeId="0" xr:uid="{00000000-0006-0000-0000-000099040000}">
      <text>
        <r>
          <rPr>
            <sz val="10"/>
            <color rgb="FF000000"/>
            <rFont val="Arial"/>
            <scheme val="minor"/>
          </rPr>
          <t>Updated on 10-Jan-2025 08:56 AM</t>
        </r>
      </text>
    </comment>
    <comment ref="H996" authorId="0" shapeId="0" xr:uid="{00000000-0006-0000-0000-00009A040000}">
      <text>
        <r>
          <rPr>
            <sz val="10"/>
            <color rgb="FF000000"/>
            <rFont val="Arial"/>
            <scheme val="minor"/>
          </rPr>
          <t>Updated on 10-Jan-2025 08:56 AM</t>
        </r>
      </text>
    </comment>
    <comment ref="F997" authorId="0" shapeId="0" xr:uid="{00000000-0006-0000-0000-00009B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997" authorId="0" shapeId="0" xr:uid="{00000000-0006-0000-0000-00009C040000}">
      <text>
        <r>
          <rPr>
            <sz val="10"/>
            <color rgb="FF000000"/>
            <rFont val="Arial"/>
            <scheme val="minor"/>
          </rPr>
          <t>Updated on 10-Jan-2025 08:56 AM</t>
        </r>
      </text>
    </comment>
    <comment ref="H997" authorId="0" shapeId="0" xr:uid="{00000000-0006-0000-0000-00009D040000}">
      <text>
        <r>
          <rPr>
            <sz val="10"/>
            <color rgb="FF000000"/>
            <rFont val="Arial"/>
            <scheme val="minor"/>
          </rPr>
          <t>Updated on 10-Jan-2025 08:56 AM</t>
        </r>
      </text>
    </comment>
    <comment ref="F998" authorId="0" shapeId="0" xr:uid="{00000000-0006-0000-0000-00009E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998" authorId="0" shapeId="0" xr:uid="{00000000-0006-0000-0000-00009F040000}">
      <text>
        <r>
          <rPr>
            <sz val="10"/>
            <color rgb="FF000000"/>
            <rFont val="Arial"/>
            <scheme val="minor"/>
          </rPr>
          <t>Updated on 10-Jan-2025 09:02 AM</t>
        </r>
      </text>
    </comment>
    <comment ref="H998" authorId="0" shapeId="0" xr:uid="{00000000-0006-0000-0000-0000A0040000}">
      <text>
        <r>
          <rPr>
            <sz val="10"/>
            <color rgb="FF000000"/>
            <rFont val="Arial"/>
            <scheme val="minor"/>
          </rPr>
          <t>Updated on 10-Jan-2025 09:02 AM</t>
        </r>
      </text>
    </comment>
    <comment ref="F999" authorId="0" shapeId="0" xr:uid="{00000000-0006-0000-0000-0000A1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999" authorId="0" shapeId="0" xr:uid="{00000000-0006-0000-0000-0000A2040000}">
      <text>
        <r>
          <rPr>
            <sz val="10"/>
            <color rgb="FF000000"/>
            <rFont val="Arial"/>
            <scheme val="minor"/>
          </rPr>
          <t>Updated on 10-Jan-2025 09:05 AM</t>
        </r>
      </text>
    </comment>
    <comment ref="H999" authorId="0" shapeId="0" xr:uid="{00000000-0006-0000-0000-0000A3040000}">
      <text>
        <r>
          <rPr>
            <sz val="10"/>
            <color rgb="FF000000"/>
            <rFont val="Arial"/>
            <scheme val="minor"/>
          </rPr>
          <t>Updated on 10-Jan-2025 09:05 AM</t>
        </r>
      </text>
    </comment>
    <comment ref="F1000" authorId="0" shapeId="0" xr:uid="{00000000-0006-0000-0000-0000A4040000}">
      <text>
        <r>
          <rPr>
            <sz val="10"/>
            <color rgb="FF000000"/>
            <rFont val="Arial"/>
            <scheme val="minor"/>
          </rPr>
          <t>Updated on 17-Mar-2025 09:25 AM by bpsdemak3321@gmail.com</t>
        </r>
      </text>
    </comment>
    <comment ref="G1000" authorId="0" shapeId="0" xr:uid="{00000000-0006-0000-0000-0000A5040000}">
      <text>
        <r>
          <rPr>
            <sz val="10"/>
            <color rgb="FF000000"/>
            <rFont val="Arial"/>
            <scheme val="minor"/>
          </rPr>
          <t>Updated on 10-Jan-2025 09:05 AM</t>
        </r>
      </text>
    </comment>
    <comment ref="H1000" authorId="0" shapeId="0" xr:uid="{00000000-0006-0000-0000-0000A6040000}">
      <text>
        <r>
          <rPr>
            <sz val="10"/>
            <color rgb="FF000000"/>
            <rFont val="Arial"/>
            <scheme val="minor"/>
          </rPr>
          <t>Updated on 10-Jan-2025 09:05 AM</t>
        </r>
      </text>
    </comment>
    <comment ref="G1001" authorId="0" shapeId="0" xr:uid="{00000000-0006-0000-0000-0000A7040000}">
      <text>
        <r>
          <rPr>
            <sz val="10"/>
            <color rgb="FF000000"/>
            <rFont val="Arial"/>
            <scheme val="minor"/>
          </rPr>
          <t>Updated on 10-Jan-2025 04:20 PM</t>
        </r>
      </text>
    </comment>
    <comment ref="H1001" authorId="0" shapeId="0" xr:uid="{00000000-0006-0000-0000-0000A8040000}">
      <text>
        <r>
          <rPr>
            <sz val="10"/>
            <color rgb="FF000000"/>
            <rFont val="Arial"/>
            <scheme val="minor"/>
          </rPr>
          <t>Updated on 10-Jan-2025 04:20 PM</t>
        </r>
      </text>
    </comment>
    <comment ref="F1002" authorId="0" shapeId="0" xr:uid="{00000000-0006-0000-0000-0000A9040000}">
      <text>
        <r>
          <rPr>
            <sz val="10"/>
            <color rgb="FF000000"/>
            <rFont val="Arial"/>
            <scheme val="minor"/>
          </rPr>
          <t>Updated on 15-Jan-2025 10:06 AM</t>
        </r>
      </text>
    </comment>
    <comment ref="G1002" authorId="0" shapeId="0" xr:uid="{00000000-0006-0000-0000-0000AA040000}">
      <text>
        <r>
          <rPr>
            <sz val="10"/>
            <color rgb="FF000000"/>
            <rFont val="Arial"/>
            <scheme val="minor"/>
          </rPr>
          <t>Updated on 15-Jan-2025 10:06 AM</t>
        </r>
      </text>
    </comment>
    <comment ref="H1002" authorId="0" shapeId="0" xr:uid="{00000000-0006-0000-0000-0000AB040000}">
      <text>
        <r>
          <rPr>
            <sz val="10"/>
            <color rgb="FF000000"/>
            <rFont val="Arial"/>
            <scheme val="minor"/>
          </rPr>
          <t>Updated on 15-Jan-2025 10:06 AM</t>
        </r>
      </text>
    </comment>
    <comment ref="F1003" authorId="0" shapeId="0" xr:uid="{00000000-0006-0000-0000-0000AC040000}">
      <text>
        <r>
          <rPr>
            <sz val="10"/>
            <color rgb="FF000000"/>
            <rFont val="Arial"/>
            <scheme val="minor"/>
          </rPr>
          <t>Updated on 15-Jan-2025 10:07 AM</t>
        </r>
      </text>
    </comment>
    <comment ref="G1003" authorId="0" shapeId="0" xr:uid="{00000000-0006-0000-0000-0000AD040000}">
      <text>
        <r>
          <rPr>
            <sz val="10"/>
            <color rgb="FF000000"/>
            <rFont val="Arial"/>
            <scheme val="minor"/>
          </rPr>
          <t>Updated on 15-Jan-2025 10:07 AM</t>
        </r>
      </text>
    </comment>
    <comment ref="H1003" authorId="0" shapeId="0" xr:uid="{00000000-0006-0000-0000-0000AE040000}">
      <text>
        <r>
          <rPr>
            <sz val="10"/>
            <color rgb="FF000000"/>
            <rFont val="Arial"/>
            <scheme val="minor"/>
          </rPr>
          <t>Updated on 15-Jan-2025 10:07 AM</t>
        </r>
      </text>
    </comment>
    <comment ref="F1004" authorId="0" shapeId="0" xr:uid="{00000000-0006-0000-0000-0000AF040000}">
      <text>
        <r>
          <rPr>
            <sz val="10"/>
            <color rgb="FF000000"/>
            <rFont val="Arial"/>
            <scheme val="minor"/>
          </rPr>
          <t>Updated on 20-Jan-2025 07:30 AM</t>
        </r>
      </text>
    </comment>
    <comment ref="G1004" authorId="0" shapeId="0" xr:uid="{00000000-0006-0000-0000-0000B0040000}">
      <text>
        <r>
          <rPr>
            <sz val="10"/>
            <color rgb="FF000000"/>
            <rFont val="Arial"/>
            <scheme val="minor"/>
          </rPr>
          <t>Updated on 20-Jan-2025 07:30 AM</t>
        </r>
      </text>
    </comment>
    <comment ref="H1004" authorId="0" shapeId="0" xr:uid="{00000000-0006-0000-0000-0000B1040000}">
      <text>
        <r>
          <rPr>
            <sz val="10"/>
            <color rgb="FF000000"/>
            <rFont val="Arial"/>
            <scheme val="minor"/>
          </rPr>
          <t>Updated on 20-Jan-2025 07:30 AM</t>
        </r>
      </text>
    </comment>
    <comment ref="F1005" authorId="0" shapeId="0" xr:uid="{00000000-0006-0000-0000-0000B2040000}">
      <text>
        <r>
          <rPr>
            <sz val="10"/>
            <color rgb="FF000000"/>
            <rFont val="Arial"/>
            <scheme val="minor"/>
          </rPr>
          <t>Updated on 20-Jan-2025 07:49 AM</t>
        </r>
      </text>
    </comment>
    <comment ref="G1005" authorId="0" shapeId="0" xr:uid="{00000000-0006-0000-0000-0000B3040000}">
      <text>
        <r>
          <rPr>
            <sz val="10"/>
            <color rgb="FF000000"/>
            <rFont val="Arial"/>
            <scheme val="minor"/>
          </rPr>
          <t>Updated on 20-Jan-2025 07:49 AM</t>
        </r>
      </text>
    </comment>
    <comment ref="H1005" authorId="0" shapeId="0" xr:uid="{00000000-0006-0000-0000-0000B4040000}">
      <text>
        <r>
          <rPr>
            <sz val="10"/>
            <color rgb="FF000000"/>
            <rFont val="Arial"/>
            <scheme val="minor"/>
          </rPr>
          <t>Updated on 20-Jan-2025 07:49 AM</t>
        </r>
      </text>
    </comment>
    <comment ref="F1006" authorId="0" shapeId="0" xr:uid="{00000000-0006-0000-0000-0000B5040000}">
      <text>
        <r>
          <rPr>
            <sz val="10"/>
            <color rgb="FF000000"/>
            <rFont val="Arial"/>
            <scheme val="minor"/>
          </rPr>
          <t>Updated on 20-Jan-2025 08:16 AM</t>
        </r>
      </text>
    </comment>
    <comment ref="G1006" authorId="0" shapeId="0" xr:uid="{00000000-0006-0000-0000-0000B6040000}">
      <text>
        <r>
          <rPr>
            <sz val="10"/>
            <color rgb="FF000000"/>
            <rFont val="Arial"/>
            <scheme val="minor"/>
          </rPr>
          <t>Updated on 20-Jan-2025 08:16 AM</t>
        </r>
      </text>
    </comment>
    <comment ref="H1006" authorId="0" shapeId="0" xr:uid="{00000000-0006-0000-0000-0000B7040000}">
      <text>
        <r>
          <rPr>
            <sz val="10"/>
            <color rgb="FF000000"/>
            <rFont val="Arial"/>
            <scheme val="minor"/>
          </rPr>
          <t>Updated on 20-Jan-2025 08:16 AM</t>
        </r>
      </text>
    </comment>
    <comment ref="F1007" authorId="0" shapeId="0" xr:uid="{00000000-0006-0000-0000-0000B8040000}">
      <text>
        <r>
          <rPr>
            <sz val="10"/>
            <color rgb="FF000000"/>
            <rFont val="Arial"/>
            <scheme val="minor"/>
          </rPr>
          <t>Updated on 20-Jan-2025 08:18 AM</t>
        </r>
      </text>
    </comment>
    <comment ref="G1007" authorId="0" shapeId="0" xr:uid="{00000000-0006-0000-0000-0000B9040000}">
      <text>
        <r>
          <rPr>
            <sz val="10"/>
            <color rgb="FF000000"/>
            <rFont val="Arial"/>
            <scheme val="minor"/>
          </rPr>
          <t>Updated on 20-Jan-2025 08:18 AM</t>
        </r>
      </text>
    </comment>
    <comment ref="H1007" authorId="0" shapeId="0" xr:uid="{00000000-0006-0000-0000-0000BA040000}">
      <text>
        <r>
          <rPr>
            <sz val="10"/>
            <color rgb="FF000000"/>
            <rFont val="Arial"/>
            <scheme val="minor"/>
          </rPr>
          <t>Updated on 20-Jan-2025 08:18 AM</t>
        </r>
      </text>
    </comment>
    <comment ref="F1008" authorId="0" shapeId="0" xr:uid="{00000000-0006-0000-0000-0000BB040000}">
      <text>
        <r>
          <rPr>
            <sz val="10"/>
            <color rgb="FF000000"/>
            <rFont val="Arial"/>
            <scheme val="minor"/>
          </rPr>
          <t>Updated on 21-Jan-2025 02:53 PM</t>
        </r>
      </text>
    </comment>
    <comment ref="G1008" authorId="0" shapeId="0" xr:uid="{00000000-0006-0000-0000-0000BC040000}">
      <text>
        <r>
          <rPr>
            <sz val="10"/>
            <color rgb="FF000000"/>
            <rFont val="Arial"/>
            <scheme val="minor"/>
          </rPr>
          <t>Updated on 21-Jan-2025 02:53 PM</t>
        </r>
      </text>
    </comment>
    <comment ref="H1008" authorId="0" shapeId="0" xr:uid="{00000000-0006-0000-0000-0000BD040000}">
      <text>
        <r>
          <rPr>
            <sz val="10"/>
            <color rgb="FF000000"/>
            <rFont val="Arial"/>
            <scheme val="minor"/>
          </rPr>
          <t>Updated on 21-Jan-2025 02:53 PM</t>
        </r>
      </text>
    </comment>
    <comment ref="F1009" authorId="0" shapeId="0" xr:uid="{00000000-0006-0000-0000-0000BE040000}">
      <text>
        <r>
          <rPr>
            <sz val="10"/>
            <color rgb="FF000000"/>
            <rFont val="Arial"/>
            <scheme val="minor"/>
          </rPr>
          <t>Updated on 21-Jan-2025 02:54 PM</t>
        </r>
      </text>
    </comment>
    <comment ref="G1009" authorId="0" shapeId="0" xr:uid="{00000000-0006-0000-0000-0000BF040000}">
      <text>
        <r>
          <rPr>
            <sz val="10"/>
            <color rgb="FF000000"/>
            <rFont val="Arial"/>
            <scheme val="minor"/>
          </rPr>
          <t>Updated on 21-Jan-2025 02:54 PM</t>
        </r>
      </text>
    </comment>
    <comment ref="H1009" authorId="0" shapeId="0" xr:uid="{00000000-0006-0000-0000-0000C0040000}">
      <text>
        <r>
          <rPr>
            <sz val="10"/>
            <color rgb="FF000000"/>
            <rFont val="Arial"/>
            <scheme val="minor"/>
          </rPr>
          <t>Updated on 21-Jan-2025 02:54 PM</t>
        </r>
      </text>
    </comment>
    <comment ref="F1010" authorId="0" shapeId="0" xr:uid="{00000000-0006-0000-0000-0000C1040000}">
      <text>
        <r>
          <rPr>
            <sz val="10"/>
            <color rgb="FF000000"/>
            <rFont val="Arial"/>
            <scheme val="minor"/>
          </rPr>
          <t>Updated on 21-Jan-2025 02:55 PM</t>
        </r>
      </text>
    </comment>
    <comment ref="G1010" authorId="0" shapeId="0" xr:uid="{00000000-0006-0000-0000-0000C2040000}">
      <text>
        <r>
          <rPr>
            <sz val="10"/>
            <color rgb="FF000000"/>
            <rFont val="Arial"/>
            <scheme val="minor"/>
          </rPr>
          <t>Updated on 21-Jan-2025 02:55 PM</t>
        </r>
      </text>
    </comment>
    <comment ref="H1010" authorId="0" shapeId="0" xr:uid="{00000000-0006-0000-0000-0000C3040000}">
      <text>
        <r>
          <rPr>
            <sz val="10"/>
            <color rgb="FF000000"/>
            <rFont val="Arial"/>
            <scheme val="minor"/>
          </rPr>
          <t>Updated on 21-Jan-2025 02:55 PM</t>
        </r>
      </text>
    </comment>
    <comment ref="F1011" authorId="0" shapeId="0" xr:uid="{00000000-0006-0000-0000-0000C4040000}">
      <text>
        <r>
          <rPr>
            <sz val="10"/>
            <color rgb="FF000000"/>
            <rFont val="Arial"/>
            <scheme val="minor"/>
          </rPr>
          <t>Updated on 21-Jan-2025 02:56 PM</t>
        </r>
      </text>
    </comment>
    <comment ref="G1011" authorId="0" shapeId="0" xr:uid="{00000000-0006-0000-0000-0000C5040000}">
      <text>
        <r>
          <rPr>
            <sz val="10"/>
            <color rgb="FF000000"/>
            <rFont val="Arial"/>
            <scheme val="minor"/>
          </rPr>
          <t>Updated on 21-Jan-2025 02:56 PM</t>
        </r>
      </text>
    </comment>
    <comment ref="H1011" authorId="0" shapeId="0" xr:uid="{00000000-0006-0000-0000-0000C6040000}">
      <text>
        <r>
          <rPr>
            <sz val="10"/>
            <color rgb="FF000000"/>
            <rFont val="Arial"/>
            <scheme val="minor"/>
          </rPr>
          <t>Updated on 21-Jan-2025 02:56 PM</t>
        </r>
      </text>
    </comment>
    <comment ref="F1012" authorId="0" shapeId="0" xr:uid="{00000000-0006-0000-0000-0000C7040000}">
      <text>
        <r>
          <rPr>
            <sz val="10"/>
            <color rgb="FF000000"/>
            <rFont val="Arial"/>
            <scheme val="minor"/>
          </rPr>
          <t>Updated on 21-Jan-2025 02:56 PM</t>
        </r>
      </text>
    </comment>
    <comment ref="G1012" authorId="0" shapeId="0" xr:uid="{00000000-0006-0000-0000-0000C8040000}">
      <text>
        <r>
          <rPr>
            <sz val="10"/>
            <color rgb="FF000000"/>
            <rFont val="Arial"/>
            <scheme val="minor"/>
          </rPr>
          <t>Updated on 21-Jan-2025 02:56 PM</t>
        </r>
      </text>
    </comment>
    <comment ref="H1012" authorId="0" shapeId="0" xr:uid="{00000000-0006-0000-0000-0000C9040000}">
      <text>
        <r>
          <rPr>
            <sz val="10"/>
            <color rgb="FF000000"/>
            <rFont val="Arial"/>
            <scheme val="minor"/>
          </rPr>
          <t>Updated on 21-Jan-2025 02:56 PM</t>
        </r>
      </text>
    </comment>
    <comment ref="F1013" authorId="0" shapeId="0" xr:uid="{00000000-0006-0000-0000-0000CA040000}">
      <text>
        <r>
          <rPr>
            <sz val="10"/>
            <color rgb="FF000000"/>
            <rFont val="Arial"/>
            <scheme val="minor"/>
          </rPr>
          <t>Updated on 21-Jan-2025 02:57 PM</t>
        </r>
      </text>
    </comment>
    <comment ref="G1013" authorId="0" shapeId="0" xr:uid="{00000000-0006-0000-0000-0000CB040000}">
      <text>
        <r>
          <rPr>
            <sz val="10"/>
            <color rgb="FF000000"/>
            <rFont val="Arial"/>
            <scheme val="minor"/>
          </rPr>
          <t>Updated on 21-Jan-2025 02:57 PM</t>
        </r>
      </text>
    </comment>
    <comment ref="H1013" authorId="0" shapeId="0" xr:uid="{00000000-0006-0000-0000-0000CC040000}">
      <text>
        <r>
          <rPr>
            <sz val="10"/>
            <color rgb="FF000000"/>
            <rFont val="Arial"/>
            <scheme val="minor"/>
          </rPr>
          <t>Updated on 21-Jan-2025 02:57 PM</t>
        </r>
      </text>
    </comment>
    <comment ref="F1014" authorId="0" shapeId="0" xr:uid="{00000000-0006-0000-0000-0000CD040000}">
      <text>
        <r>
          <rPr>
            <sz val="10"/>
            <color rgb="FF000000"/>
            <rFont val="Arial"/>
            <scheme val="minor"/>
          </rPr>
          <t>Updated on 21-Jan-2025 02:58 PM</t>
        </r>
      </text>
    </comment>
    <comment ref="G1014" authorId="0" shapeId="0" xr:uid="{00000000-0006-0000-0000-0000CE040000}">
      <text>
        <r>
          <rPr>
            <sz val="10"/>
            <color rgb="FF000000"/>
            <rFont val="Arial"/>
            <scheme val="minor"/>
          </rPr>
          <t>Updated on 21-Jan-2025 02:57 PM</t>
        </r>
      </text>
    </comment>
    <comment ref="H1014" authorId="0" shapeId="0" xr:uid="{00000000-0006-0000-0000-0000CF040000}">
      <text>
        <r>
          <rPr>
            <sz val="10"/>
            <color rgb="FF000000"/>
            <rFont val="Arial"/>
            <scheme val="minor"/>
          </rPr>
          <t>Updated on 21-Jan-2025 02:57 PM</t>
        </r>
      </text>
    </comment>
    <comment ref="F1015" authorId="0" shapeId="0" xr:uid="{00000000-0006-0000-0000-0000D0040000}">
      <text>
        <r>
          <rPr>
            <sz val="10"/>
            <color rgb="FF000000"/>
            <rFont val="Arial"/>
            <scheme val="minor"/>
          </rPr>
          <t>Updated on 21-Jan-2025 02:58 PM</t>
        </r>
      </text>
    </comment>
    <comment ref="G1015" authorId="0" shapeId="0" xr:uid="{00000000-0006-0000-0000-0000D1040000}">
      <text>
        <r>
          <rPr>
            <sz val="10"/>
            <color rgb="FF000000"/>
            <rFont val="Arial"/>
            <scheme val="minor"/>
          </rPr>
          <t>Updated on 21-Jan-2025 02:58 PM</t>
        </r>
      </text>
    </comment>
    <comment ref="H1015" authorId="0" shapeId="0" xr:uid="{00000000-0006-0000-0000-0000D2040000}">
      <text>
        <r>
          <rPr>
            <sz val="10"/>
            <color rgb="FF000000"/>
            <rFont val="Arial"/>
            <scheme val="minor"/>
          </rPr>
          <t>Updated on 21-Jan-2025 02:58 PM</t>
        </r>
      </text>
    </comment>
    <comment ref="F1016" authorId="0" shapeId="0" xr:uid="{00000000-0006-0000-0000-0000D3040000}">
      <text>
        <r>
          <rPr>
            <sz val="10"/>
            <color rgb="FF000000"/>
            <rFont val="Arial"/>
            <scheme val="minor"/>
          </rPr>
          <t>Updated on 21-Jan-2025 02:59 PM</t>
        </r>
      </text>
    </comment>
    <comment ref="G1016" authorId="0" shapeId="0" xr:uid="{00000000-0006-0000-0000-0000D4040000}">
      <text>
        <r>
          <rPr>
            <sz val="10"/>
            <color rgb="FF000000"/>
            <rFont val="Arial"/>
            <scheme val="minor"/>
          </rPr>
          <t>Updated on 21-Jan-2025 02:59 PM</t>
        </r>
      </text>
    </comment>
    <comment ref="H1016" authorId="0" shapeId="0" xr:uid="{00000000-0006-0000-0000-0000D5040000}">
      <text>
        <r>
          <rPr>
            <sz val="10"/>
            <color rgb="FF000000"/>
            <rFont val="Arial"/>
            <scheme val="minor"/>
          </rPr>
          <t>Updated on 21-Jan-2025 02:59 PM</t>
        </r>
      </text>
    </comment>
    <comment ref="F1017" authorId="0" shapeId="0" xr:uid="{00000000-0006-0000-0000-0000D6040000}">
      <text>
        <r>
          <rPr>
            <sz val="10"/>
            <color rgb="FF000000"/>
            <rFont val="Arial"/>
            <scheme val="minor"/>
          </rPr>
          <t>Updated on 21-Jan-2025 02:59 PM</t>
        </r>
      </text>
    </comment>
    <comment ref="G1017" authorId="0" shapeId="0" xr:uid="{00000000-0006-0000-0000-0000D7040000}">
      <text>
        <r>
          <rPr>
            <sz val="10"/>
            <color rgb="FF000000"/>
            <rFont val="Arial"/>
            <scheme val="minor"/>
          </rPr>
          <t>Updated on 21-Jan-2025 02:59 PM</t>
        </r>
      </text>
    </comment>
    <comment ref="H1017" authorId="0" shapeId="0" xr:uid="{00000000-0006-0000-0000-0000D8040000}">
      <text>
        <r>
          <rPr>
            <sz val="10"/>
            <color rgb="FF000000"/>
            <rFont val="Arial"/>
            <scheme val="minor"/>
          </rPr>
          <t>Updated on 21-Jan-2025 02:59 PM</t>
        </r>
      </text>
    </comment>
    <comment ref="F1018" authorId="0" shapeId="0" xr:uid="{00000000-0006-0000-0000-0000D9040000}">
      <text>
        <r>
          <rPr>
            <sz val="10"/>
            <color rgb="FF000000"/>
            <rFont val="Arial"/>
            <scheme val="minor"/>
          </rPr>
          <t>Updated on 21-Jan-2025 03:01 PM</t>
        </r>
      </text>
    </comment>
    <comment ref="G1018" authorId="0" shapeId="0" xr:uid="{00000000-0006-0000-0000-0000DA040000}">
      <text>
        <r>
          <rPr>
            <sz val="10"/>
            <color rgb="FF000000"/>
            <rFont val="Arial"/>
            <scheme val="minor"/>
          </rPr>
          <t>Updated on 21-Jan-2025 03:01 PM</t>
        </r>
      </text>
    </comment>
    <comment ref="H1018" authorId="0" shapeId="0" xr:uid="{00000000-0006-0000-0000-0000DB040000}">
      <text>
        <r>
          <rPr>
            <sz val="10"/>
            <color rgb="FF000000"/>
            <rFont val="Arial"/>
            <scheme val="minor"/>
          </rPr>
          <t>Updated on 21-Jan-2025 03:01 PM</t>
        </r>
      </text>
    </comment>
    <comment ref="F1019" authorId="0" shapeId="0" xr:uid="{00000000-0006-0000-0000-0000DC040000}">
      <text>
        <r>
          <rPr>
            <sz val="10"/>
            <color rgb="FF000000"/>
            <rFont val="Arial"/>
            <scheme val="minor"/>
          </rPr>
          <t>Updated on 21-Jan-2025 03:01 PM</t>
        </r>
      </text>
    </comment>
    <comment ref="G1019" authorId="0" shapeId="0" xr:uid="{00000000-0006-0000-0000-0000DD040000}">
      <text>
        <r>
          <rPr>
            <sz val="10"/>
            <color rgb="FF000000"/>
            <rFont val="Arial"/>
            <scheme val="minor"/>
          </rPr>
          <t>Updated on 21-Jan-2025 03:01 PM</t>
        </r>
      </text>
    </comment>
    <comment ref="H1019" authorId="0" shapeId="0" xr:uid="{00000000-0006-0000-0000-0000DE040000}">
      <text>
        <r>
          <rPr>
            <sz val="10"/>
            <color rgb="FF000000"/>
            <rFont val="Arial"/>
            <scheme val="minor"/>
          </rPr>
          <t>Updated on 21-Jan-2025 03:01 PM</t>
        </r>
      </text>
    </comment>
    <comment ref="F1020" authorId="0" shapeId="0" xr:uid="{00000000-0006-0000-0000-0000DF040000}">
      <text>
        <r>
          <rPr>
            <sz val="10"/>
            <color rgb="FF000000"/>
            <rFont val="Arial"/>
            <scheme val="minor"/>
          </rPr>
          <t>Updated on 21-Jan-2025 03:02 PM</t>
        </r>
      </text>
    </comment>
    <comment ref="G1020" authorId="0" shapeId="0" xr:uid="{00000000-0006-0000-0000-0000E0040000}">
      <text>
        <r>
          <rPr>
            <sz val="10"/>
            <color rgb="FF000000"/>
            <rFont val="Arial"/>
            <scheme val="minor"/>
          </rPr>
          <t>Updated on 21-Jan-2025 03:02 PM</t>
        </r>
      </text>
    </comment>
    <comment ref="H1020" authorId="0" shapeId="0" xr:uid="{00000000-0006-0000-0000-0000E1040000}">
      <text>
        <r>
          <rPr>
            <sz val="10"/>
            <color rgb="FF000000"/>
            <rFont val="Arial"/>
            <scheme val="minor"/>
          </rPr>
          <t>Updated on 21-Jan-2025 03:02 PM</t>
        </r>
      </text>
    </comment>
    <comment ref="F1021" authorId="0" shapeId="0" xr:uid="{00000000-0006-0000-0000-0000E2040000}">
      <text>
        <r>
          <rPr>
            <sz val="10"/>
            <color rgb="FF000000"/>
            <rFont val="Arial"/>
            <scheme val="minor"/>
          </rPr>
          <t>Updated on 21-Jan-2025 03:02 PM</t>
        </r>
      </text>
    </comment>
    <comment ref="G1021" authorId="0" shapeId="0" xr:uid="{00000000-0006-0000-0000-0000E3040000}">
      <text>
        <r>
          <rPr>
            <sz val="10"/>
            <color rgb="FF000000"/>
            <rFont val="Arial"/>
            <scheme val="minor"/>
          </rPr>
          <t>Updated on 21-Jan-2025 03:02 PM</t>
        </r>
      </text>
    </comment>
    <comment ref="H1021" authorId="0" shapeId="0" xr:uid="{00000000-0006-0000-0000-0000E4040000}">
      <text>
        <r>
          <rPr>
            <sz val="10"/>
            <color rgb="FF000000"/>
            <rFont val="Arial"/>
            <scheme val="minor"/>
          </rPr>
          <t>Updated on 21-Jan-2025 03:02 PM</t>
        </r>
      </text>
    </comment>
    <comment ref="F1022" authorId="0" shapeId="0" xr:uid="{00000000-0006-0000-0000-0000E5040000}">
      <text>
        <r>
          <rPr>
            <sz val="10"/>
            <color rgb="FF000000"/>
            <rFont val="Arial"/>
            <scheme val="minor"/>
          </rPr>
          <t>Updated on 21-Jan-2025 03:04 PM</t>
        </r>
      </text>
    </comment>
    <comment ref="G1022" authorId="0" shapeId="0" xr:uid="{00000000-0006-0000-0000-0000E6040000}">
      <text>
        <r>
          <rPr>
            <sz val="10"/>
            <color rgb="FF000000"/>
            <rFont val="Arial"/>
            <scheme val="minor"/>
          </rPr>
          <t>Updated on 21-Jan-2025 03:04 PM</t>
        </r>
      </text>
    </comment>
    <comment ref="H1022" authorId="0" shapeId="0" xr:uid="{00000000-0006-0000-0000-0000E7040000}">
      <text>
        <r>
          <rPr>
            <sz val="10"/>
            <color rgb="FF000000"/>
            <rFont val="Arial"/>
            <scheme val="minor"/>
          </rPr>
          <t>Updated on 21-Jan-2025 03:04 PM</t>
        </r>
      </text>
    </comment>
    <comment ref="F1023" authorId="0" shapeId="0" xr:uid="{00000000-0006-0000-0000-0000E8040000}">
      <text>
        <r>
          <rPr>
            <sz val="10"/>
            <color rgb="FF000000"/>
            <rFont val="Arial"/>
            <scheme val="minor"/>
          </rPr>
          <t>Updated on 21-Jan-2025 03:06 PM</t>
        </r>
      </text>
    </comment>
    <comment ref="G1023" authorId="0" shapeId="0" xr:uid="{00000000-0006-0000-0000-0000E9040000}">
      <text>
        <r>
          <rPr>
            <sz val="10"/>
            <color rgb="FF000000"/>
            <rFont val="Arial"/>
            <scheme val="minor"/>
          </rPr>
          <t>Updated on 21-Jan-2025 03:06 PM</t>
        </r>
      </text>
    </comment>
    <comment ref="H1023" authorId="0" shapeId="0" xr:uid="{00000000-0006-0000-0000-0000EA040000}">
      <text>
        <r>
          <rPr>
            <sz val="10"/>
            <color rgb="FF000000"/>
            <rFont val="Arial"/>
            <scheme val="minor"/>
          </rPr>
          <t>Updated on 21-Jan-2025 03:06 PM</t>
        </r>
      </text>
    </comment>
    <comment ref="F1024" authorId="0" shapeId="0" xr:uid="{00000000-0006-0000-0000-0000EB040000}">
      <text>
        <r>
          <rPr>
            <sz val="10"/>
            <color rgb="FF000000"/>
            <rFont val="Arial"/>
            <scheme val="minor"/>
          </rPr>
          <t>Updated on 21-Jan-2025 03:07 PM</t>
        </r>
      </text>
    </comment>
    <comment ref="G1024" authorId="0" shapeId="0" xr:uid="{00000000-0006-0000-0000-0000EC040000}">
      <text>
        <r>
          <rPr>
            <sz val="10"/>
            <color rgb="FF000000"/>
            <rFont val="Arial"/>
            <scheme val="minor"/>
          </rPr>
          <t>Updated on 21-Jan-2025 03:07 PM</t>
        </r>
      </text>
    </comment>
    <comment ref="H1024" authorId="0" shapeId="0" xr:uid="{00000000-0006-0000-0000-0000ED040000}">
      <text>
        <r>
          <rPr>
            <sz val="10"/>
            <color rgb="FF000000"/>
            <rFont val="Arial"/>
            <scheme val="minor"/>
          </rPr>
          <t>Updated on 21-Jan-2025 03:07 PM</t>
        </r>
      </text>
    </comment>
    <comment ref="F1025" authorId="0" shapeId="0" xr:uid="{00000000-0006-0000-0000-0000EE040000}">
      <text>
        <r>
          <rPr>
            <sz val="10"/>
            <color rgb="FF000000"/>
            <rFont val="Arial"/>
            <scheme val="minor"/>
          </rPr>
          <t>Updated on 21-Jan-2025 03:08 PM</t>
        </r>
      </text>
    </comment>
    <comment ref="G1025" authorId="0" shapeId="0" xr:uid="{00000000-0006-0000-0000-0000EF040000}">
      <text>
        <r>
          <rPr>
            <sz val="10"/>
            <color rgb="FF000000"/>
            <rFont val="Arial"/>
            <scheme val="minor"/>
          </rPr>
          <t>Updated on 21-Jan-2025 03:08 PM</t>
        </r>
      </text>
    </comment>
    <comment ref="H1025" authorId="0" shapeId="0" xr:uid="{00000000-0006-0000-0000-0000F0040000}">
      <text>
        <r>
          <rPr>
            <sz val="10"/>
            <color rgb="FF000000"/>
            <rFont val="Arial"/>
            <scheme val="minor"/>
          </rPr>
          <t>Updated on 21-Jan-2025 03:08 PM</t>
        </r>
      </text>
    </comment>
    <comment ref="F1026" authorId="0" shapeId="0" xr:uid="{00000000-0006-0000-0000-0000F1040000}">
      <text>
        <r>
          <rPr>
            <sz val="10"/>
            <color rgb="FF000000"/>
            <rFont val="Arial"/>
            <scheme val="minor"/>
          </rPr>
          <t>Updated on 21-Jan-2025 03:09 PM</t>
        </r>
      </text>
    </comment>
    <comment ref="G1026" authorId="0" shapeId="0" xr:uid="{00000000-0006-0000-0000-0000F2040000}">
      <text>
        <r>
          <rPr>
            <sz val="10"/>
            <color rgb="FF000000"/>
            <rFont val="Arial"/>
            <scheme val="minor"/>
          </rPr>
          <t>Updated on 21-Jan-2025 03:09 PM</t>
        </r>
      </text>
    </comment>
    <comment ref="H1026" authorId="0" shapeId="0" xr:uid="{00000000-0006-0000-0000-0000F3040000}">
      <text>
        <r>
          <rPr>
            <sz val="10"/>
            <color rgb="FF000000"/>
            <rFont val="Arial"/>
            <scheme val="minor"/>
          </rPr>
          <t>Updated on 21-Jan-2025 03:09 PM</t>
        </r>
      </text>
    </comment>
    <comment ref="F1027" authorId="0" shapeId="0" xr:uid="{00000000-0006-0000-0000-0000F4040000}">
      <text>
        <r>
          <rPr>
            <sz val="10"/>
            <color rgb="FF000000"/>
            <rFont val="Arial"/>
            <scheme val="minor"/>
          </rPr>
          <t>Updated on 21-Jan-2025 03:09 PM</t>
        </r>
      </text>
    </comment>
    <comment ref="G1027" authorId="0" shapeId="0" xr:uid="{00000000-0006-0000-0000-0000F5040000}">
      <text>
        <r>
          <rPr>
            <sz val="10"/>
            <color rgb="FF000000"/>
            <rFont val="Arial"/>
            <scheme val="minor"/>
          </rPr>
          <t>Updated on 21-Jan-2025 03:09 PM</t>
        </r>
      </text>
    </comment>
    <comment ref="H1027" authorId="0" shapeId="0" xr:uid="{00000000-0006-0000-0000-0000F6040000}">
      <text>
        <r>
          <rPr>
            <sz val="10"/>
            <color rgb="FF000000"/>
            <rFont val="Arial"/>
            <scheme val="minor"/>
          </rPr>
          <t>Updated on 21-Jan-2025 03:09 PM</t>
        </r>
      </text>
    </comment>
    <comment ref="F1028" authorId="0" shapeId="0" xr:uid="{00000000-0006-0000-0000-0000F7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G1028" authorId="0" shapeId="0" xr:uid="{00000000-0006-0000-0000-0000F8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H1028" authorId="0" shapeId="0" xr:uid="{00000000-0006-0000-0000-0000F9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F1029" authorId="0" shapeId="0" xr:uid="{00000000-0006-0000-0000-0000FA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G1029" authorId="0" shapeId="0" xr:uid="{00000000-0006-0000-0000-0000FB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H1029" authorId="0" shapeId="0" xr:uid="{00000000-0006-0000-0000-0000FC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F1030" authorId="0" shapeId="0" xr:uid="{00000000-0006-0000-0000-0000FD040000}">
      <text>
        <r>
          <rPr>
            <sz val="10"/>
            <color rgb="FF000000"/>
            <rFont val="Arial"/>
            <scheme val="minor"/>
          </rPr>
          <t>Updated on 21-Jan-2025 03:11 PM</t>
        </r>
      </text>
    </comment>
    <comment ref="G1030" authorId="0" shapeId="0" xr:uid="{00000000-0006-0000-0000-0000FE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H1030" authorId="0" shapeId="0" xr:uid="{00000000-0006-0000-0000-0000FF040000}">
      <text>
        <r>
          <rPr>
            <sz val="10"/>
            <color rgb="FF000000"/>
            <rFont val="Arial"/>
            <scheme val="minor"/>
          </rPr>
          <t>Updated on 21-Jan-2025 03:10 PM</t>
        </r>
      </text>
    </comment>
    <comment ref="G1031" authorId="0" shapeId="0" xr:uid="{00000000-0006-0000-0000-000000050000}">
      <text>
        <r>
          <rPr>
            <sz val="10"/>
            <color rgb="FF000000"/>
            <rFont val="Arial"/>
            <scheme val="minor"/>
          </rPr>
          <t>Updated on 21-Jan-2025 03:11 PM</t>
        </r>
      </text>
    </comment>
    <comment ref="H1031" authorId="0" shapeId="0" xr:uid="{00000000-0006-0000-0000-000001050000}">
      <text>
        <r>
          <rPr>
            <sz val="10"/>
            <color rgb="FF000000"/>
            <rFont val="Arial"/>
            <scheme val="minor"/>
          </rPr>
          <t>Updated on 21-Jan-2025 03:11 PM</t>
        </r>
      </text>
    </comment>
    <comment ref="G1032" authorId="0" shapeId="0" xr:uid="{00000000-0006-0000-0000-000002050000}">
      <text>
        <r>
          <rPr>
            <sz val="10"/>
            <color rgb="FF000000"/>
            <rFont val="Arial"/>
            <scheme val="minor"/>
          </rPr>
          <t>Updated on 21-Jan-2025 03:12 PM</t>
        </r>
      </text>
    </comment>
    <comment ref="H1032" authorId="0" shapeId="0" xr:uid="{00000000-0006-0000-0000-000003050000}">
      <text>
        <r>
          <rPr>
            <sz val="10"/>
            <color rgb="FF000000"/>
            <rFont val="Arial"/>
            <scheme val="minor"/>
          </rPr>
          <t>Updated on 21-Jan-2025 03:12 PM</t>
        </r>
      </text>
    </comment>
    <comment ref="G1033" authorId="0" shapeId="0" xr:uid="{00000000-0006-0000-0000-000004050000}">
      <text>
        <r>
          <rPr>
            <sz val="10"/>
            <color rgb="FF000000"/>
            <rFont val="Arial"/>
            <scheme val="minor"/>
          </rPr>
          <t>Updated on 21-Jan-2025 03:18 PM</t>
        </r>
      </text>
    </comment>
    <comment ref="H1033" authorId="0" shapeId="0" xr:uid="{00000000-0006-0000-0000-000005050000}">
      <text>
        <r>
          <rPr>
            <sz val="10"/>
            <color rgb="FF000000"/>
            <rFont val="Arial"/>
            <scheme val="minor"/>
          </rPr>
          <t>Updated on 21-Jan-2025 03:18 PM</t>
        </r>
      </text>
    </comment>
    <comment ref="G1034" authorId="0" shapeId="0" xr:uid="{00000000-0006-0000-0000-000006050000}">
      <text>
        <r>
          <rPr>
            <sz val="10"/>
            <color rgb="FF000000"/>
            <rFont val="Arial"/>
            <scheme val="minor"/>
          </rPr>
          <t>Updated on 21-Jan-2025 03:19 PM</t>
        </r>
      </text>
    </comment>
    <comment ref="H1034" authorId="0" shapeId="0" xr:uid="{00000000-0006-0000-0000-000007050000}">
      <text>
        <r>
          <rPr>
            <sz val="10"/>
            <color rgb="FF000000"/>
            <rFont val="Arial"/>
            <scheme val="minor"/>
          </rPr>
          <t>Updated on 21-Jan-2025 03:19 PM</t>
        </r>
      </text>
    </comment>
    <comment ref="G1035" authorId="0" shapeId="0" xr:uid="{00000000-0006-0000-0000-000008050000}">
      <text>
        <r>
          <rPr>
            <sz val="10"/>
            <color rgb="FF000000"/>
            <rFont val="Arial"/>
            <scheme val="minor"/>
          </rPr>
          <t>Updated on 21-Jan-2025 03:19 PM</t>
        </r>
      </text>
    </comment>
    <comment ref="H1035" authorId="0" shapeId="0" xr:uid="{00000000-0006-0000-0000-000009050000}">
      <text>
        <r>
          <rPr>
            <sz val="10"/>
            <color rgb="FF000000"/>
            <rFont val="Arial"/>
            <scheme val="minor"/>
          </rPr>
          <t>Updated on 21-Jan-2025 03:19 PM</t>
        </r>
      </text>
    </comment>
    <comment ref="G1036" authorId="0" shapeId="0" xr:uid="{00000000-0006-0000-0000-00000A050000}">
      <text>
        <r>
          <rPr>
            <sz val="10"/>
            <color rgb="FF000000"/>
            <rFont val="Arial"/>
            <scheme val="minor"/>
          </rPr>
          <t>Updated on 21-Jan-2025 03:21 PM</t>
        </r>
      </text>
    </comment>
    <comment ref="H1036" authorId="0" shapeId="0" xr:uid="{00000000-0006-0000-0000-00000B050000}">
      <text>
        <r>
          <rPr>
            <sz val="10"/>
            <color rgb="FF000000"/>
            <rFont val="Arial"/>
            <scheme val="minor"/>
          </rPr>
          <t>Updated on 21-Jan-2025 03:21 PM</t>
        </r>
      </text>
    </comment>
    <comment ref="G1037" authorId="0" shapeId="0" xr:uid="{00000000-0006-0000-0000-00000C050000}">
      <text>
        <r>
          <rPr>
            <sz val="10"/>
            <color rgb="FF000000"/>
            <rFont val="Arial"/>
            <scheme val="minor"/>
          </rPr>
          <t>Updated on 21-Jan-2025 03:22 PM</t>
        </r>
      </text>
    </comment>
    <comment ref="H1037" authorId="0" shapeId="0" xr:uid="{00000000-0006-0000-0000-00000D050000}">
      <text>
        <r>
          <rPr>
            <sz val="10"/>
            <color rgb="FF000000"/>
            <rFont val="Arial"/>
            <scheme val="minor"/>
          </rPr>
          <t>Updated on 21-Jan-2025 03:22 PM</t>
        </r>
      </text>
    </comment>
    <comment ref="G1038" authorId="0" shapeId="0" xr:uid="{00000000-0006-0000-0000-00000E050000}">
      <text>
        <r>
          <rPr>
            <sz val="10"/>
            <color rgb="FF000000"/>
            <rFont val="Arial"/>
            <scheme val="minor"/>
          </rPr>
          <t>Updated on 21-Jan-2025 03:23 PM</t>
        </r>
      </text>
    </comment>
    <comment ref="H1038" authorId="0" shapeId="0" xr:uid="{00000000-0006-0000-0000-00000F050000}">
      <text>
        <r>
          <rPr>
            <sz val="10"/>
            <color rgb="FF000000"/>
            <rFont val="Arial"/>
            <scheme val="minor"/>
          </rPr>
          <t>Updated on 21-Jan-2025 03:23 PM</t>
        </r>
      </text>
    </comment>
    <comment ref="G1039" authorId="0" shapeId="0" xr:uid="{00000000-0006-0000-0000-000010050000}">
      <text>
        <r>
          <rPr>
            <sz val="10"/>
            <color rgb="FF000000"/>
            <rFont val="Arial"/>
            <scheme val="minor"/>
          </rPr>
          <t>Updated on 21-Jan-2025 03:40 PM</t>
        </r>
      </text>
    </comment>
    <comment ref="H1039" authorId="0" shapeId="0" xr:uid="{00000000-0006-0000-0000-000011050000}">
      <text>
        <r>
          <rPr>
            <sz val="10"/>
            <color rgb="FF000000"/>
            <rFont val="Arial"/>
            <scheme val="minor"/>
          </rPr>
          <t>Updated on 21-Jan-2025 03:40 PM</t>
        </r>
      </text>
    </comment>
    <comment ref="G1040" authorId="0" shapeId="0" xr:uid="{00000000-0006-0000-0000-000012050000}">
      <text>
        <r>
          <rPr>
            <sz val="10"/>
            <color rgb="FF000000"/>
            <rFont val="Arial"/>
            <scheme val="minor"/>
          </rPr>
          <t>Updated on 21-Jan-2025 03:45 PM</t>
        </r>
      </text>
    </comment>
    <comment ref="H1040" authorId="0" shapeId="0" xr:uid="{00000000-0006-0000-0000-000013050000}">
      <text>
        <r>
          <rPr>
            <sz val="10"/>
            <color rgb="FF000000"/>
            <rFont val="Arial"/>
            <scheme val="minor"/>
          </rPr>
          <t>Updated on 21-Jan-2025 03:45 PM</t>
        </r>
      </text>
    </comment>
    <comment ref="G1041" authorId="0" shapeId="0" xr:uid="{00000000-0006-0000-0000-000014050000}">
      <text>
        <r>
          <rPr>
            <sz val="10"/>
            <color rgb="FF000000"/>
            <rFont val="Arial"/>
            <scheme val="minor"/>
          </rPr>
          <t>Updated on 21-Jan-2025 03:45 PM</t>
        </r>
      </text>
    </comment>
    <comment ref="H1041" authorId="0" shapeId="0" xr:uid="{00000000-0006-0000-0000-000015050000}">
      <text>
        <r>
          <rPr>
            <sz val="10"/>
            <color rgb="FF000000"/>
            <rFont val="Arial"/>
            <scheme val="minor"/>
          </rPr>
          <t>Updated on 21-Jan-2025 03:45 PM</t>
        </r>
      </text>
    </comment>
    <comment ref="G1042" authorId="0" shapeId="0" xr:uid="{00000000-0006-0000-0000-000016050000}">
      <text>
        <r>
          <rPr>
            <sz val="10"/>
            <color rgb="FF000000"/>
            <rFont val="Arial"/>
            <scheme val="minor"/>
          </rPr>
          <t>Updated on 21-Jan-2025 03:57 PM</t>
        </r>
      </text>
    </comment>
    <comment ref="H1042" authorId="0" shapeId="0" xr:uid="{00000000-0006-0000-0000-000017050000}">
      <text>
        <r>
          <rPr>
            <sz val="10"/>
            <color rgb="FF000000"/>
            <rFont val="Arial"/>
            <scheme val="minor"/>
          </rPr>
          <t>Updated on 21-Jan-2025 03:57 PM</t>
        </r>
      </text>
    </comment>
    <comment ref="G1043" authorId="0" shapeId="0" xr:uid="{00000000-0006-0000-0000-000018050000}">
      <text>
        <r>
          <rPr>
            <sz val="10"/>
            <color rgb="FF000000"/>
            <rFont val="Arial"/>
            <scheme val="minor"/>
          </rPr>
          <t>Updated on 21-Jan-2025 03:58 PM</t>
        </r>
      </text>
    </comment>
    <comment ref="H1043" authorId="0" shapeId="0" xr:uid="{00000000-0006-0000-0000-000019050000}">
      <text>
        <r>
          <rPr>
            <sz val="10"/>
            <color rgb="FF000000"/>
            <rFont val="Arial"/>
            <scheme val="minor"/>
          </rPr>
          <t>Updated on 21-Jan-2025 03:58 PM</t>
        </r>
      </text>
    </comment>
    <comment ref="G1044" authorId="0" shapeId="0" xr:uid="{00000000-0006-0000-0000-00001A050000}">
      <text>
        <r>
          <rPr>
            <sz val="10"/>
            <color rgb="FF000000"/>
            <rFont val="Arial"/>
            <scheme val="minor"/>
          </rPr>
          <t>Updated on 22-Jan-2025 06:01 AM</t>
        </r>
      </text>
    </comment>
    <comment ref="H1044" authorId="0" shapeId="0" xr:uid="{00000000-0006-0000-0000-00001B050000}">
      <text>
        <r>
          <rPr>
            <sz val="10"/>
            <color rgb="FF000000"/>
            <rFont val="Arial"/>
            <scheme val="minor"/>
          </rPr>
          <t>Updated on 22-Jan-2025 06:01 AM</t>
        </r>
      </text>
    </comment>
    <comment ref="G1045" authorId="0" shapeId="0" xr:uid="{00000000-0006-0000-0000-00001C050000}">
      <text>
        <r>
          <rPr>
            <sz val="10"/>
            <color rgb="FF000000"/>
            <rFont val="Arial"/>
            <scheme val="minor"/>
          </rPr>
          <t>Updated on 22-Jan-2025 06:02 AM</t>
        </r>
      </text>
    </comment>
    <comment ref="H1045" authorId="0" shapeId="0" xr:uid="{00000000-0006-0000-0000-00001D050000}">
      <text>
        <r>
          <rPr>
            <sz val="10"/>
            <color rgb="FF000000"/>
            <rFont val="Arial"/>
            <scheme val="minor"/>
          </rPr>
          <t>Updated on 22-Jan-2025 06:02 AM</t>
        </r>
      </text>
    </comment>
    <comment ref="G1046" authorId="0" shapeId="0" xr:uid="{00000000-0006-0000-0000-00001E050000}">
      <text>
        <r>
          <rPr>
            <sz val="10"/>
            <color rgb="FF000000"/>
            <rFont val="Arial"/>
            <scheme val="minor"/>
          </rPr>
          <t>Updated on 22-Jan-2025 08:27 AM</t>
        </r>
      </text>
    </comment>
    <comment ref="H1046" authorId="0" shapeId="0" xr:uid="{00000000-0006-0000-0000-00001F050000}">
      <text>
        <r>
          <rPr>
            <sz val="10"/>
            <color rgb="FF000000"/>
            <rFont val="Arial"/>
            <scheme val="minor"/>
          </rPr>
          <t>Updated on 22-Jan-2025 08:27 AM</t>
        </r>
      </text>
    </comment>
    <comment ref="G1047" authorId="0" shapeId="0" xr:uid="{00000000-0006-0000-0000-000020050000}">
      <text>
        <r>
          <rPr>
            <sz val="10"/>
            <color rgb="FF000000"/>
            <rFont val="Arial"/>
            <scheme val="minor"/>
          </rPr>
          <t>Updated on 22-Jan-2025 08:29 AM</t>
        </r>
      </text>
    </comment>
    <comment ref="H1047" authorId="0" shapeId="0" xr:uid="{00000000-0006-0000-0000-000021050000}">
      <text>
        <r>
          <rPr>
            <sz val="10"/>
            <color rgb="FF000000"/>
            <rFont val="Arial"/>
            <scheme val="minor"/>
          </rPr>
          <t>Updated on 22-Jan-2025 08:29 AM</t>
        </r>
      </text>
    </comment>
    <comment ref="G1048" authorId="0" shapeId="0" xr:uid="{00000000-0006-0000-0000-000022050000}">
      <text>
        <r>
          <rPr>
            <sz val="10"/>
            <color rgb="FF000000"/>
            <rFont val="Arial"/>
            <scheme val="minor"/>
          </rPr>
          <t>Updated on 22-Jan-2025 09:05 AM</t>
        </r>
      </text>
    </comment>
    <comment ref="H1048" authorId="0" shapeId="0" xr:uid="{00000000-0006-0000-0000-000023050000}">
      <text>
        <r>
          <rPr>
            <sz val="10"/>
            <color rgb="FF000000"/>
            <rFont val="Arial"/>
            <scheme val="minor"/>
          </rPr>
          <t>Updated on 22-Jan-2025 09:05 AM</t>
        </r>
      </text>
    </comment>
    <comment ref="G1049" authorId="0" shapeId="0" xr:uid="{00000000-0006-0000-0000-000024050000}">
      <text>
        <r>
          <rPr>
            <sz val="10"/>
            <color rgb="FF000000"/>
            <rFont val="Arial"/>
            <scheme val="minor"/>
          </rPr>
          <t>Updated on 22-Jan-2025 09:55 AM</t>
        </r>
      </text>
    </comment>
    <comment ref="H1049" authorId="0" shapeId="0" xr:uid="{00000000-0006-0000-0000-000025050000}">
      <text>
        <r>
          <rPr>
            <sz val="10"/>
            <color rgb="FF000000"/>
            <rFont val="Arial"/>
            <scheme val="minor"/>
          </rPr>
          <t>Updated on 22-Jan-2025 09:55 AM</t>
        </r>
      </text>
    </comment>
    <comment ref="G1050" authorId="0" shapeId="0" xr:uid="{00000000-0006-0000-0000-000026050000}">
      <text>
        <r>
          <rPr>
            <sz val="10"/>
            <color rgb="FF000000"/>
            <rFont val="Arial"/>
            <scheme val="minor"/>
          </rPr>
          <t>Updated on 22-Jan-2025 10:19 AM</t>
        </r>
      </text>
    </comment>
    <comment ref="H1050" authorId="0" shapeId="0" xr:uid="{00000000-0006-0000-0000-000027050000}">
      <text>
        <r>
          <rPr>
            <sz val="10"/>
            <color rgb="FF000000"/>
            <rFont val="Arial"/>
            <scheme val="minor"/>
          </rPr>
          <t>Updated on 22-Jan-2025 10:19 AM</t>
        </r>
      </text>
    </comment>
    <comment ref="G1051" authorId="0" shapeId="0" xr:uid="{00000000-0006-0000-0000-000028050000}">
      <text>
        <r>
          <rPr>
            <sz val="10"/>
            <color rgb="FF000000"/>
            <rFont val="Arial"/>
            <scheme val="minor"/>
          </rPr>
          <t>Updated on 22-Jan-2025 10:20 AM</t>
        </r>
      </text>
    </comment>
    <comment ref="H1051" authorId="0" shapeId="0" xr:uid="{00000000-0006-0000-0000-000029050000}">
      <text>
        <r>
          <rPr>
            <sz val="10"/>
            <color rgb="FF000000"/>
            <rFont val="Arial"/>
            <scheme val="minor"/>
          </rPr>
          <t>Updated on 22-Jan-2025 10:20 AM</t>
        </r>
      </text>
    </comment>
    <comment ref="F1052" authorId="0" shapeId="0" xr:uid="{00000000-0006-0000-0000-00002A050000}">
      <text>
        <r>
          <rPr>
            <sz val="10"/>
            <color rgb="FF000000"/>
            <rFont val="Arial"/>
            <scheme val="minor"/>
          </rPr>
          <t>Updated on 04-Feb-2025 07:23 AM by bpsdemak3321@gmail.com</t>
        </r>
      </text>
    </comment>
    <comment ref="G1052" authorId="0" shapeId="0" xr:uid="{00000000-0006-0000-0000-00002B050000}">
      <text>
        <r>
          <rPr>
            <sz val="10"/>
            <color rgb="FF000000"/>
            <rFont val="Arial"/>
            <scheme val="minor"/>
          </rPr>
          <t>Updated on 04-Feb-2025 07:23 AM by bpsdemak3321@gmail.com</t>
        </r>
      </text>
    </comment>
    <comment ref="H1052" authorId="0" shapeId="0" xr:uid="{00000000-0006-0000-0000-00002C050000}">
      <text>
        <r>
          <rPr>
            <sz val="10"/>
            <color rgb="FF000000"/>
            <rFont val="Arial"/>
            <scheme val="minor"/>
          </rPr>
          <t>Updated on 04-Feb-2025 07:23 AM by bpsdemak3321@gmail.com</t>
        </r>
      </text>
    </comment>
    <comment ref="F1053" authorId="0" shapeId="0" xr:uid="{00000000-0006-0000-0000-00002D050000}">
      <text>
        <r>
          <rPr>
            <sz val="10"/>
            <color rgb="FF000000"/>
            <rFont val="Arial"/>
            <scheme val="minor"/>
          </rPr>
          <t>Updated on 04-Feb-2025 07:56 AM by bpsdemak3321@gmail.com</t>
        </r>
      </text>
    </comment>
    <comment ref="G1053" authorId="0" shapeId="0" xr:uid="{00000000-0006-0000-0000-00002E050000}">
      <text>
        <r>
          <rPr>
            <sz val="10"/>
            <color rgb="FF000000"/>
            <rFont val="Arial"/>
            <scheme val="minor"/>
          </rPr>
          <t>Updated on 04-Feb-2025 07:56 AM by bpsdemak3321@gmail.com</t>
        </r>
      </text>
    </comment>
    <comment ref="H1053" authorId="0" shapeId="0" xr:uid="{00000000-0006-0000-0000-00002F050000}">
      <text>
        <r>
          <rPr>
            <sz val="10"/>
            <color rgb="FF000000"/>
            <rFont val="Arial"/>
            <scheme val="minor"/>
          </rPr>
          <t>Updated on 04-Feb-2025 07:56 AM by bpsdemak3321@gmail.com</t>
        </r>
      </text>
    </comment>
    <comment ref="F1054" authorId="0" shapeId="0" xr:uid="{00000000-0006-0000-0000-000030050000}">
      <text>
        <r>
          <rPr>
            <sz val="10"/>
            <color rgb="FF000000"/>
            <rFont val="Arial"/>
            <scheme val="minor"/>
          </rPr>
          <t>Updated on 04-Feb-2025 08:04 AM by bpsdemak3321@gmail.com</t>
        </r>
      </text>
    </comment>
    <comment ref="G1054" authorId="0" shapeId="0" xr:uid="{00000000-0006-0000-0000-000031050000}">
      <text>
        <r>
          <rPr>
            <sz val="10"/>
            <color rgb="FF000000"/>
            <rFont val="Arial"/>
            <scheme val="minor"/>
          </rPr>
          <t>Updated on 04-Feb-2025 08:04 AM by bpsdemak3321@gmail.com</t>
        </r>
      </text>
    </comment>
    <comment ref="H1054" authorId="0" shapeId="0" xr:uid="{00000000-0006-0000-0000-000032050000}">
      <text>
        <r>
          <rPr>
            <sz val="10"/>
            <color rgb="FF000000"/>
            <rFont val="Arial"/>
            <scheme val="minor"/>
          </rPr>
          <t>Updated on 04-Feb-2025 08:04 AM by bpsdemak3321@gmail.com</t>
        </r>
      </text>
    </comment>
    <comment ref="F1055" authorId="0" shapeId="0" xr:uid="{00000000-0006-0000-0000-000033050000}">
      <text>
        <r>
          <rPr>
            <sz val="10"/>
            <color rgb="FF000000"/>
            <rFont val="Arial"/>
            <scheme val="minor"/>
          </rPr>
          <t>Updated on 12-Feb-2025 07:54 AM by bpsdemak3321@gmail.com</t>
        </r>
      </text>
    </comment>
    <comment ref="G1055" authorId="0" shapeId="0" xr:uid="{00000000-0006-0000-0000-000034050000}">
      <text>
        <r>
          <rPr>
            <sz val="10"/>
            <color rgb="FF000000"/>
            <rFont val="Arial"/>
            <scheme val="minor"/>
          </rPr>
          <t>Updated on 12-Feb-2025 07:54 AM by bpsdemak3321@gmail.com</t>
        </r>
      </text>
    </comment>
    <comment ref="H1055" authorId="0" shapeId="0" xr:uid="{00000000-0006-0000-0000-000035050000}">
      <text>
        <r>
          <rPr>
            <sz val="10"/>
            <color rgb="FF000000"/>
            <rFont val="Arial"/>
            <scheme val="minor"/>
          </rPr>
          <t>Updated on 12-Feb-2025 07:54 AM by bpsdemak3321@gmail.com</t>
        </r>
      </text>
    </comment>
    <comment ref="F1056" authorId="0" shapeId="0" xr:uid="{00000000-0006-0000-0000-000036050000}">
      <text>
        <r>
          <rPr>
            <sz val="10"/>
            <color rgb="FF000000"/>
            <rFont val="Arial"/>
            <scheme val="minor"/>
          </rPr>
          <t>Updated on 12-Feb-2025 09:03 AM by bpsdemak3321@gmail.com</t>
        </r>
      </text>
    </comment>
    <comment ref="G1056" authorId="0" shapeId="0" xr:uid="{00000000-0006-0000-0000-000037050000}">
      <text>
        <r>
          <rPr>
            <sz val="10"/>
            <color rgb="FF000000"/>
            <rFont val="Arial"/>
            <scheme val="minor"/>
          </rPr>
          <t>Updated on 12-Feb-2025 09:03 AM by bpsdemak3321@gmail.com</t>
        </r>
      </text>
    </comment>
    <comment ref="H1056" authorId="0" shapeId="0" xr:uid="{00000000-0006-0000-0000-000038050000}">
      <text>
        <r>
          <rPr>
            <sz val="10"/>
            <color rgb="FF000000"/>
            <rFont val="Arial"/>
            <scheme val="minor"/>
          </rPr>
          <t>Updated on 12-Feb-2025 09:03 AM by bpsdemak3321@gmail.com</t>
        </r>
      </text>
    </comment>
    <comment ref="F1057" authorId="0" shapeId="0" xr:uid="{00000000-0006-0000-0000-000039050000}">
      <text>
        <r>
          <rPr>
            <sz val="10"/>
            <color rgb="FF000000"/>
            <rFont val="Arial"/>
            <scheme val="minor"/>
          </rPr>
          <t>Updated on 12-Feb-2025 09:31 AM by bpsdemak3321@gmail.com</t>
        </r>
      </text>
    </comment>
    <comment ref="G1057" authorId="0" shapeId="0" xr:uid="{00000000-0006-0000-0000-00003A050000}">
      <text>
        <r>
          <rPr>
            <sz val="10"/>
            <color rgb="FF000000"/>
            <rFont val="Arial"/>
            <scheme val="minor"/>
          </rPr>
          <t>Updated on 12-Feb-2025 09:31 AM by bpsdemak3321@gmail.com</t>
        </r>
      </text>
    </comment>
    <comment ref="H1057" authorId="0" shapeId="0" xr:uid="{00000000-0006-0000-0000-00003B050000}">
      <text>
        <r>
          <rPr>
            <sz val="10"/>
            <color rgb="FF000000"/>
            <rFont val="Arial"/>
            <scheme val="minor"/>
          </rPr>
          <t>Updated on 12-Feb-2025 09:31 AM by bpsdemak3321@gmail.com</t>
        </r>
      </text>
    </comment>
    <comment ref="F1058" authorId="0" shapeId="0" xr:uid="{00000000-0006-0000-0000-00003C050000}">
      <text>
        <r>
          <rPr>
            <sz val="10"/>
            <color rgb="FF000000"/>
            <rFont val="Arial"/>
            <scheme val="minor"/>
          </rPr>
          <t>Updated on 12-Feb-2025 09:32 AM by bpsdemak3321@gmail.com</t>
        </r>
      </text>
    </comment>
    <comment ref="G1058" authorId="0" shapeId="0" xr:uid="{00000000-0006-0000-0000-00003D050000}">
      <text>
        <r>
          <rPr>
            <sz val="10"/>
            <color rgb="FF000000"/>
            <rFont val="Arial"/>
            <scheme val="minor"/>
          </rPr>
          <t>Updated on 12-Feb-2025 09:32 AM by bpsdemak3321@gmail.com</t>
        </r>
      </text>
    </comment>
    <comment ref="H1058" authorId="0" shapeId="0" xr:uid="{00000000-0006-0000-0000-00003E050000}">
      <text>
        <r>
          <rPr>
            <sz val="10"/>
            <color rgb="FF000000"/>
            <rFont val="Arial"/>
            <scheme val="minor"/>
          </rPr>
          <t>Updated on 12-Feb-2025 09:32 AM by bpsdemak3321@gmail.com</t>
        </r>
      </text>
    </comment>
    <comment ref="F1059" authorId="0" shapeId="0" xr:uid="{00000000-0006-0000-0000-00003F050000}">
      <text>
        <r>
          <rPr>
            <sz val="10"/>
            <color rgb="FF000000"/>
            <rFont val="Arial"/>
            <scheme val="minor"/>
          </rPr>
          <t>Updated on 12-Feb-2025 09:33 AM by bpsdemak3321@gmail.com</t>
        </r>
      </text>
    </comment>
    <comment ref="G1059" authorId="0" shapeId="0" xr:uid="{00000000-0006-0000-0000-000040050000}">
      <text>
        <r>
          <rPr>
            <sz val="10"/>
            <color rgb="FF000000"/>
            <rFont val="Arial"/>
            <scheme val="minor"/>
          </rPr>
          <t>Updated on 12-Feb-2025 09:33 AM by bpsdemak3321@gmail.com</t>
        </r>
      </text>
    </comment>
    <comment ref="H1059" authorId="0" shapeId="0" xr:uid="{00000000-0006-0000-0000-000041050000}">
      <text>
        <r>
          <rPr>
            <sz val="10"/>
            <color rgb="FF000000"/>
            <rFont val="Arial"/>
            <scheme val="minor"/>
          </rPr>
          <t>Updated on 12-Feb-2025 09:33 AM by bpsdemak3321@gmail.com</t>
        </r>
      </text>
    </comment>
    <comment ref="F1060" authorId="0" shapeId="0" xr:uid="{00000000-0006-0000-0000-000042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G1060" authorId="0" shapeId="0" xr:uid="{00000000-0006-0000-0000-000043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H1060" authorId="0" shapeId="0" xr:uid="{00000000-0006-0000-0000-000044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F1061" authorId="0" shapeId="0" xr:uid="{00000000-0006-0000-0000-000045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G1061" authorId="0" shapeId="0" xr:uid="{00000000-0006-0000-0000-000046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H1061" authorId="0" shapeId="0" xr:uid="{00000000-0006-0000-0000-000047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F1062" authorId="0" shapeId="0" xr:uid="{00000000-0006-0000-0000-000048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G1062" authorId="0" shapeId="0" xr:uid="{00000000-0006-0000-0000-000049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H1062" authorId="0" shapeId="0" xr:uid="{00000000-0006-0000-0000-00004A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F1063" authorId="0" shapeId="0" xr:uid="{00000000-0006-0000-0000-00004B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G1063" authorId="0" shapeId="0" xr:uid="{00000000-0006-0000-0000-00004C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H1063" authorId="0" shapeId="0" xr:uid="{00000000-0006-0000-0000-00004D050000}">
      <text>
        <r>
          <rPr>
            <sz val="10"/>
            <color rgb="FF000000"/>
            <rFont val="Arial"/>
            <scheme val="minor"/>
          </rPr>
          <t>Updated on 12-Feb-2025 09:35 AM by bpsdemak3321@gmail.com</t>
        </r>
      </text>
    </comment>
    <comment ref="F1064" authorId="0" shapeId="0" xr:uid="{00000000-0006-0000-0000-00004E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G1064" authorId="0" shapeId="0" xr:uid="{00000000-0006-0000-0000-00004F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H1064" authorId="0" shapeId="0" xr:uid="{00000000-0006-0000-0000-000050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F1065" authorId="0" shapeId="0" xr:uid="{00000000-0006-0000-0000-000051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G1065" authorId="0" shapeId="0" xr:uid="{00000000-0006-0000-0000-000052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H1065" authorId="0" shapeId="0" xr:uid="{00000000-0006-0000-0000-000053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F1066" authorId="0" shapeId="0" xr:uid="{00000000-0006-0000-0000-000054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G1066" authorId="0" shapeId="0" xr:uid="{00000000-0006-0000-0000-000055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H1066" authorId="0" shapeId="0" xr:uid="{00000000-0006-0000-0000-000056050000}">
      <text>
        <r>
          <rPr>
            <sz val="10"/>
            <color rgb="FF000000"/>
            <rFont val="Arial"/>
            <scheme val="minor"/>
          </rPr>
          <t>Updated on 12-Feb-2025 09:39 AM by bpsdemak3321@gmail.com</t>
        </r>
      </text>
    </comment>
    <comment ref="F1067" authorId="0" shapeId="0" xr:uid="{00000000-0006-0000-0000-000057050000}">
      <text>
        <r>
          <rPr>
            <sz val="10"/>
            <color rgb="FF000000"/>
            <rFont val="Arial"/>
            <scheme val="minor"/>
          </rPr>
          <t>Updated on 12-Feb-2025 09:40 AM by bpsdemak3321@gmail.com</t>
        </r>
      </text>
    </comment>
    <comment ref="G1067" authorId="0" shapeId="0" xr:uid="{00000000-0006-0000-0000-000058050000}">
      <text>
        <r>
          <rPr>
            <sz val="10"/>
            <color rgb="FF000000"/>
            <rFont val="Arial"/>
            <scheme val="minor"/>
          </rPr>
          <t>Updated on 12-Feb-2025 09:40 AM by bpsdemak3321@gmail.com</t>
        </r>
      </text>
    </comment>
    <comment ref="H1067" authorId="0" shapeId="0" xr:uid="{00000000-0006-0000-0000-000059050000}">
      <text>
        <r>
          <rPr>
            <sz val="10"/>
            <color rgb="FF000000"/>
            <rFont val="Arial"/>
            <scheme val="minor"/>
          </rPr>
          <t>Updated on 12-Feb-2025 09:40 AM by bpsdemak3321@gmail.com</t>
        </r>
      </text>
    </comment>
    <comment ref="F1068" authorId="0" shapeId="0" xr:uid="{00000000-0006-0000-0000-00005A050000}">
      <text>
        <r>
          <rPr>
            <sz val="10"/>
            <color rgb="FF000000"/>
            <rFont val="Arial"/>
            <scheme val="minor"/>
          </rPr>
          <t>Updated on 12-Feb-2025 09:40 AM by bpsdemak3321@gmail.com</t>
        </r>
      </text>
    </comment>
    <comment ref="G1068" authorId="0" shapeId="0" xr:uid="{00000000-0006-0000-0000-00005B050000}">
      <text>
        <r>
          <rPr>
            <sz val="10"/>
            <color rgb="FF000000"/>
            <rFont val="Arial"/>
            <scheme val="minor"/>
          </rPr>
          <t>Updated on 12-Feb-2025 09:40 AM by bpsdemak3321@gmail.com</t>
        </r>
      </text>
    </comment>
    <comment ref="H1068" authorId="0" shapeId="0" xr:uid="{00000000-0006-0000-0000-00005C050000}">
      <text>
        <r>
          <rPr>
            <sz val="10"/>
            <color rgb="FF000000"/>
            <rFont val="Arial"/>
            <scheme val="minor"/>
          </rPr>
          <t>Updated on 12-Feb-2025 09:40 AM by bpsdemak3321@gmail.com</t>
        </r>
      </text>
    </comment>
    <comment ref="F1069" authorId="0" shapeId="0" xr:uid="{00000000-0006-0000-0000-00005D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G1069" authorId="0" shapeId="0" xr:uid="{00000000-0006-0000-0000-00005E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H1069" authorId="0" shapeId="0" xr:uid="{00000000-0006-0000-0000-00005F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F1070" authorId="0" shapeId="0" xr:uid="{00000000-0006-0000-0000-000060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G1070" authorId="0" shapeId="0" xr:uid="{00000000-0006-0000-0000-000061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H1070" authorId="0" shapeId="0" xr:uid="{00000000-0006-0000-0000-000062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F1071" authorId="0" shapeId="0" xr:uid="{00000000-0006-0000-0000-000063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G1071" authorId="0" shapeId="0" xr:uid="{00000000-0006-0000-0000-000064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H1071" authorId="0" shapeId="0" xr:uid="{00000000-0006-0000-0000-000065050000}">
      <text>
        <r>
          <rPr>
            <sz val="10"/>
            <color rgb="FF000000"/>
            <rFont val="Arial"/>
            <scheme val="minor"/>
          </rPr>
          <t>Updated on 12-Feb-2025 09:42 AM by bpsdemak3321@gmail.com</t>
        </r>
      </text>
    </comment>
    <comment ref="F1072" authorId="0" shapeId="0" xr:uid="{00000000-0006-0000-0000-000066050000}">
      <text>
        <r>
          <rPr>
            <sz val="10"/>
            <color rgb="FF000000"/>
            <rFont val="Arial"/>
            <scheme val="minor"/>
          </rPr>
          <t>Updated on 12-Feb-2025 09:43 AM by bpsdemak3321@gmail.com</t>
        </r>
      </text>
    </comment>
    <comment ref="G1072" authorId="0" shapeId="0" xr:uid="{00000000-0006-0000-0000-000067050000}">
      <text>
        <r>
          <rPr>
            <sz val="10"/>
            <color rgb="FF000000"/>
            <rFont val="Arial"/>
            <scheme val="minor"/>
          </rPr>
          <t>Updated on 12-Feb-2025 09:43 AM by bpsdemak3321@gmail.com</t>
        </r>
      </text>
    </comment>
    <comment ref="H1072" authorId="0" shapeId="0" xr:uid="{00000000-0006-0000-0000-000068050000}">
      <text>
        <r>
          <rPr>
            <sz val="10"/>
            <color rgb="FF000000"/>
            <rFont val="Arial"/>
            <scheme val="minor"/>
          </rPr>
          <t>Updated on 12-Feb-2025 09:43 AM by bpsdemak3321@gmail.com</t>
        </r>
      </text>
    </comment>
    <comment ref="F1073" authorId="0" shapeId="0" xr:uid="{00000000-0006-0000-0000-000069050000}">
      <text>
        <r>
          <rPr>
            <sz val="10"/>
            <color rgb="FF000000"/>
            <rFont val="Arial"/>
            <scheme val="minor"/>
          </rPr>
          <t>Updated on 12-Feb-2025 09:43 AM by bpsdemak3321@gmail.com</t>
        </r>
      </text>
    </comment>
    <comment ref="G1073" authorId="0" shapeId="0" xr:uid="{00000000-0006-0000-0000-00006A050000}">
      <text>
        <r>
          <rPr>
            <sz val="10"/>
            <color rgb="FF000000"/>
            <rFont val="Arial"/>
            <scheme val="minor"/>
          </rPr>
          <t>Updated on 12-Feb-2025 09:43 AM by bpsdemak3321@gmail.com</t>
        </r>
      </text>
    </comment>
    <comment ref="H1073" authorId="0" shapeId="0" xr:uid="{00000000-0006-0000-0000-00006B050000}">
      <text>
        <r>
          <rPr>
            <sz val="10"/>
            <color rgb="FF000000"/>
            <rFont val="Arial"/>
            <scheme val="minor"/>
          </rPr>
          <t>Updated on 12-Feb-2025 09:43 AM by bpsdemak3321@gmail.com</t>
        </r>
      </text>
    </comment>
    <comment ref="F1074" authorId="0" shapeId="0" xr:uid="{00000000-0006-0000-0000-00006C050000}">
      <text>
        <r>
          <rPr>
            <sz val="10"/>
            <color rgb="FF000000"/>
            <rFont val="Arial"/>
            <scheme val="minor"/>
          </rPr>
          <t>Updated on 12-Feb-2025 09:49 AM by bpsdemak3321@gmail.com</t>
        </r>
      </text>
    </comment>
    <comment ref="G1074" authorId="0" shapeId="0" xr:uid="{00000000-0006-0000-0000-00006D050000}">
      <text>
        <r>
          <rPr>
            <sz val="10"/>
            <color rgb="FF000000"/>
            <rFont val="Arial"/>
            <scheme val="minor"/>
          </rPr>
          <t>Updated on 12-Feb-2025 09:49 AM by bpsdemak3321@gmail.com</t>
        </r>
      </text>
    </comment>
    <comment ref="H1074" authorId="0" shapeId="0" xr:uid="{00000000-0006-0000-0000-00006E050000}">
      <text>
        <r>
          <rPr>
            <sz val="10"/>
            <color rgb="FF000000"/>
            <rFont val="Arial"/>
            <scheme val="minor"/>
          </rPr>
          <t>Updated on 12-Feb-2025 09:49 AM by bpsdemak3321@gmail.com</t>
        </r>
      </text>
    </comment>
    <comment ref="F1075" authorId="0" shapeId="0" xr:uid="{00000000-0006-0000-0000-00006F050000}">
      <text>
        <r>
          <rPr>
            <sz val="10"/>
            <color rgb="FF000000"/>
            <rFont val="Arial"/>
            <scheme val="minor"/>
          </rPr>
          <t>Updated on 12-Feb-2025 09:50 AM by bpsdemak3321@gmail.com</t>
        </r>
      </text>
    </comment>
    <comment ref="G1075" authorId="0" shapeId="0" xr:uid="{00000000-0006-0000-0000-000070050000}">
      <text>
        <r>
          <rPr>
            <sz val="10"/>
            <color rgb="FF000000"/>
            <rFont val="Arial"/>
            <scheme val="minor"/>
          </rPr>
          <t>Updated on 12-Feb-2025 09:50 AM by bpsdemak3321@gmail.com</t>
        </r>
      </text>
    </comment>
    <comment ref="H1075" authorId="0" shapeId="0" xr:uid="{00000000-0006-0000-0000-000071050000}">
      <text>
        <r>
          <rPr>
            <sz val="10"/>
            <color rgb="FF000000"/>
            <rFont val="Arial"/>
            <scheme val="minor"/>
          </rPr>
          <t>Updated on 12-Feb-2025 09:50 AM by bpsdemak3321@gmail.com</t>
        </r>
      </text>
    </comment>
    <comment ref="F1076" authorId="0" shapeId="0" xr:uid="{00000000-0006-0000-0000-000072050000}">
      <text>
        <r>
          <rPr>
            <sz val="10"/>
            <color rgb="FF000000"/>
            <rFont val="Arial"/>
            <scheme val="minor"/>
          </rPr>
          <t>Updated on 12-Feb-2025 09:52 AM by bpsdemak3321@gmail.com</t>
        </r>
      </text>
    </comment>
    <comment ref="G1076" authorId="0" shapeId="0" xr:uid="{00000000-0006-0000-0000-000073050000}">
      <text>
        <r>
          <rPr>
            <sz val="10"/>
            <color rgb="FF000000"/>
            <rFont val="Arial"/>
            <scheme val="minor"/>
          </rPr>
          <t>Updated on 12-Feb-2025 09:52 AM by bpsdemak3321@gmail.com</t>
        </r>
      </text>
    </comment>
    <comment ref="H1076" authorId="0" shapeId="0" xr:uid="{00000000-0006-0000-0000-000074050000}">
      <text>
        <r>
          <rPr>
            <sz val="10"/>
            <color rgb="FF000000"/>
            <rFont val="Arial"/>
            <scheme val="minor"/>
          </rPr>
          <t>Updated on 12-Feb-2025 09:52 AM by bpsdemak3321@gmail.com</t>
        </r>
      </text>
    </comment>
    <comment ref="F1077" authorId="0" shapeId="0" xr:uid="{00000000-0006-0000-0000-000075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G1077" authorId="0" shapeId="0" xr:uid="{00000000-0006-0000-0000-000076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H1077" authorId="0" shapeId="0" xr:uid="{00000000-0006-0000-0000-000077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F1078" authorId="0" shapeId="0" xr:uid="{00000000-0006-0000-0000-000078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G1078" authorId="0" shapeId="0" xr:uid="{00000000-0006-0000-0000-000079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H1078" authorId="0" shapeId="0" xr:uid="{00000000-0006-0000-0000-00007A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F1079" authorId="0" shapeId="0" xr:uid="{00000000-0006-0000-0000-00007B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G1079" authorId="0" shapeId="0" xr:uid="{00000000-0006-0000-0000-00007C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H1079" authorId="0" shapeId="0" xr:uid="{00000000-0006-0000-0000-00007D050000}">
      <text>
        <r>
          <rPr>
            <sz val="10"/>
            <color rgb="FF000000"/>
            <rFont val="Arial"/>
            <scheme val="minor"/>
          </rPr>
          <t>Updated on 12-Feb-2025 09:53 AM by bpsdemak3321@gmail.com</t>
        </r>
      </text>
    </comment>
    <comment ref="G1080" authorId="0" shapeId="0" xr:uid="{00000000-0006-0000-0000-00007E050000}">
      <text>
        <r>
          <rPr>
            <sz val="10"/>
            <color rgb="FF000000"/>
            <rFont val="Arial"/>
            <scheme val="minor"/>
          </rPr>
          <t>Updated on 12-Feb-2025 09:54 AM by bpsdemak3321@gmail.com</t>
        </r>
      </text>
    </comment>
    <comment ref="H1080" authorId="0" shapeId="0" xr:uid="{00000000-0006-0000-0000-00007F050000}">
      <text>
        <r>
          <rPr>
            <sz val="10"/>
            <color rgb="FF000000"/>
            <rFont val="Arial"/>
            <scheme val="minor"/>
          </rPr>
          <t>Updated on 12-Feb-2025 09:54 AM by bpsdemak3321@gmail.com</t>
        </r>
      </text>
    </comment>
    <comment ref="G1081" authorId="0" shapeId="0" xr:uid="{00000000-0006-0000-0000-000080050000}">
      <text>
        <r>
          <rPr>
            <sz val="10"/>
            <color rgb="FF000000"/>
            <rFont val="Arial"/>
            <scheme val="minor"/>
          </rPr>
          <t>Updated on 12-Feb-2025 09:54 AM by bpsdemak3321@gmail.com</t>
        </r>
      </text>
    </comment>
    <comment ref="H1081" authorId="0" shapeId="0" xr:uid="{00000000-0006-0000-0000-000081050000}">
      <text>
        <r>
          <rPr>
            <sz val="10"/>
            <color rgb="FF000000"/>
            <rFont val="Arial"/>
            <scheme val="minor"/>
          </rPr>
          <t>Updated on 12-Feb-2025 09:54 AM by bpsdemak3321@gmail.com</t>
        </r>
      </text>
    </comment>
    <comment ref="G1082" authorId="0" shapeId="0" xr:uid="{00000000-0006-0000-0000-000082050000}">
      <text>
        <r>
          <rPr>
            <sz val="10"/>
            <color rgb="FF000000"/>
            <rFont val="Arial"/>
            <scheme val="minor"/>
          </rPr>
          <t>Updated on 12-Feb-2025 09:54 AM by bpsdemak3321@gmail.com</t>
        </r>
      </text>
    </comment>
    <comment ref="H1082" authorId="0" shapeId="0" xr:uid="{00000000-0006-0000-0000-000083050000}">
      <text>
        <r>
          <rPr>
            <sz val="10"/>
            <color rgb="FF000000"/>
            <rFont val="Arial"/>
            <scheme val="minor"/>
          </rPr>
          <t>Updated on 12-Feb-2025 09:54 AM by bpsdemak3321@gmail.com</t>
        </r>
      </text>
    </comment>
    <comment ref="G1083" authorId="0" shapeId="0" xr:uid="{00000000-0006-0000-0000-000084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H1083" authorId="0" shapeId="0" xr:uid="{00000000-0006-0000-0000-000085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G1084" authorId="0" shapeId="0" xr:uid="{00000000-0006-0000-0000-000086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H1084" authorId="0" shapeId="0" xr:uid="{00000000-0006-0000-0000-000087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G1085" authorId="0" shapeId="0" xr:uid="{00000000-0006-0000-0000-000088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H1085" authorId="0" shapeId="0" xr:uid="{00000000-0006-0000-0000-000089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G1086" authorId="0" shapeId="0" xr:uid="{00000000-0006-0000-0000-00008A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H1086" authorId="0" shapeId="0" xr:uid="{00000000-0006-0000-0000-00008B050000}">
      <text>
        <r>
          <rPr>
            <sz val="10"/>
            <color rgb="FF000000"/>
            <rFont val="Arial"/>
            <scheme val="minor"/>
          </rPr>
          <t>Updated on 12-Feb-2025 09:55 AM by bpsdemak3321@gmail.com</t>
        </r>
      </text>
    </comment>
    <comment ref="G1087" authorId="0" shapeId="0" xr:uid="{00000000-0006-0000-0000-00008C050000}">
      <text>
        <r>
          <rPr>
            <sz val="10"/>
            <color rgb="FF000000"/>
            <rFont val="Arial"/>
            <scheme val="minor"/>
          </rPr>
          <t>Updated on 12-Feb-2025 09:56 AM by bpsdemak3321@gmail.com</t>
        </r>
      </text>
    </comment>
    <comment ref="H1087" authorId="0" shapeId="0" xr:uid="{00000000-0006-0000-0000-00008D050000}">
      <text>
        <r>
          <rPr>
            <sz val="10"/>
            <color rgb="FF000000"/>
            <rFont val="Arial"/>
            <scheme val="minor"/>
          </rPr>
          <t>Updated on 12-Feb-2025 09:56 AM by bpsdemak3321@gmail.com</t>
        </r>
      </text>
    </comment>
    <comment ref="G1088" authorId="0" shapeId="0" xr:uid="{00000000-0006-0000-0000-00008E050000}">
      <text>
        <r>
          <rPr>
            <sz val="10"/>
            <color rgb="FF000000"/>
            <rFont val="Arial"/>
            <scheme val="minor"/>
          </rPr>
          <t>Updated on 12-Feb-2025 09:56 AM by bpsdemak3321@gmail.com</t>
        </r>
      </text>
    </comment>
    <comment ref="H1088" authorId="0" shapeId="0" xr:uid="{00000000-0006-0000-0000-00008F050000}">
      <text>
        <r>
          <rPr>
            <sz val="10"/>
            <color rgb="FF000000"/>
            <rFont val="Arial"/>
            <scheme val="minor"/>
          </rPr>
          <t>Updated on 12-Feb-2025 09:56 AM by bpsdemak3321@gmail.com</t>
        </r>
      </text>
    </comment>
    <comment ref="G1089" authorId="0" shapeId="0" xr:uid="{00000000-0006-0000-0000-000090050000}">
      <text>
        <r>
          <rPr>
            <sz val="10"/>
            <color rgb="FF000000"/>
            <rFont val="Arial"/>
            <scheme val="minor"/>
          </rPr>
          <t>Updated on 12-Feb-2025 09:56 AM by bpsdemak3321@gmail.com</t>
        </r>
      </text>
    </comment>
    <comment ref="H1089" authorId="0" shapeId="0" xr:uid="{00000000-0006-0000-0000-000091050000}">
      <text>
        <r>
          <rPr>
            <sz val="10"/>
            <color rgb="FF000000"/>
            <rFont val="Arial"/>
            <scheme val="minor"/>
          </rPr>
          <t>Updated on 12-Feb-2025 09:56 AM by bpsdemak3321@gmail.com</t>
        </r>
      </text>
    </comment>
    <comment ref="G1090" authorId="0" shapeId="0" xr:uid="{00000000-0006-0000-0000-000092050000}">
      <text>
        <r>
          <rPr>
            <sz val="10"/>
            <color rgb="FF000000"/>
            <rFont val="Arial"/>
            <scheme val="minor"/>
          </rPr>
          <t>Updated on 12-Feb-2025 09:58 AM by bpsdemak3321@gmail.com</t>
        </r>
      </text>
    </comment>
    <comment ref="H1090" authorId="0" shapeId="0" xr:uid="{00000000-0006-0000-0000-000093050000}">
      <text>
        <r>
          <rPr>
            <sz val="10"/>
            <color rgb="FF000000"/>
            <rFont val="Arial"/>
            <scheme val="minor"/>
          </rPr>
          <t>Updated on 12-Feb-2025 09:58 AM by bpsdemak3321@gmail.com</t>
        </r>
      </text>
    </comment>
    <comment ref="G1091" authorId="0" shapeId="0" xr:uid="{00000000-0006-0000-0000-000094050000}">
      <text>
        <r>
          <rPr>
            <sz val="10"/>
            <color rgb="FF000000"/>
            <rFont val="Arial"/>
            <scheme val="minor"/>
          </rPr>
          <t>Updated on 12-Feb-2025 09:59 AM by bpsdemak3321@gmail.com</t>
        </r>
      </text>
    </comment>
    <comment ref="H1091" authorId="0" shapeId="0" xr:uid="{00000000-0006-0000-0000-000095050000}">
      <text>
        <r>
          <rPr>
            <sz val="10"/>
            <color rgb="FF000000"/>
            <rFont val="Arial"/>
            <scheme val="minor"/>
          </rPr>
          <t>Updated on 12-Feb-2025 09:59 AM by bpsdemak3321@gmail.com</t>
        </r>
      </text>
    </comment>
    <comment ref="G1092" authorId="0" shapeId="0" xr:uid="{00000000-0006-0000-0000-000096050000}">
      <text>
        <r>
          <rPr>
            <sz val="10"/>
            <color rgb="FF000000"/>
            <rFont val="Arial"/>
            <scheme val="minor"/>
          </rPr>
          <t>Updated on 12-Feb-2025 10:01 AM by bpsdemak3321@gmail.com</t>
        </r>
      </text>
    </comment>
    <comment ref="H1092" authorId="0" shapeId="0" xr:uid="{00000000-0006-0000-0000-000097050000}">
      <text>
        <r>
          <rPr>
            <sz val="10"/>
            <color rgb="FF000000"/>
            <rFont val="Arial"/>
            <scheme val="minor"/>
          </rPr>
          <t>Updated on 12-Feb-2025 10:01 AM by bpsdemak3321@gmail.com</t>
        </r>
      </text>
    </comment>
    <comment ref="G1093" authorId="0" shapeId="0" xr:uid="{00000000-0006-0000-0000-000098050000}">
      <text>
        <r>
          <rPr>
            <sz val="10"/>
            <color rgb="FF000000"/>
            <rFont val="Arial"/>
            <scheme val="minor"/>
          </rPr>
          <t>Updated on 12-Feb-2025 10:01 AM by bpsdemak3321@gmail.com</t>
        </r>
      </text>
    </comment>
    <comment ref="H1093" authorId="0" shapeId="0" xr:uid="{00000000-0006-0000-0000-000099050000}">
      <text>
        <r>
          <rPr>
            <sz val="10"/>
            <color rgb="FF000000"/>
            <rFont val="Arial"/>
            <scheme val="minor"/>
          </rPr>
          <t>Updated on 12-Feb-2025 10:01 AM by bpsdemak3321@gmail.com</t>
        </r>
      </text>
    </comment>
    <comment ref="G1094" authorId="0" shapeId="0" xr:uid="{00000000-0006-0000-0000-00009A050000}">
      <text>
        <r>
          <rPr>
            <sz val="10"/>
            <color rgb="FF000000"/>
            <rFont val="Arial"/>
            <scheme val="minor"/>
          </rPr>
          <t>Updated on 12-Feb-2025 10:02 AM by bpsdemak3321@gmail.com</t>
        </r>
      </text>
    </comment>
    <comment ref="H1094" authorId="0" shapeId="0" xr:uid="{00000000-0006-0000-0000-00009B050000}">
      <text>
        <r>
          <rPr>
            <sz val="10"/>
            <color rgb="FF000000"/>
            <rFont val="Arial"/>
            <scheme val="minor"/>
          </rPr>
          <t>Updated on 12-Feb-2025 10:02 AM by bpsdemak3321@gmail.com</t>
        </r>
      </text>
    </comment>
    <comment ref="G1095" authorId="0" shapeId="0" xr:uid="{00000000-0006-0000-0000-00009C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H1095" authorId="0" shapeId="0" xr:uid="{00000000-0006-0000-0000-00009D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G1096" authorId="0" shapeId="0" xr:uid="{00000000-0006-0000-0000-00009E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H1096" authorId="0" shapeId="0" xr:uid="{00000000-0006-0000-0000-00009F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G1097" authorId="0" shapeId="0" xr:uid="{00000000-0006-0000-0000-0000A0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H1097" authorId="0" shapeId="0" xr:uid="{00000000-0006-0000-0000-0000A1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G1098" authorId="0" shapeId="0" xr:uid="{00000000-0006-0000-0000-0000A2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H1098" authorId="0" shapeId="0" xr:uid="{00000000-0006-0000-0000-0000A3050000}">
      <text>
        <r>
          <rPr>
            <sz val="10"/>
            <color rgb="FF000000"/>
            <rFont val="Arial"/>
            <scheme val="minor"/>
          </rPr>
          <t>Updated on 12-Feb-2025 10:03 AM by bpsdemak3321@gmail.com</t>
        </r>
      </text>
    </comment>
    <comment ref="G1099" authorId="0" shapeId="0" xr:uid="{00000000-0006-0000-0000-0000A4050000}">
      <text>
        <r>
          <rPr>
            <sz val="10"/>
            <color rgb="FF000000"/>
            <rFont val="Arial"/>
            <scheme val="minor"/>
          </rPr>
          <t>Updated on 12-Feb-2025 10:04 AM by bpsdemak3321@gmail.com</t>
        </r>
      </text>
    </comment>
    <comment ref="H1099" authorId="0" shapeId="0" xr:uid="{00000000-0006-0000-0000-0000A5050000}">
      <text>
        <r>
          <rPr>
            <sz val="10"/>
            <color rgb="FF000000"/>
            <rFont val="Arial"/>
            <scheme val="minor"/>
          </rPr>
          <t>Updated on 12-Feb-2025 10:04 AM by bpsdemak3321@gmail.com</t>
        </r>
      </text>
    </comment>
    <comment ref="G1100" authorId="0" shapeId="0" xr:uid="{00000000-0006-0000-0000-0000A6050000}">
      <text>
        <r>
          <rPr>
            <sz val="10"/>
            <color rgb="FF000000"/>
            <rFont val="Arial"/>
            <scheme val="minor"/>
          </rPr>
          <t>Updated on 12-Feb-2025 10:04 AM by bpsdemak3321@gmail.com</t>
        </r>
      </text>
    </comment>
    <comment ref="H1100" authorId="0" shapeId="0" xr:uid="{00000000-0006-0000-0000-0000A7050000}">
      <text>
        <r>
          <rPr>
            <sz val="10"/>
            <color rgb="FF000000"/>
            <rFont val="Arial"/>
            <scheme val="minor"/>
          </rPr>
          <t>Updated on 12-Feb-2025 10:04 AM by bpsdemak3321@gmail.com</t>
        </r>
      </text>
    </comment>
    <comment ref="G1101" authorId="0" shapeId="0" xr:uid="{00000000-0006-0000-0000-0000A8050000}">
      <text>
        <r>
          <rPr>
            <sz val="10"/>
            <color rgb="FF000000"/>
            <rFont val="Arial"/>
            <scheme val="minor"/>
          </rPr>
          <t>Updated on 12-Feb-2025 10:04 AM by bpsdemak3321@gmail.com</t>
        </r>
      </text>
    </comment>
    <comment ref="H1101" authorId="0" shapeId="0" xr:uid="{00000000-0006-0000-0000-0000A9050000}">
      <text>
        <r>
          <rPr>
            <sz val="10"/>
            <color rgb="FF000000"/>
            <rFont val="Arial"/>
            <scheme val="minor"/>
          </rPr>
          <t>Updated on 12-Feb-2025 10:04 AM by bpsdemak3321@gmail.com</t>
        </r>
      </text>
    </comment>
    <comment ref="G1102" authorId="0" shapeId="0" xr:uid="{00000000-0006-0000-0000-0000AA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H1102" authorId="0" shapeId="0" xr:uid="{00000000-0006-0000-0000-0000AB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G1103" authorId="0" shapeId="0" xr:uid="{00000000-0006-0000-0000-0000AC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H1103" authorId="0" shapeId="0" xr:uid="{00000000-0006-0000-0000-0000AD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G1104" authorId="0" shapeId="0" xr:uid="{00000000-0006-0000-0000-0000AE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H1104" authorId="0" shapeId="0" xr:uid="{00000000-0006-0000-0000-0000AF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G1105" authorId="0" shapeId="0" xr:uid="{00000000-0006-0000-0000-0000B0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H1105" authorId="0" shapeId="0" xr:uid="{00000000-0006-0000-0000-0000B1050000}">
      <text>
        <r>
          <rPr>
            <sz val="10"/>
            <color rgb="FF000000"/>
            <rFont val="Arial"/>
            <scheme val="minor"/>
          </rPr>
          <t>Updated on 12-Feb-2025 10:05 AM by bpsdemak3321@gmail.com</t>
        </r>
      </text>
    </comment>
    <comment ref="G1106" authorId="0" shapeId="0" xr:uid="{00000000-0006-0000-0000-0000B2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H1106" authorId="0" shapeId="0" xr:uid="{00000000-0006-0000-0000-0000B3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G1107" authorId="0" shapeId="0" xr:uid="{00000000-0006-0000-0000-0000B4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H1107" authorId="0" shapeId="0" xr:uid="{00000000-0006-0000-0000-0000B5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G1108" authorId="0" shapeId="0" xr:uid="{00000000-0006-0000-0000-0000B6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H1108" authorId="0" shapeId="0" xr:uid="{00000000-0006-0000-0000-0000B7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G1109" authorId="0" shapeId="0" xr:uid="{00000000-0006-0000-0000-0000B8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H1109" authorId="0" shapeId="0" xr:uid="{00000000-0006-0000-0000-0000B9050000}">
      <text>
        <r>
          <rPr>
            <sz val="10"/>
            <color rgb="FF000000"/>
            <rFont val="Arial"/>
            <scheme val="minor"/>
          </rPr>
          <t>Updated on 12-Feb-2025 10:06 AM by bpsdemak3321@gmail.com</t>
        </r>
      </text>
    </comment>
    <comment ref="G1110" authorId="0" shapeId="0" xr:uid="{00000000-0006-0000-0000-0000BA050000}">
      <text>
        <r>
          <rPr>
            <sz val="10"/>
            <color rgb="FF000000"/>
            <rFont val="Arial"/>
            <scheme val="minor"/>
          </rPr>
          <t>Updated on 12-Feb-2025 10:07 AM by bpsdemak3321@gmail.com</t>
        </r>
      </text>
    </comment>
    <comment ref="H1110" authorId="0" shapeId="0" xr:uid="{00000000-0006-0000-0000-0000BB050000}">
      <text>
        <r>
          <rPr>
            <sz val="10"/>
            <color rgb="FF000000"/>
            <rFont val="Arial"/>
            <scheme val="minor"/>
          </rPr>
          <t>Updated on 12-Feb-2025 10:07 AM by bpsdemak3321@gmail.com</t>
        </r>
      </text>
    </comment>
    <comment ref="G1111" authorId="0" shapeId="0" xr:uid="{00000000-0006-0000-0000-0000BC050000}">
      <text>
        <r>
          <rPr>
            <sz val="10"/>
            <color rgb="FF000000"/>
            <rFont val="Arial"/>
            <scheme val="minor"/>
          </rPr>
          <t>Updated on 12-Feb-2025 10:08 AM by bpsdemak3321@gmail.com</t>
        </r>
      </text>
    </comment>
    <comment ref="H1111" authorId="0" shapeId="0" xr:uid="{00000000-0006-0000-0000-0000BD050000}">
      <text>
        <r>
          <rPr>
            <sz val="10"/>
            <color rgb="FF000000"/>
            <rFont val="Arial"/>
            <scheme val="minor"/>
          </rPr>
          <t>Updated on 12-Feb-2025 10:08 AM by bpsdemak3321@gmail.com</t>
        </r>
      </text>
    </comment>
    <comment ref="G1112" authorId="0" shapeId="0" xr:uid="{00000000-0006-0000-0000-0000BE050000}">
      <text>
        <r>
          <rPr>
            <sz val="10"/>
            <color rgb="FF000000"/>
            <rFont val="Arial"/>
            <scheme val="minor"/>
          </rPr>
          <t>Updated on 12-Feb-2025 10:08 AM by bpsdemak3321@gmail.com</t>
        </r>
      </text>
    </comment>
    <comment ref="H1112" authorId="0" shapeId="0" xr:uid="{00000000-0006-0000-0000-0000BF050000}">
      <text>
        <r>
          <rPr>
            <sz val="10"/>
            <color rgb="FF000000"/>
            <rFont val="Arial"/>
            <scheme val="minor"/>
          </rPr>
          <t>Updated on 12-Feb-2025 10:08 AM by bpsdemak3321@gmail.com</t>
        </r>
      </text>
    </comment>
    <comment ref="G1113" authorId="0" shapeId="0" xr:uid="{00000000-0006-0000-0000-0000C0050000}">
      <text>
        <r>
          <rPr>
            <sz val="10"/>
            <color rgb="FF000000"/>
            <rFont val="Arial"/>
            <scheme val="minor"/>
          </rPr>
          <t>Updated on 12-Feb-2025 10:17 AM by bpsdemak3321@gmail.com</t>
        </r>
      </text>
    </comment>
    <comment ref="H1113" authorId="0" shapeId="0" xr:uid="{00000000-0006-0000-0000-0000C1050000}">
      <text>
        <r>
          <rPr>
            <sz val="10"/>
            <color rgb="FF000000"/>
            <rFont val="Arial"/>
            <scheme val="minor"/>
          </rPr>
          <t>Updated on 12-Feb-2025 10:17 AM by bpsdemak3321@gmail.com</t>
        </r>
      </text>
    </comment>
    <comment ref="G1114" authorId="0" shapeId="0" xr:uid="{00000000-0006-0000-0000-0000C2050000}">
      <text>
        <r>
          <rPr>
            <sz val="10"/>
            <color rgb="FF000000"/>
            <rFont val="Arial"/>
            <scheme val="minor"/>
          </rPr>
          <t>Updated on 12-Feb-2025 10:18 AM by bpsdemak3321@gmail.com</t>
        </r>
      </text>
    </comment>
    <comment ref="H1114" authorId="0" shapeId="0" xr:uid="{00000000-0006-0000-0000-0000C3050000}">
      <text>
        <r>
          <rPr>
            <sz val="10"/>
            <color rgb="FF000000"/>
            <rFont val="Arial"/>
            <scheme val="minor"/>
          </rPr>
          <t>Updated on 12-Feb-2025 10:18 AM by bpsdemak3321@gmail.com</t>
        </r>
      </text>
    </comment>
    <comment ref="F1115" authorId="0" shapeId="0" xr:uid="{00000000-0006-0000-0000-0000C4050000}">
      <text>
        <r>
          <rPr>
            <sz val="10"/>
            <color rgb="FF000000"/>
            <rFont val="Arial"/>
            <scheme val="minor"/>
          </rPr>
          <t>Updated on 07-Mar-2025 02:13 PM by bpsdemak3321@gmail.com</t>
        </r>
      </text>
    </comment>
    <comment ref="G1115" authorId="0" shapeId="0" xr:uid="{00000000-0006-0000-0000-0000C5050000}">
      <text>
        <r>
          <rPr>
            <sz val="10"/>
            <color rgb="FF000000"/>
            <rFont val="Arial"/>
            <scheme val="minor"/>
          </rPr>
          <t>Updated on 07-Mar-2025 02:13 PM by bpsdemak3321@gmail.com</t>
        </r>
      </text>
    </comment>
    <comment ref="H1115" authorId="0" shapeId="0" xr:uid="{00000000-0006-0000-0000-0000C6050000}">
      <text>
        <r>
          <rPr>
            <sz val="10"/>
            <color rgb="FF000000"/>
            <rFont val="Arial"/>
            <scheme val="minor"/>
          </rPr>
          <t>Updated on 07-Mar-2025 02:13 PM by bpsdemak3321@gmail.com</t>
        </r>
      </text>
    </comment>
    <comment ref="F1116" authorId="0" shapeId="0" xr:uid="{00000000-0006-0000-0000-0000C7050000}">
      <text>
        <r>
          <rPr>
            <sz val="10"/>
            <color rgb="FF000000"/>
            <rFont val="Arial"/>
            <scheme val="minor"/>
          </rPr>
          <t>Updated on 07-Mar-2025 02:16 PM by bpsdemak3321@gmail.com</t>
        </r>
      </text>
    </comment>
    <comment ref="G1116" authorId="0" shapeId="0" xr:uid="{00000000-0006-0000-0000-0000C8050000}">
      <text>
        <r>
          <rPr>
            <sz val="10"/>
            <color rgb="FF000000"/>
            <rFont val="Arial"/>
            <scheme val="minor"/>
          </rPr>
          <t>Updated on 07-Mar-2025 02:16 PM by bpsdemak3321@gmail.com</t>
        </r>
      </text>
    </comment>
    <comment ref="H1116" authorId="0" shapeId="0" xr:uid="{00000000-0006-0000-0000-0000C9050000}">
      <text>
        <r>
          <rPr>
            <sz val="10"/>
            <color rgb="FF000000"/>
            <rFont val="Arial"/>
            <scheme val="minor"/>
          </rPr>
          <t>Updated on 07-Mar-2025 02:16 PM by bpsdemak3321@gmail.com</t>
        </r>
      </text>
    </comment>
    <comment ref="F1117" authorId="0" shapeId="0" xr:uid="{00000000-0006-0000-0000-0000CA050000}">
      <text>
        <r>
          <rPr>
            <sz val="10"/>
            <color rgb="FF000000"/>
            <rFont val="Arial"/>
            <scheme val="minor"/>
          </rPr>
          <t>Updated on 07-Mar-2025 02:16 PM by bpsdemak3321@gmail.com</t>
        </r>
      </text>
    </comment>
    <comment ref="G1117" authorId="0" shapeId="0" xr:uid="{00000000-0006-0000-0000-0000CB050000}">
      <text>
        <r>
          <rPr>
            <sz val="10"/>
            <color rgb="FF000000"/>
            <rFont val="Arial"/>
            <scheme val="minor"/>
          </rPr>
          <t>Updated on 07-Mar-2025 02:16 PM by bpsdemak3321@gmail.com</t>
        </r>
      </text>
    </comment>
    <comment ref="H1117" authorId="0" shapeId="0" xr:uid="{00000000-0006-0000-0000-0000CC050000}">
      <text>
        <r>
          <rPr>
            <sz val="10"/>
            <color rgb="FF000000"/>
            <rFont val="Arial"/>
            <scheme val="minor"/>
          </rPr>
          <t>Updated on 07-Mar-2025 02:16 PM by bpsdemak3321@gmail.com</t>
        </r>
      </text>
    </comment>
    <comment ref="F1118" authorId="0" shapeId="0" xr:uid="{00000000-0006-0000-0000-0000CD050000}">
      <text>
        <r>
          <rPr>
            <sz val="10"/>
            <color rgb="FF000000"/>
            <rFont val="Arial"/>
            <scheme val="minor"/>
          </rPr>
          <t>Updated on 07-Mar-2025 02:20 PM by bpsdemak3321@gmail.com</t>
        </r>
      </text>
    </comment>
    <comment ref="G1118" authorId="0" shapeId="0" xr:uid="{00000000-0006-0000-0000-0000CE050000}">
      <text>
        <r>
          <rPr>
            <sz val="10"/>
            <color rgb="FF000000"/>
            <rFont val="Arial"/>
            <scheme val="minor"/>
          </rPr>
          <t>Updated on 07-Mar-2025 02:20 PM by bpsdemak3321@gmail.com</t>
        </r>
      </text>
    </comment>
    <comment ref="H1118" authorId="0" shapeId="0" xr:uid="{00000000-0006-0000-0000-0000CF050000}">
      <text>
        <r>
          <rPr>
            <sz val="10"/>
            <color rgb="FF000000"/>
            <rFont val="Arial"/>
            <scheme val="minor"/>
          </rPr>
          <t>Updated on 07-Mar-2025 02:20 PM by bpsdemak3321@gmail.com</t>
        </r>
      </text>
    </comment>
    <comment ref="F1119" authorId="0" shapeId="0" xr:uid="{00000000-0006-0000-0000-0000D0050000}">
      <text>
        <r>
          <rPr>
            <sz val="10"/>
            <color rgb="FF000000"/>
            <rFont val="Arial"/>
            <scheme val="minor"/>
          </rPr>
          <t>Updated on 07-Mar-2025 02:20 PM by bpsdemak3321@gmail.com</t>
        </r>
      </text>
    </comment>
    <comment ref="G1119" authorId="0" shapeId="0" xr:uid="{00000000-0006-0000-0000-0000D1050000}">
      <text>
        <r>
          <rPr>
            <sz val="10"/>
            <color rgb="FF000000"/>
            <rFont val="Arial"/>
            <scheme val="minor"/>
          </rPr>
          <t>Updated on 07-Mar-2025 02:20 PM by bpsdemak3321@gmail.com</t>
        </r>
      </text>
    </comment>
    <comment ref="H1119" authorId="0" shapeId="0" xr:uid="{00000000-0006-0000-0000-0000D2050000}">
      <text>
        <r>
          <rPr>
            <sz val="10"/>
            <color rgb="FF000000"/>
            <rFont val="Arial"/>
            <scheme val="minor"/>
          </rPr>
          <t>Updated on 07-Mar-2025 02:20 PM by bpsdemak3321@gmail.com</t>
        </r>
      </text>
    </comment>
    <comment ref="F1120" authorId="0" shapeId="0" xr:uid="{00000000-0006-0000-0000-0000D3050000}">
      <text>
        <r>
          <rPr>
            <sz val="10"/>
            <color rgb="FF000000"/>
            <rFont val="Arial"/>
            <scheme val="minor"/>
          </rPr>
          <t>Updated on 07-Mar-2025 02:25 PM by bpsdemak3321@gmail.com</t>
        </r>
      </text>
    </comment>
    <comment ref="G1120" authorId="0" shapeId="0" xr:uid="{00000000-0006-0000-0000-0000D4050000}">
      <text>
        <r>
          <rPr>
            <sz val="10"/>
            <color rgb="FF000000"/>
            <rFont val="Arial"/>
            <scheme val="minor"/>
          </rPr>
          <t>Updated on 07-Mar-2025 02:24 PM by bpsdemak3321@gmail.com</t>
        </r>
      </text>
    </comment>
    <comment ref="H1120" authorId="0" shapeId="0" xr:uid="{00000000-0006-0000-0000-0000D5050000}">
      <text>
        <r>
          <rPr>
            <sz val="10"/>
            <color rgb="FF000000"/>
            <rFont val="Arial"/>
            <scheme val="minor"/>
          </rPr>
          <t>Updated on 07-Mar-2025 02:24 PM by bpsdemak3321@gmail.com</t>
        </r>
      </text>
    </comment>
    <comment ref="F1121" authorId="0" shapeId="0" xr:uid="{00000000-0006-0000-0000-0000D6050000}">
      <text>
        <r>
          <rPr>
            <sz val="10"/>
            <color rgb="FF000000"/>
            <rFont val="Arial"/>
            <scheme val="minor"/>
          </rPr>
          <t>Updated on 07-Mar-2025 02:25 PM by bpsdemak3321@gmail.com</t>
        </r>
      </text>
    </comment>
    <comment ref="G1121" authorId="0" shapeId="0" xr:uid="{00000000-0006-0000-0000-0000D7050000}">
      <text>
        <r>
          <rPr>
            <sz val="10"/>
            <color rgb="FF000000"/>
            <rFont val="Arial"/>
            <scheme val="minor"/>
          </rPr>
          <t>Updated on 07-Mar-2025 02:25 PM by bpsdemak3321@gmail.com</t>
        </r>
      </text>
    </comment>
    <comment ref="H1121" authorId="0" shapeId="0" xr:uid="{00000000-0006-0000-0000-0000D8050000}">
      <text>
        <r>
          <rPr>
            <sz val="10"/>
            <color rgb="FF000000"/>
            <rFont val="Arial"/>
            <scheme val="minor"/>
          </rPr>
          <t>Updated on 07-Mar-2025 02:25 PM by bpsdemak3321@gmail.com</t>
        </r>
      </text>
    </comment>
    <comment ref="F1122" authorId="0" shapeId="0" xr:uid="{00000000-0006-0000-0000-0000D9050000}">
      <text>
        <r>
          <rPr>
            <sz val="10"/>
            <color rgb="FF000000"/>
            <rFont val="Arial"/>
            <scheme val="minor"/>
          </rPr>
          <t>Updated on 07-Mar-2025 02:28 PM by bpsdemak3321@gmail.com</t>
        </r>
      </text>
    </comment>
    <comment ref="G1122" authorId="0" shapeId="0" xr:uid="{00000000-0006-0000-0000-0000DA050000}">
      <text>
        <r>
          <rPr>
            <sz val="10"/>
            <color rgb="FF000000"/>
            <rFont val="Arial"/>
            <scheme val="minor"/>
          </rPr>
          <t>Updated on 07-Mar-2025 02:28 PM by bpsdemak3321@gmail.com</t>
        </r>
      </text>
    </comment>
    <comment ref="H1122" authorId="0" shapeId="0" xr:uid="{00000000-0006-0000-0000-0000DB050000}">
      <text>
        <r>
          <rPr>
            <sz val="10"/>
            <color rgb="FF000000"/>
            <rFont val="Arial"/>
            <scheme val="minor"/>
          </rPr>
          <t>Updated on 07-Mar-2025 02:28 PM by bpsdemak3321@gmail.com</t>
        </r>
      </text>
    </comment>
    <comment ref="F1123" authorId="0" shapeId="0" xr:uid="{00000000-0006-0000-0000-0000DC050000}">
      <text>
        <r>
          <rPr>
            <sz val="10"/>
            <color rgb="FF000000"/>
            <rFont val="Arial"/>
            <scheme val="minor"/>
          </rPr>
          <t>Updated on 07-Mar-2025 02:29 PM by bpsdemak3321@gmail.com</t>
        </r>
      </text>
    </comment>
    <comment ref="G1123" authorId="0" shapeId="0" xr:uid="{00000000-0006-0000-0000-0000DD050000}">
      <text>
        <r>
          <rPr>
            <sz val="10"/>
            <color rgb="FF000000"/>
            <rFont val="Arial"/>
            <scheme val="minor"/>
          </rPr>
          <t>Updated on 07-Mar-2025 02:28 PM by bpsdemak3321@gmail.com</t>
        </r>
      </text>
    </comment>
    <comment ref="H1123" authorId="0" shapeId="0" xr:uid="{00000000-0006-0000-0000-0000DE050000}">
      <text>
        <r>
          <rPr>
            <sz val="10"/>
            <color rgb="FF000000"/>
            <rFont val="Arial"/>
            <scheme val="minor"/>
          </rPr>
          <t>Updated on 07-Mar-2025 02:28 PM by bpsdemak3321@gmail.com</t>
        </r>
      </text>
    </comment>
    <comment ref="F1124" authorId="0" shapeId="0" xr:uid="{00000000-0006-0000-0000-0000DF050000}">
      <text>
        <r>
          <rPr>
            <sz val="10"/>
            <color rgb="FF000000"/>
            <rFont val="Arial"/>
            <scheme val="minor"/>
          </rPr>
          <t>Updated on 07-Mar-2025 02:30 PM by bpsdemak3321@gmail.com</t>
        </r>
      </text>
    </comment>
    <comment ref="G1124" authorId="0" shapeId="0" xr:uid="{00000000-0006-0000-0000-0000E0050000}">
      <text>
        <r>
          <rPr>
            <sz val="10"/>
            <color rgb="FF000000"/>
            <rFont val="Arial"/>
            <scheme val="minor"/>
          </rPr>
          <t>Updated on 07-Mar-2025 02:30 PM by bpsdemak3321@gmail.com</t>
        </r>
      </text>
    </comment>
    <comment ref="H1124" authorId="0" shapeId="0" xr:uid="{00000000-0006-0000-0000-0000E1050000}">
      <text>
        <r>
          <rPr>
            <sz val="10"/>
            <color rgb="FF000000"/>
            <rFont val="Arial"/>
            <scheme val="minor"/>
          </rPr>
          <t>Updated on 07-Mar-2025 02:30 PM by bpsdemak3321@gmail.com</t>
        </r>
      </text>
    </comment>
    <comment ref="F1125" authorId="0" shapeId="0" xr:uid="{00000000-0006-0000-0000-0000E2050000}">
      <text>
        <r>
          <rPr>
            <sz val="10"/>
            <color rgb="FF000000"/>
            <rFont val="Arial"/>
            <scheme val="minor"/>
          </rPr>
          <t>Updated on 07-Mar-2025 02:31 PM by bpsdemak3321@gmail.com</t>
        </r>
      </text>
    </comment>
    <comment ref="G1125" authorId="0" shapeId="0" xr:uid="{00000000-0006-0000-0000-0000E3050000}">
      <text>
        <r>
          <rPr>
            <sz val="10"/>
            <color rgb="FF000000"/>
            <rFont val="Arial"/>
            <scheme val="minor"/>
          </rPr>
          <t>Updated on 07-Mar-2025 02:31 PM by bpsdemak3321@gmail.com</t>
        </r>
      </text>
    </comment>
    <comment ref="H1125" authorId="0" shapeId="0" xr:uid="{00000000-0006-0000-0000-0000E4050000}">
      <text>
        <r>
          <rPr>
            <sz val="10"/>
            <color rgb="FF000000"/>
            <rFont val="Arial"/>
            <scheme val="minor"/>
          </rPr>
          <t>Updated on 07-Mar-2025 02:31 PM by bpsdemak3321@gmail.com</t>
        </r>
      </text>
    </comment>
    <comment ref="F1126" authorId="0" shapeId="0" xr:uid="{00000000-0006-0000-0000-0000E5050000}">
      <text>
        <r>
          <rPr>
            <sz val="10"/>
            <color rgb="FF000000"/>
            <rFont val="Arial"/>
            <scheme val="minor"/>
          </rPr>
          <t>Updated on 07-Mar-2025 02:34 PM by bpsdemak3321@gmail.com</t>
        </r>
      </text>
    </comment>
    <comment ref="G1126" authorId="0" shapeId="0" xr:uid="{00000000-0006-0000-0000-0000E6050000}">
      <text>
        <r>
          <rPr>
            <sz val="10"/>
            <color rgb="FF000000"/>
            <rFont val="Arial"/>
            <scheme val="minor"/>
          </rPr>
          <t>Updated on 07-Mar-2025 02:34 PM by bpsdemak3321@gmail.com</t>
        </r>
      </text>
    </comment>
    <comment ref="H1126" authorId="0" shapeId="0" xr:uid="{00000000-0006-0000-0000-0000E7050000}">
      <text>
        <r>
          <rPr>
            <sz val="10"/>
            <color rgb="FF000000"/>
            <rFont val="Arial"/>
            <scheme val="minor"/>
          </rPr>
          <t>Updated on 07-Mar-2025 02:34 PM by bpsdemak3321@gmail.com</t>
        </r>
      </text>
    </comment>
    <comment ref="F1127" authorId="0" shapeId="0" xr:uid="{00000000-0006-0000-0000-0000E8050000}">
      <text>
        <r>
          <rPr>
            <sz val="10"/>
            <color rgb="FF000000"/>
            <rFont val="Arial"/>
            <scheme val="minor"/>
          </rPr>
          <t>Updated on 07-Mar-2025 02:37 PM by bpsdemak3321@gmail.com</t>
        </r>
      </text>
    </comment>
    <comment ref="G1127" authorId="0" shapeId="0" xr:uid="{00000000-0006-0000-0000-0000E9050000}">
      <text>
        <r>
          <rPr>
            <sz val="10"/>
            <color rgb="FF000000"/>
            <rFont val="Arial"/>
            <scheme val="minor"/>
          </rPr>
          <t>Updated on 07-Mar-2025 02:37 PM by bpsdemak3321@gmail.com</t>
        </r>
      </text>
    </comment>
    <comment ref="H1127" authorId="0" shapeId="0" xr:uid="{00000000-0006-0000-0000-0000EA050000}">
      <text>
        <r>
          <rPr>
            <sz val="10"/>
            <color rgb="FF000000"/>
            <rFont val="Arial"/>
            <scheme val="minor"/>
          </rPr>
          <t>Updated on 07-Mar-2025 02:37 PM by bpsdemak3321@gmail.com</t>
        </r>
      </text>
    </comment>
    <comment ref="F1128" authorId="0" shapeId="0" xr:uid="{00000000-0006-0000-0000-0000EB050000}">
      <text>
        <r>
          <rPr>
            <sz val="10"/>
            <color rgb="FF000000"/>
            <rFont val="Arial"/>
            <scheme val="minor"/>
          </rPr>
          <t>Updated on 07-Mar-2025 02:40 PM by bpsdemak3321@gmail.com</t>
        </r>
      </text>
    </comment>
    <comment ref="G1128" authorId="0" shapeId="0" xr:uid="{00000000-0006-0000-0000-0000EC050000}">
      <text>
        <r>
          <rPr>
            <sz val="10"/>
            <color rgb="FF000000"/>
            <rFont val="Arial"/>
            <scheme val="minor"/>
          </rPr>
          <t>Updated on 07-Mar-2025 02:40 PM by bpsdemak3321@gmail.com</t>
        </r>
      </text>
    </comment>
    <comment ref="H1128" authorId="0" shapeId="0" xr:uid="{00000000-0006-0000-0000-0000ED050000}">
      <text>
        <r>
          <rPr>
            <sz val="10"/>
            <color rgb="FF000000"/>
            <rFont val="Arial"/>
            <scheme val="minor"/>
          </rPr>
          <t>Updated on 07-Mar-2025 02:40 PM by bpsdemak3321@gmail.com</t>
        </r>
      </text>
    </comment>
    <comment ref="F1129" authorId="0" shapeId="0" xr:uid="{00000000-0006-0000-0000-0000EE050000}">
      <text>
        <r>
          <rPr>
            <sz val="10"/>
            <color rgb="FF000000"/>
            <rFont val="Arial"/>
            <scheme val="minor"/>
          </rPr>
          <t>Updated on 07-Mar-2025 02:40 PM by bpsdemak3321@gmail.com</t>
        </r>
      </text>
    </comment>
    <comment ref="G1129" authorId="0" shapeId="0" xr:uid="{00000000-0006-0000-0000-0000EF050000}">
      <text>
        <r>
          <rPr>
            <sz val="10"/>
            <color rgb="FF000000"/>
            <rFont val="Arial"/>
            <scheme val="minor"/>
          </rPr>
          <t>Updated on 07-Mar-2025 02:40 PM by bpsdemak3321@gmail.com</t>
        </r>
      </text>
    </comment>
    <comment ref="H1129" authorId="0" shapeId="0" xr:uid="{00000000-0006-0000-0000-0000F0050000}">
      <text>
        <r>
          <rPr>
            <sz val="10"/>
            <color rgb="FF000000"/>
            <rFont val="Arial"/>
            <scheme val="minor"/>
          </rPr>
          <t>Updated on 07-Mar-2025 02:40 PM by bpsdemak3321@gmail.com</t>
        </r>
      </text>
    </comment>
    <comment ref="F1130" authorId="0" shapeId="0" xr:uid="{00000000-0006-0000-0000-0000F1050000}">
      <text>
        <r>
          <rPr>
            <sz val="10"/>
            <color rgb="FF000000"/>
            <rFont val="Arial"/>
            <scheme val="minor"/>
          </rPr>
          <t>Updated on 07-Mar-2025 02:46 PM by bpsdemak3321@gmail.com</t>
        </r>
      </text>
    </comment>
    <comment ref="G1130" authorId="0" shapeId="0" xr:uid="{00000000-0006-0000-0000-0000F2050000}">
      <text>
        <r>
          <rPr>
            <sz val="10"/>
            <color rgb="FF000000"/>
            <rFont val="Arial"/>
            <scheme val="minor"/>
          </rPr>
          <t>Updated on 07-Mar-2025 02:46 PM by bpsdemak3321@gmail.com</t>
        </r>
      </text>
    </comment>
    <comment ref="H1130" authorId="0" shapeId="0" xr:uid="{00000000-0006-0000-0000-0000F3050000}">
      <text>
        <r>
          <rPr>
            <sz val="10"/>
            <color rgb="FF000000"/>
            <rFont val="Arial"/>
            <scheme val="minor"/>
          </rPr>
          <t>Updated on 07-Mar-2025 02:46 PM by bpsdemak3321@gmail.com</t>
        </r>
      </text>
    </comment>
    <comment ref="F1131" authorId="0" shapeId="0" xr:uid="{00000000-0006-0000-0000-0000F4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G1131" authorId="0" shapeId="0" xr:uid="{00000000-0006-0000-0000-0000F5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H1131" authorId="0" shapeId="0" xr:uid="{00000000-0006-0000-0000-0000F6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F1132" authorId="0" shapeId="0" xr:uid="{00000000-0006-0000-0000-0000F7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G1132" authorId="0" shapeId="0" xr:uid="{00000000-0006-0000-0000-0000F8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H1132" authorId="0" shapeId="0" xr:uid="{00000000-0006-0000-0000-0000F9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F1133" authorId="0" shapeId="0" xr:uid="{00000000-0006-0000-0000-0000FA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G1133" authorId="0" shapeId="0" xr:uid="{00000000-0006-0000-0000-0000FB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H1133" authorId="0" shapeId="0" xr:uid="{00000000-0006-0000-0000-0000FC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F1134" authorId="0" shapeId="0" xr:uid="{00000000-0006-0000-0000-0000FD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G1134" authorId="0" shapeId="0" xr:uid="{00000000-0006-0000-0000-0000FE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H1134" authorId="0" shapeId="0" xr:uid="{00000000-0006-0000-0000-0000FF050000}">
      <text>
        <r>
          <rPr>
            <sz val="10"/>
            <color rgb="FF000000"/>
            <rFont val="Arial"/>
            <scheme val="minor"/>
          </rPr>
          <t>Updated on 07-Mar-2025 02:47 PM by bpsdemak3321@gmail.com</t>
        </r>
      </text>
    </comment>
    <comment ref="F1135" authorId="0" shapeId="0" xr:uid="{00000000-0006-0000-0000-000000060000}">
      <text>
        <r>
          <rPr>
            <sz val="10"/>
            <color rgb="FF000000"/>
            <rFont val="Arial"/>
            <scheme val="minor"/>
          </rPr>
          <t>Updated on 07-Mar-2025 02:48 PM by bpsdemak3321@gmail.com</t>
        </r>
      </text>
    </comment>
    <comment ref="G1135" authorId="0" shapeId="0" xr:uid="{00000000-0006-0000-0000-000001060000}">
      <text>
        <r>
          <rPr>
            <sz val="10"/>
            <color rgb="FF000000"/>
            <rFont val="Arial"/>
            <scheme val="minor"/>
          </rPr>
          <t>Updated on 07-Mar-2025 02:48 PM by bpsdemak3321@gmail.com</t>
        </r>
      </text>
    </comment>
    <comment ref="H1135" authorId="0" shapeId="0" xr:uid="{00000000-0006-0000-0000-000002060000}">
      <text>
        <r>
          <rPr>
            <sz val="10"/>
            <color rgb="FF000000"/>
            <rFont val="Arial"/>
            <scheme val="minor"/>
          </rPr>
          <t>Updated on 07-Mar-2025 02:48 PM by bpsdemak3321@gmail.com</t>
        </r>
      </text>
    </comment>
    <comment ref="F1136" authorId="0" shapeId="0" xr:uid="{00000000-0006-0000-0000-000003060000}">
      <text>
        <r>
          <rPr>
            <sz val="10"/>
            <color rgb="FF000000"/>
            <rFont val="Arial"/>
            <scheme val="minor"/>
          </rPr>
          <t>Updated on 07-Mar-2025 02:51 PM by bpsdemak3321@gmail.com</t>
        </r>
      </text>
    </comment>
    <comment ref="G1136" authorId="0" shapeId="0" xr:uid="{00000000-0006-0000-0000-000004060000}">
      <text>
        <r>
          <rPr>
            <sz val="10"/>
            <color rgb="FF000000"/>
            <rFont val="Arial"/>
            <scheme val="minor"/>
          </rPr>
          <t>Updated on 07-Mar-2025 02:51 PM by bpsdemak3321@gmail.com</t>
        </r>
      </text>
    </comment>
    <comment ref="H1136" authorId="0" shapeId="0" xr:uid="{00000000-0006-0000-0000-000005060000}">
      <text>
        <r>
          <rPr>
            <sz val="10"/>
            <color rgb="FF000000"/>
            <rFont val="Arial"/>
            <scheme val="minor"/>
          </rPr>
          <t>Updated on 07-Mar-2025 02:51 PM by bpsdemak3321@gmail.com</t>
        </r>
      </text>
    </comment>
    <comment ref="F1137" authorId="0" shapeId="0" xr:uid="{00000000-0006-0000-0000-000006060000}">
      <text>
        <r>
          <rPr>
            <sz val="10"/>
            <color rgb="FF000000"/>
            <rFont val="Arial"/>
            <scheme val="minor"/>
          </rPr>
          <t>Updated on 07-Mar-2025 02:54 PM by bpsdemak3321@gmail.com</t>
        </r>
      </text>
    </comment>
    <comment ref="G1137" authorId="0" shapeId="0" xr:uid="{00000000-0006-0000-0000-000007060000}">
      <text>
        <r>
          <rPr>
            <sz val="10"/>
            <color rgb="FF000000"/>
            <rFont val="Arial"/>
            <scheme val="minor"/>
          </rPr>
          <t>Updated on 07-Mar-2025 02:54 PM by bpsdemak3321@gmail.com</t>
        </r>
      </text>
    </comment>
    <comment ref="H1137" authorId="0" shapeId="0" xr:uid="{00000000-0006-0000-0000-000008060000}">
      <text>
        <r>
          <rPr>
            <sz val="10"/>
            <color rgb="FF000000"/>
            <rFont val="Arial"/>
            <scheme val="minor"/>
          </rPr>
          <t>Updated on 07-Mar-2025 02:54 PM by bpsdemak3321@gmail.com</t>
        </r>
      </text>
    </comment>
    <comment ref="F1138" authorId="0" shapeId="0" xr:uid="{00000000-0006-0000-0000-000009060000}">
      <text>
        <r>
          <rPr>
            <sz val="10"/>
            <color rgb="FF000000"/>
            <rFont val="Arial"/>
            <scheme val="minor"/>
          </rPr>
          <t>Updated on 07-Mar-2025 02:54 PM by bpsdemak3321@gmail.com</t>
        </r>
      </text>
    </comment>
    <comment ref="G1138" authorId="0" shapeId="0" xr:uid="{00000000-0006-0000-0000-00000A060000}">
      <text>
        <r>
          <rPr>
            <sz val="10"/>
            <color rgb="FF000000"/>
            <rFont val="Arial"/>
            <scheme val="minor"/>
          </rPr>
          <t>Updated on 07-Mar-2025 02:54 PM by bpsdemak3321@gmail.com</t>
        </r>
      </text>
    </comment>
    <comment ref="H1138" authorId="0" shapeId="0" xr:uid="{00000000-0006-0000-0000-00000B060000}">
      <text>
        <r>
          <rPr>
            <sz val="10"/>
            <color rgb="FF000000"/>
            <rFont val="Arial"/>
            <scheme val="minor"/>
          </rPr>
          <t>Updated on 07-Mar-2025 02:54 PM by bpsdemak3321@gmail.com</t>
        </r>
      </text>
    </comment>
    <comment ref="F1139" authorId="0" shapeId="0" xr:uid="{00000000-0006-0000-0000-00000C060000}">
      <text>
        <r>
          <rPr>
            <sz val="10"/>
            <color rgb="FF000000"/>
            <rFont val="Arial"/>
            <scheme val="minor"/>
          </rPr>
          <t>Updated on 07-Mar-2025 02:58 PM by bpsdemak3321@gmail.com</t>
        </r>
      </text>
    </comment>
    <comment ref="G1139" authorId="0" shapeId="0" xr:uid="{00000000-0006-0000-0000-00000D060000}">
      <text>
        <r>
          <rPr>
            <sz val="10"/>
            <color rgb="FF000000"/>
            <rFont val="Arial"/>
            <scheme val="minor"/>
          </rPr>
          <t>Updated on 07-Mar-2025 02:58 PM by bpsdemak3321@gmail.com</t>
        </r>
      </text>
    </comment>
    <comment ref="H1139" authorId="0" shapeId="0" xr:uid="{00000000-0006-0000-0000-00000E060000}">
      <text>
        <r>
          <rPr>
            <sz val="10"/>
            <color rgb="FF000000"/>
            <rFont val="Arial"/>
            <scheme val="minor"/>
          </rPr>
          <t>Updated on 07-Mar-2025 02:58 PM by bpsdemak3321@gmail.com</t>
        </r>
      </text>
    </comment>
    <comment ref="F1140" authorId="0" shapeId="0" xr:uid="{00000000-0006-0000-0000-00000F060000}">
      <text>
        <r>
          <rPr>
            <sz val="10"/>
            <color rgb="FF000000"/>
            <rFont val="Arial"/>
            <scheme val="minor"/>
          </rPr>
          <t>Updated on 07-Mar-2025 03:01 PM by bpsdemak3321@gmail.com</t>
        </r>
      </text>
    </comment>
    <comment ref="G1140" authorId="0" shapeId="0" xr:uid="{00000000-0006-0000-0000-000010060000}">
      <text>
        <r>
          <rPr>
            <sz val="10"/>
            <color rgb="FF000000"/>
            <rFont val="Arial"/>
            <scheme val="minor"/>
          </rPr>
          <t>Updated on 07-Mar-2025 03:01 PM by bpsdemak3321@gmail.com</t>
        </r>
      </text>
    </comment>
    <comment ref="H1140" authorId="0" shapeId="0" xr:uid="{00000000-0006-0000-0000-000011060000}">
      <text>
        <r>
          <rPr>
            <sz val="10"/>
            <color rgb="FF000000"/>
            <rFont val="Arial"/>
            <scheme val="minor"/>
          </rPr>
          <t>Updated on 07-Mar-2025 03:01 PM by bpsdemak3321@gmail.com</t>
        </r>
      </text>
    </comment>
    <comment ref="G1141" authorId="0" shapeId="0" xr:uid="{00000000-0006-0000-0000-000012060000}">
      <text>
        <r>
          <rPr>
            <sz val="10"/>
            <color rgb="FF000000"/>
            <rFont val="Arial"/>
            <scheme val="minor"/>
          </rPr>
          <t>Updated on 07-Mar-2025 03:01 PM by bpsdemak3321@gmail.com</t>
        </r>
      </text>
    </comment>
    <comment ref="H1141" authorId="0" shapeId="0" xr:uid="{00000000-0006-0000-0000-000013060000}">
      <text>
        <r>
          <rPr>
            <sz val="10"/>
            <color rgb="FF000000"/>
            <rFont val="Arial"/>
            <scheme val="minor"/>
          </rPr>
          <t>Updated on 07-Mar-2025 03:01 PM by bpsdemak3321@gmail.com</t>
        </r>
      </text>
    </comment>
    <comment ref="G1142" authorId="0" shapeId="0" xr:uid="{00000000-0006-0000-0000-000014060000}">
      <text>
        <r>
          <rPr>
            <sz val="10"/>
            <color rgb="FF000000"/>
            <rFont val="Arial"/>
            <scheme val="minor"/>
          </rPr>
          <t>Updated on 07-Mar-2025 03:02 PM by bpsdemak3321@gmail.com</t>
        </r>
      </text>
    </comment>
    <comment ref="H1142" authorId="0" shapeId="0" xr:uid="{00000000-0006-0000-0000-000015060000}">
      <text>
        <r>
          <rPr>
            <sz val="10"/>
            <color rgb="FF000000"/>
            <rFont val="Arial"/>
            <scheme val="minor"/>
          </rPr>
          <t>Updated on 07-Mar-2025 03:02 PM by bpsdemak3321@gmail.com</t>
        </r>
      </text>
    </comment>
    <comment ref="G1143" authorId="0" shapeId="0" xr:uid="{00000000-0006-0000-0000-000016060000}">
      <text>
        <r>
          <rPr>
            <sz val="10"/>
            <color rgb="FF000000"/>
            <rFont val="Arial"/>
            <scheme val="minor"/>
          </rPr>
          <t>Updated on 07-Mar-2025 03:02 PM by bpsdemak3321@gmail.com</t>
        </r>
      </text>
    </comment>
    <comment ref="H1143" authorId="0" shapeId="0" xr:uid="{00000000-0006-0000-0000-000017060000}">
      <text>
        <r>
          <rPr>
            <sz val="10"/>
            <color rgb="FF000000"/>
            <rFont val="Arial"/>
            <scheme val="minor"/>
          </rPr>
          <t>Updated on 07-Mar-2025 03:02 PM by bpsdemak3321@gmail.com</t>
        </r>
      </text>
    </comment>
    <comment ref="G1144" authorId="0" shapeId="0" xr:uid="{00000000-0006-0000-0000-000018060000}">
      <text>
        <r>
          <rPr>
            <sz val="10"/>
            <color rgb="FF000000"/>
            <rFont val="Arial"/>
            <scheme val="minor"/>
          </rPr>
          <t>Updated on 07-Mar-2025 03:02 PM by bpsdemak3321@gmail.com</t>
        </r>
      </text>
    </comment>
    <comment ref="H1144" authorId="0" shapeId="0" xr:uid="{00000000-0006-0000-0000-000019060000}">
      <text>
        <r>
          <rPr>
            <sz val="10"/>
            <color rgb="FF000000"/>
            <rFont val="Arial"/>
            <scheme val="minor"/>
          </rPr>
          <t>Updated on 07-Mar-2025 03:02 PM by bpsdemak3321@gmail.com</t>
        </r>
      </text>
    </comment>
    <comment ref="G1145" authorId="0" shapeId="0" xr:uid="{00000000-0006-0000-0000-00001A060000}">
      <text>
        <r>
          <rPr>
            <sz val="10"/>
            <color rgb="FF000000"/>
            <rFont val="Arial"/>
            <scheme val="minor"/>
          </rPr>
          <t>Updated on 07-Mar-2025 03:03 PM by bpsdemak3321@gmail.com</t>
        </r>
      </text>
    </comment>
    <comment ref="H1145" authorId="0" shapeId="0" xr:uid="{00000000-0006-0000-0000-00001B060000}">
      <text>
        <r>
          <rPr>
            <sz val="10"/>
            <color rgb="FF000000"/>
            <rFont val="Arial"/>
            <scheme val="minor"/>
          </rPr>
          <t>Updated on 07-Mar-2025 03:03 PM by bpsdemak3321@gmail.com</t>
        </r>
      </text>
    </comment>
    <comment ref="G1146" authorId="0" shapeId="0" xr:uid="{00000000-0006-0000-0000-00001C060000}">
      <text>
        <r>
          <rPr>
            <sz val="10"/>
            <color rgb="FF000000"/>
            <rFont val="Arial"/>
            <scheme val="minor"/>
          </rPr>
          <t>Updated on 07-Mar-2025 03:04 PM by bpsdemak3321@gmail.com</t>
        </r>
      </text>
    </comment>
    <comment ref="H1146" authorId="0" shapeId="0" xr:uid="{00000000-0006-0000-0000-00001D060000}">
      <text>
        <r>
          <rPr>
            <sz val="10"/>
            <color rgb="FF000000"/>
            <rFont val="Arial"/>
            <scheme val="minor"/>
          </rPr>
          <t>Updated on 07-Mar-2025 03:04 PM by bpsdemak3321@gmail.com</t>
        </r>
      </text>
    </comment>
    <comment ref="G1147" authorId="0" shapeId="0" xr:uid="{00000000-0006-0000-0000-00001E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H1147" authorId="0" shapeId="0" xr:uid="{00000000-0006-0000-0000-00001F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G1148" authorId="0" shapeId="0" xr:uid="{00000000-0006-0000-0000-000020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H1148" authorId="0" shapeId="0" xr:uid="{00000000-0006-0000-0000-000021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G1149" authorId="0" shapeId="0" xr:uid="{00000000-0006-0000-0000-000022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H1149" authorId="0" shapeId="0" xr:uid="{00000000-0006-0000-0000-000023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G1150" authorId="0" shapeId="0" xr:uid="{00000000-0006-0000-0000-000024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H1150" authorId="0" shapeId="0" xr:uid="{00000000-0006-0000-0000-000025060000}">
      <text>
        <r>
          <rPr>
            <sz val="10"/>
            <color rgb="FF000000"/>
            <rFont val="Arial"/>
            <scheme val="minor"/>
          </rPr>
          <t>Updated on 07-Mar-2025 03:05 PM by bpsdemak3321@gmail.com</t>
        </r>
      </text>
    </comment>
    <comment ref="G1151" authorId="0" shapeId="0" xr:uid="{00000000-0006-0000-0000-000026060000}">
      <text>
        <r>
          <rPr>
            <sz val="10"/>
            <color rgb="FF000000"/>
            <rFont val="Arial"/>
            <scheme val="minor"/>
          </rPr>
          <t>Updated on 07-Mar-2025 03:06 PM by bpsdemak3321@gmail.com</t>
        </r>
      </text>
    </comment>
    <comment ref="H1151" authorId="0" shapeId="0" xr:uid="{00000000-0006-0000-0000-000027060000}">
      <text>
        <r>
          <rPr>
            <sz val="10"/>
            <color rgb="FF000000"/>
            <rFont val="Arial"/>
            <scheme val="minor"/>
          </rPr>
          <t>Updated on 07-Mar-2025 03:06 PM by bpsdemak3321@gmail.com</t>
        </r>
      </text>
    </comment>
    <comment ref="G1152" authorId="0" shapeId="0" xr:uid="{00000000-0006-0000-0000-000028060000}">
      <text>
        <r>
          <rPr>
            <sz val="10"/>
            <color rgb="FF000000"/>
            <rFont val="Arial"/>
            <scheme val="minor"/>
          </rPr>
          <t>Updated on 07-Mar-2025 03:06 PM by bpsdemak3321@gmail.com</t>
        </r>
      </text>
    </comment>
    <comment ref="H1152" authorId="0" shapeId="0" xr:uid="{00000000-0006-0000-0000-000029060000}">
      <text>
        <r>
          <rPr>
            <sz val="10"/>
            <color rgb="FF000000"/>
            <rFont val="Arial"/>
            <scheme val="minor"/>
          </rPr>
          <t>Updated on 07-Mar-2025 03:06 PM by bpsdemak3321@gmail.com</t>
        </r>
      </text>
    </comment>
    <comment ref="G1153" authorId="0" shapeId="0" xr:uid="{00000000-0006-0000-0000-00002A060000}">
      <text>
        <r>
          <rPr>
            <sz val="10"/>
            <color rgb="FF000000"/>
            <rFont val="Arial"/>
            <scheme val="minor"/>
          </rPr>
          <t>Updated on 07-Mar-2025 03:08 PM by bpsdemak3321@gmail.com</t>
        </r>
      </text>
    </comment>
    <comment ref="H1153" authorId="0" shapeId="0" xr:uid="{00000000-0006-0000-0000-00002B060000}">
      <text>
        <r>
          <rPr>
            <sz val="10"/>
            <color rgb="FF000000"/>
            <rFont val="Arial"/>
            <scheme val="minor"/>
          </rPr>
          <t>Updated on 07-Mar-2025 03:08 PM by bpsdemak3321@gmail.com</t>
        </r>
      </text>
    </comment>
    <comment ref="G1154" authorId="0" shapeId="0" xr:uid="{00000000-0006-0000-0000-00002C060000}">
      <text>
        <r>
          <rPr>
            <sz val="10"/>
            <color rgb="FF000000"/>
            <rFont val="Arial"/>
            <scheme val="minor"/>
          </rPr>
          <t>Updated on 07-Mar-2025 03:26 PM by bpsdemak3321@gmail.com</t>
        </r>
      </text>
    </comment>
    <comment ref="H1154" authorId="0" shapeId="0" xr:uid="{00000000-0006-0000-0000-00002D060000}">
      <text>
        <r>
          <rPr>
            <sz val="10"/>
            <color rgb="FF000000"/>
            <rFont val="Arial"/>
            <scheme val="minor"/>
          </rPr>
          <t>Updated on 07-Mar-2025 03:26 PM by bpsdemak3321@gmail.com</t>
        </r>
      </text>
    </comment>
    <comment ref="G1155" authorId="0" shapeId="0" xr:uid="{00000000-0006-0000-0000-00002E060000}">
      <text>
        <r>
          <rPr>
            <sz val="10"/>
            <color rgb="FF000000"/>
            <rFont val="Arial"/>
            <scheme val="minor"/>
          </rPr>
          <t>Updated on 07-Mar-2025 03:26 PM by bpsdemak3321@gmail.com</t>
        </r>
      </text>
    </comment>
    <comment ref="H1155" authorId="0" shapeId="0" xr:uid="{00000000-0006-0000-0000-00002F060000}">
      <text>
        <r>
          <rPr>
            <sz val="10"/>
            <color rgb="FF000000"/>
            <rFont val="Arial"/>
            <scheme val="minor"/>
          </rPr>
          <t>Updated on 07-Mar-2025 03:26 PM by bpsdemak3321@gmail.com</t>
        </r>
      </text>
    </comment>
    <comment ref="G1156" authorId="0" shapeId="0" xr:uid="{00000000-0006-0000-0000-000030060000}">
      <text>
        <r>
          <rPr>
            <sz val="10"/>
            <color rgb="FF000000"/>
            <rFont val="Arial"/>
            <scheme val="minor"/>
          </rPr>
          <t>Updated on 07-Mar-2025 03:27 PM by bpsdemak3321@gmail.com</t>
        </r>
      </text>
    </comment>
    <comment ref="H1156" authorId="0" shapeId="0" xr:uid="{00000000-0006-0000-0000-000031060000}">
      <text>
        <r>
          <rPr>
            <sz val="10"/>
            <color rgb="FF000000"/>
            <rFont val="Arial"/>
            <scheme val="minor"/>
          </rPr>
          <t>Updated on 07-Mar-2025 03:27 PM by bpsdemak3321@gmail.com</t>
        </r>
      </text>
    </comment>
    <comment ref="G1157" authorId="0" shapeId="0" xr:uid="{00000000-0006-0000-0000-000032060000}">
      <text>
        <r>
          <rPr>
            <sz val="10"/>
            <color rgb="FF000000"/>
            <rFont val="Arial"/>
            <scheme val="minor"/>
          </rPr>
          <t>Updated on 07-Mar-2025 03:30 PM by bpsdemak3321@gmail.com</t>
        </r>
      </text>
    </comment>
    <comment ref="H1157" authorId="0" shapeId="0" xr:uid="{00000000-0006-0000-0000-000033060000}">
      <text>
        <r>
          <rPr>
            <sz val="10"/>
            <color rgb="FF000000"/>
            <rFont val="Arial"/>
            <scheme val="minor"/>
          </rPr>
          <t>Updated on 07-Mar-2025 03:30 PM by bpsdemak3321@gmail.com</t>
        </r>
      </text>
    </comment>
    <comment ref="G1158" authorId="0" shapeId="0" xr:uid="{00000000-0006-0000-0000-000034060000}">
      <text>
        <r>
          <rPr>
            <sz val="10"/>
            <color rgb="FF000000"/>
            <rFont val="Arial"/>
            <scheme val="minor"/>
          </rPr>
          <t>Updated on 07-Mar-2025 03:32 PM by bpsdemak3321@gmail.com</t>
        </r>
      </text>
    </comment>
    <comment ref="H1158" authorId="0" shapeId="0" xr:uid="{00000000-0006-0000-0000-000035060000}">
      <text>
        <r>
          <rPr>
            <sz val="10"/>
            <color rgb="FF000000"/>
            <rFont val="Arial"/>
            <scheme val="minor"/>
          </rPr>
          <t>Updated on 07-Mar-2025 03:32 PM by bpsdemak3321@gmail.com</t>
        </r>
      </text>
    </comment>
    <comment ref="G1159" authorId="0" shapeId="0" xr:uid="{00000000-0006-0000-0000-000036060000}">
      <text>
        <r>
          <rPr>
            <sz val="10"/>
            <color rgb="FF000000"/>
            <rFont val="Arial"/>
            <scheme val="minor"/>
          </rPr>
          <t>Updated on 07-Mar-2025 03:32 PM by bpsdemak3321@gmail.com</t>
        </r>
      </text>
    </comment>
    <comment ref="H1159" authorId="0" shapeId="0" xr:uid="{00000000-0006-0000-0000-000037060000}">
      <text>
        <r>
          <rPr>
            <sz val="10"/>
            <color rgb="FF000000"/>
            <rFont val="Arial"/>
            <scheme val="minor"/>
          </rPr>
          <t>Updated on 07-Mar-2025 03:32 PM by bpsdemak3321@gmail.com</t>
        </r>
      </text>
    </comment>
    <comment ref="G1160" authorId="0" shapeId="0" xr:uid="{00000000-0006-0000-0000-000038060000}">
      <text>
        <r>
          <rPr>
            <sz val="10"/>
            <color rgb="FF000000"/>
            <rFont val="Arial"/>
            <scheme val="minor"/>
          </rPr>
          <t>Updated on 07-Mar-2025 03:33 PM by bpsdemak3321@gmail.com</t>
        </r>
      </text>
    </comment>
    <comment ref="H1160" authorId="0" shapeId="0" xr:uid="{00000000-0006-0000-0000-000039060000}">
      <text>
        <r>
          <rPr>
            <sz val="10"/>
            <color rgb="FF000000"/>
            <rFont val="Arial"/>
            <scheme val="minor"/>
          </rPr>
          <t>Updated on 07-Mar-2025 03:33 PM by bpsdemak3321@gmail.com</t>
        </r>
      </text>
    </comment>
    <comment ref="G1161" authorId="0" shapeId="0" xr:uid="{00000000-0006-0000-0000-00003A060000}">
      <text>
        <r>
          <rPr>
            <sz val="10"/>
            <color rgb="FF000000"/>
            <rFont val="Arial"/>
            <scheme val="minor"/>
          </rPr>
          <t>Updated on 07-Mar-2025 03:33 PM by bpsdemak3321@gmail.com</t>
        </r>
      </text>
    </comment>
    <comment ref="H1161" authorId="0" shapeId="0" xr:uid="{00000000-0006-0000-0000-00003B060000}">
      <text>
        <r>
          <rPr>
            <sz val="10"/>
            <color rgb="FF000000"/>
            <rFont val="Arial"/>
            <scheme val="minor"/>
          </rPr>
          <t>Updated on 07-Mar-2025 03:33 PM by bpsdemak3321@gmail.com</t>
        </r>
      </text>
    </comment>
    <comment ref="G1162" authorId="0" shapeId="0" xr:uid="{00000000-0006-0000-0000-00003C060000}">
      <text>
        <r>
          <rPr>
            <sz val="10"/>
            <color rgb="FF000000"/>
            <rFont val="Arial"/>
            <scheme val="minor"/>
          </rPr>
          <t>Updated on 07-Mar-2025 03:44 PM by bpsdemak3321@gmail.com</t>
        </r>
      </text>
    </comment>
    <comment ref="H1162" authorId="0" shapeId="0" xr:uid="{00000000-0006-0000-0000-00003D060000}">
      <text>
        <r>
          <rPr>
            <sz val="10"/>
            <color rgb="FF000000"/>
            <rFont val="Arial"/>
            <scheme val="minor"/>
          </rPr>
          <t>Updated on 07-Mar-2025 03:44 PM by bpsdemak3321@gmail.com</t>
        </r>
      </text>
    </comment>
    <comment ref="G1163" authorId="0" shapeId="0" xr:uid="{00000000-0006-0000-0000-00003E060000}">
      <text>
        <r>
          <rPr>
            <sz val="10"/>
            <color rgb="FF000000"/>
            <rFont val="Arial"/>
            <scheme val="minor"/>
          </rPr>
          <t>Updated on 07-Mar-2025 03:45 PM by bpsdemak3321@gmail.com</t>
        </r>
      </text>
    </comment>
    <comment ref="H1163" authorId="0" shapeId="0" xr:uid="{00000000-0006-0000-0000-00003F060000}">
      <text>
        <r>
          <rPr>
            <sz val="10"/>
            <color rgb="FF000000"/>
            <rFont val="Arial"/>
            <scheme val="minor"/>
          </rPr>
          <t>Updated on 07-Mar-2025 03:45 PM by bpsdemak3321@gmail.com</t>
        </r>
      </text>
    </comment>
    <comment ref="G1164" authorId="0" shapeId="0" xr:uid="{00000000-0006-0000-0000-000040060000}">
      <text>
        <r>
          <rPr>
            <sz val="10"/>
            <color rgb="FF000000"/>
            <rFont val="Arial"/>
            <scheme val="minor"/>
          </rPr>
          <t>Updated on 07-Mar-2025 04:41 PM by bpsdemak3321@gmail.com</t>
        </r>
      </text>
    </comment>
    <comment ref="H1164" authorId="0" shapeId="0" xr:uid="{00000000-0006-0000-0000-000041060000}">
      <text>
        <r>
          <rPr>
            <sz val="10"/>
            <color rgb="FF000000"/>
            <rFont val="Arial"/>
            <scheme val="minor"/>
          </rPr>
          <t>Updated on 07-Mar-2025 04:41 PM by bpsdemak3321@gmail.com</t>
        </r>
      </text>
    </comment>
    <comment ref="G1165" authorId="0" shapeId="0" xr:uid="{00000000-0006-0000-0000-000042060000}">
      <text>
        <r>
          <rPr>
            <sz val="10"/>
            <color rgb="FF000000"/>
            <rFont val="Arial"/>
            <scheme val="minor"/>
          </rPr>
          <t>Updated on 07-Mar-2025 04:41 PM by bpsdemak3321@gmail.com</t>
        </r>
      </text>
    </comment>
    <comment ref="H1165" authorId="0" shapeId="0" xr:uid="{00000000-0006-0000-0000-000043060000}">
      <text>
        <r>
          <rPr>
            <sz val="10"/>
            <color rgb="FF000000"/>
            <rFont val="Arial"/>
            <scheme val="minor"/>
          </rPr>
          <t>Updated on 07-Mar-2025 04:41 PM by bpsdemak3321@gmail.com</t>
        </r>
      </text>
    </comment>
    <comment ref="G1166" authorId="0" shapeId="0" xr:uid="{00000000-0006-0000-0000-000044060000}">
      <text>
        <r>
          <rPr>
            <sz val="10"/>
            <color rgb="FF000000"/>
            <rFont val="Arial"/>
            <scheme val="minor"/>
          </rPr>
          <t>Updated on 07-Mar-2025 04:42 PM by bpsdemak3321@gmail.com</t>
        </r>
      </text>
    </comment>
    <comment ref="H1166" authorId="0" shapeId="0" xr:uid="{00000000-0006-0000-0000-000045060000}">
      <text>
        <r>
          <rPr>
            <sz val="10"/>
            <color rgb="FF000000"/>
            <rFont val="Arial"/>
            <scheme val="minor"/>
          </rPr>
          <t>Updated on 07-Mar-2025 04:42 PM by bpsdemak3321@gmail.com</t>
        </r>
      </text>
    </comment>
    <comment ref="G1167" authorId="0" shapeId="0" xr:uid="{00000000-0006-0000-0000-000046060000}">
      <text>
        <r>
          <rPr>
            <sz val="10"/>
            <color rgb="FF000000"/>
            <rFont val="Arial"/>
            <scheme val="minor"/>
          </rPr>
          <t>Updated on 07-Mar-2025 04:43 PM by bpsdemak3321@gmail.com</t>
        </r>
      </text>
    </comment>
    <comment ref="H1167" authorId="0" shapeId="0" xr:uid="{00000000-0006-0000-0000-000047060000}">
      <text>
        <r>
          <rPr>
            <sz val="10"/>
            <color rgb="FF000000"/>
            <rFont val="Arial"/>
            <scheme val="minor"/>
          </rPr>
          <t>Updated on 07-Mar-2025 04:43 PM by bpsdemak3321@gmail.com</t>
        </r>
      </text>
    </comment>
    <comment ref="G1168" authorId="0" shapeId="0" xr:uid="{00000000-0006-0000-0000-000048060000}">
      <text>
        <r>
          <rPr>
            <sz val="10"/>
            <color rgb="FF000000"/>
            <rFont val="Arial"/>
            <scheme val="minor"/>
          </rPr>
          <t>Updated on 07-Mar-2025 04:44 PM by bpsdemak3321@gmail.com</t>
        </r>
      </text>
    </comment>
    <comment ref="H1168" authorId="0" shapeId="0" xr:uid="{00000000-0006-0000-0000-000049060000}">
      <text>
        <r>
          <rPr>
            <sz val="10"/>
            <color rgb="FF000000"/>
            <rFont val="Arial"/>
            <scheme val="minor"/>
          </rPr>
          <t>Updated on 07-Mar-2025 04:44 PM by bpsdemak3321@gmail.com</t>
        </r>
      </text>
    </comment>
    <comment ref="G1169" authorId="0" shapeId="0" xr:uid="{00000000-0006-0000-0000-00004A060000}">
      <text>
        <r>
          <rPr>
            <sz val="10"/>
            <color rgb="FF000000"/>
            <rFont val="Arial"/>
            <scheme val="minor"/>
          </rPr>
          <t>Updated on 07-Mar-2025 04:45 PM by bpsdemak3321@gmail.com</t>
        </r>
      </text>
    </comment>
    <comment ref="H1169" authorId="0" shapeId="0" xr:uid="{00000000-0006-0000-0000-00004B060000}">
      <text>
        <r>
          <rPr>
            <sz val="10"/>
            <color rgb="FF000000"/>
            <rFont val="Arial"/>
            <scheme val="minor"/>
          </rPr>
          <t>Updated on 07-Mar-2025 04:45 PM by bpsdemak3321@gmail.com</t>
        </r>
      </text>
    </comment>
    <comment ref="G1170" authorId="0" shapeId="0" xr:uid="{00000000-0006-0000-0000-00004C060000}">
      <text>
        <r>
          <rPr>
            <sz val="10"/>
            <color rgb="FF000000"/>
            <rFont val="Arial"/>
            <scheme val="minor"/>
          </rPr>
          <t>Updated on 07-Mar-2025 04:54 PM by bpsdemak3321@gmail.com</t>
        </r>
      </text>
    </comment>
    <comment ref="H1170" authorId="0" shapeId="0" xr:uid="{00000000-0006-0000-0000-00004D060000}">
      <text>
        <r>
          <rPr>
            <sz val="10"/>
            <color rgb="FF000000"/>
            <rFont val="Arial"/>
            <scheme val="minor"/>
          </rPr>
          <t>Updated on 07-Mar-2025 04:54 PM by bpsdemak3321@gmail.com</t>
        </r>
      </text>
    </comment>
    <comment ref="G1171" authorId="0" shapeId="0" xr:uid="{00000000-0006-0000-0000-00004E060000}">
      <text>
        <r>
          <rPr>
            <sz val="10"/>
            <color rgb="FF000000"/>
            <rFont val="Arial"/>
            <scheme val="minor"/>
          </rPr>
          <t>Updated on 07-Mar-2025 04:54 PM by bpsdemak3321@gmail.com</t>
        </r>
      </text>
    </comment>
    <comment ref="H1171" authorId="0" shapeId="0" xr:uid="{00000000-0006-0000-0000-00004F060000}">
      <text>
        <r>
          <rPr>
            <sz val="10"/>
            <color rgb="FF000000"/>
            <rFont val="Arial"/>
            <scheme val="minor"/>
          </rPr>
          <t>Updated on 07-Mar-2025 04:54 PM by bpsdemak3321@gmail.com</t>
        </r>
      </text>
    </comment>
    <comment ref="G1172" authorId="0" shapeId="0" xr:uid="{00000000-0006-0000-0000-000050060000}">
      <text>
        <r>
          <rPr>
            <sz val="10"/>
            <color rgb="FF000000"/>
            <rFont val="Arial"/>
            <scheme val="minor"/>
          </rPr>
          <t>Updated on 07-Mar-2025 04:56 PM by bpsdemak3321@gmail.com</t>
        </r>
      </text>
    </comment>
    <comment ref="H1172" authorId="0" shapeId="0" xr:uid="{00000000-0006-0000-0000-000051060000}">
      <text>
        <r>
          <rPr>
            <sz val="10"/>
            <color rgb="FF000000"/>
            <rFont val="Arial"/>
            <scheme val="minor"/>
          </rPr>
          <t>Updated on 07-Mar-2025 04:56 PM by bpsdemak3321@gmail.com</t>
        </r>
      </text>
    </comment>
    <comment ref="G1173" authorId="0" shapeId="0" xr:uid="{00000000-0006-0000-0000-000052060000}">
      <text>
        <r>
          <rPr>
            <sz val="10"/>
            <color rgb="FF000000"/>
            <rFont val="Arial"/>
            <scheme val="minor"/>
          </rPr>
          <t>Updated on 08-Mar-2025 11:17 AM by bpsdemak3321@gmail.com</t>
        </r>
      </text>
    </comment>
    <comment ref="H1173" authorId="0" shapeId="0" xr:uid="{00000000-0006-0000-0000-000053060000}">
      <text>
        <r>
          <rPr>
            <sz val="10"/>
            <color rgb="FF000000"/>
            <rFont val="Arial"/>
            <scheme val="minor"/>
          </rPr>
          <t>Updated on 08-Mar-2025 11:17 AM by bpsdemak3321@gmail.com</t>
        </r>
      </text>
    </comment>
    <comment ref="G1174" authorId="0" shapeId="0" xr:uid="{00000000-0006-0000-0000-000054060000}">
      <text>
        <r>
          <rPr>
            <sz val="10"/>
            <color rgb="FF000000"/>
            <rFont val="Arial"/>
            <scheme val="minor"/>
          </rPr>
          <t>Updated on 08-Mar-2025 11:18 AM by bpsdemak3321@gmail.com</t>
        </r>
      </text>
    </comment>
    <comment ref="H1174" authorId="0" shapeId="0" xr:uid="{00000000-0006-0000-0000-000055060000}">
      <text>
        <r>
          <rPr>
            <sz val="10"/>
            <color rgb="FF000000"/>
            <rFont val="Arial"/>
            <scheme val="minor"/>
          </rPr>
          <t>Updated on 08-Mar-2025 11:18 AM by bpsdemak3321@gmail.com</t>
        </r>
      </text>
    </comment>
    <comment ref="G1175" authorId="0" shapeId="0" xr:uid="{00000000-0006-0000-0000-000056060000}">
      <text>
        <r>
          <rPr>
            <sz val="10"/>
            <color rgb="FF000000"/>
            <rFont val="Arial"/>
            <scheme val="minor"/>
          </rPr>
          <t>Updated on 08-Mar-2025 02:13 PM by bpsdemak3321@gmail.com</t>
        </r>
      </text>
    </comment>
    <comment ref="H1175" authorId="0" shapeId="0" xr:uid="{00000000-0006-0000-0000-000057060000}">
      <text>
        <r>
          <rPr>
            <sz val="10"/>
            <color rgb="FF000000"/>
            <rFont val="Arial"/>
            <scheme val="minor"/>
          </rPr>
          <t>Updated on 08-Mar-2025 02:13 PM by bpsdemak3321@gmail.com</t>
        </r>
      </text>
    </comment>
    <comment ref="G1176" authorId="0" shapeId="0" xr:uid="{00000000-0006-0000-0000-000058060000}">
      <text>
        <r>
          <rPr>
            <sz val="10"/>
            <color rgb="FF000000"/>
            <rFont val="Arial"/>
            <scheme val="minor"/>
          </rPr>
          <t>Updated on 08-Mar-2025 02:14 PM by bpsdemak3321@gmail.com</t>
        </r>
      </text>
    </comment>
    <comment ref="H1176" authorId="0" shapeId="0" xr:uid="{00000000-0006-0000-0000-000059060000}">
      <text>
        <r>
          <rPr>
            <sz val="10"/>
            <color rgb="FF000000"/>
            <rFont val="Arial"/>
            <scheme val="minor"/>
          </rPr>
          <t>Updated on 08-Mar-2025 02:14 PM by bpsdemak3321@gmail.com</t>
        </r>
      </text>
    </comment>
    <comment ref="F1177" authorId="0" shapeId="0" xr:uid="{00000000-0006-0000-0000-00005A060000}">
      <text>
        <r>
          <rPr>
            <sz val="10"/>
            <color rgb="FF000000"/>
            <rFont val="Arial"/>
            <scheme val="minor"/>
          </rPr>
          <t>Updated on 09-Mar-2025 04:17 PM by bpsdemak3321@gmail.com</t>
        </r>
      </text>
    </comment>
    <comment ref="G1177" authorId="0" shapeId="0" xr:uid="{00000000-0006-0000-0000-00005B060000}">
      <text>
        <r>
          <rPr>
            <sz val="10"/>
            <color rgb="FF000000"/>
            <rFont val="Arial"/>
            <scheme val="minor"/>
          </rPr>
          <t>Updated on 09-Mar-2025 04:17 PM by bpsdemak3321@gmail.com</t>
        </r>
      </text>
    </comment>
    <comment ref="H1177" authorId="0" shapeId="0" xr:uid="{00000000-0006-0000-0000-00005C060000}">
      <text>
        <r>
          <rPr>
            <sz val="10"/>
            <color rgb="FF000000"/>
            <rFont val="Arial"/>
            <scheme val="minor"/>
          </rPr>
          <t>Updated on 09-Mar-2025 04:17 PM by bpsdemak3321@gmail.com</t>
        </r>
      </text>
    </comment>
    <comment ref="F1178" authorId="0" shapeId="0" xr:uid="{00000000-0006-0000-0000-00005D060000}">
      <text>
        <r>
          <rPr>
            <sz val="10"/>
            <color rgb="FF000000"/>
            <rFont val="Arial"/>
            <scheme val="minor"/>
          </rPr>
          <t>Updated on 10-Mar-2025 07:37 AM by bpsdemak3321@gmail.com</t>
        </r>
      </text>
    </comment>
    <comment ref="G1178" authorId="0" shapeId="0" xr:uid="{00000000-0006-0000-0000-00005E060000}">
      <text>
        <r>
          <rPr>
            <sz val="10"/>
            <color rgb="FF000000"/>
            <rFont val="Arial"/>
            <scheme val="minor"/>
          </rPr>
          <t>Updated on 10-Mar-2025 07:37 AM by bpsdemak3321@gmail.com</t>
        </r>
      </text>
    </comment>
    <comment ref="H1178" authorId="0" shapeId="0" xr:uid="{00000000-0006-0000-0000-00005F060000}">
      <text>
        <r>
          <rPr>
            <sz val="10"/>
            <color rgb="FF000000"/>
            <rFont val="Arial"/>
            <scheme val="minor"/>
          </rPr>
          <t>Updated on 10-Mar-2025 07:37 AM by bpsdemak3321@gmail.com</t>
        </r>
      </text>
    </comment>
    <comment ref="F1179" authorId="0" shapeId="0" xr:uid="{00000000-0006-0000-0000-000060060000}">
      <text>
        <r>
          <rPr>
            <sz val="10"/>
            <color rgb="FF000000"/>
            <rFont val="Arial"/>
            <scheme val="minor"/>
          </rPr>
          <t>Updated on 10-Mar-2025 07:41 AM by bpsdemak3321@gmail.com</t>
        </r>
      </text>
    </comment>
    <comment ref="G1179" authorId="0" shapeId="0" xr:uid="{00000000-0006-0000-0000-000061060000}">
      <text>
        <r>
          <rPr>
            <sz val="10"/>
            <color rgb="FF000000"/>
            <rFont val="Arial"/>
            <scheme val="minor"/>
          </rPr>
          <t>Updated on 10-Mar-2025 07:41 AM by bpsdemak3321@gmail.com</t>
        </r>
      </text>
    </comment>
    <comment ref="H1179" authorId="0" shapeId="0" xr:uid="{00000000-0006-0000-0000-000062060000}">
      <text>
        <r>
          <rPr>
            <sz val="10"/>
            <color rgb="FF000000"/>
            <rFont val="Arial"/>
            <scheme val="minor"/>
          </rPr>
          <t>Updated on 10-Mar-2025 07:41 AM by bpsdemak3321@gmail.com</t>
        </r>
      </text>
    </comment>
    <comment ref="F1180" authorId="0" shapeId="0" xr:uid="{00000000-0006-0000-0000-000063060000}">
      <text>
        <r>
          <rPr>
            <sz val="10"/>
            <color rgb="FF000000"/>
            <rFont val="Arial"/>
            <scheme val="minor"/>
          </rPr>
          <t>Updated on 10-Mar-2025 07:43 AM by bpsdemak3321@gmail.com</t>
        </r>
      </text>
    </comment>
    <comment ref="G1180" authorId="0" shapeId="0" xr:uid="{00000000-0006-0000-0000-000064060000}">
      <text>
        <r>
          <rPr>
            <sz val="10"/>
            <color rgb="FF000000"/>
            <rFont val="Arial"/>
            <scheme val="minor"/>
          </rPr>
          <t>Updated on 10-Mar-2025 07:43 AM by bpsdemak3321@gmail.com</t>
        </r>
      </text>
    </comment>
    <comment ref="H1180" authorId="0" shapeId="0" xr:uid="{00000000-0006-0000-0000-000065060000}">
      <text>
        <r>
          <rPr>
            <sz val="10"/>
            <color rgb="FF000000"/>
            <rFont val="Arial"/>
            <scheme val="minor"/>
          </rPr>
          <t>Updated on 10-Mar-2025 07:43 AM by bpsdemak3321@gmail.com</t>
        </r>
      </text>
    </comment>
    <comment ref="F1181" authorId="0" shapeId="0" xr:uid="{00000000-0006-0000-0000-000066060000}">
      <text>
        <r>
          <rPr>
            <sz val="10"/>
            <color rgb="FF000000"/>
            <rFont val="Arial"/>
            <scheme val="minor"/>
          </rPr>
          <t>Updated on 10-Mar-2025 07:54 AM by bpsdemak3321@gmail.com</t>
        </r>
      </text>
    </comment>
    <comment ref="G1181" authorId="0" shapeId="0" xr:uid="{00000000-0006-0000-0000-000067060000}">
      <text>
        <r>
          <rPr>
            <sz val="10"/>
            <color rgb="FF000000"/>
            <rFont val="Arial"/>
            <scheme val="minor"/>
          </rPr>
          <t>Updated on 10-Mar-2025 07:54 AM by bpsdemak3321@gmail.com</t>
        </r>
      </text>
    </comment>
    <comment ref="H1181" authorId="0" shapeId="0" xr:uid="{00000000-0006-0000-0000-000068060000}">
      <text>
        <r>
          <rPr>
            <sz val="10"/>
            <color rgb="FF000000"/>
            <rFont val="Arial"/>
            <scheme val="minor"/>
          </rPr>
          <t>Updated on 10-Mar-2025 07:54 AM by bpsdemak3321@gmail.com</t>
        </r>
      </text>
    </comment>
    <comment ref="F1182" authorId="0" shapeId="0" xr:uid="{00000000-0006-0000-0000-000069060000}">
      <text>
        <r>
          <rPr>
            <sz val="10"/>
            <color rgb="FF000000"/>
            <rFont val="Arial"/>
            <scheme val="minor"/>
          </rPr>
          <t>Updated on 10-Mar-2025 07:54 AM by bpsdemak3321@gmail.com</t>
        </r>
      </text>
    </comment>
    <comment ref="G1182" authorId="0" shapeId="0" xr:uid="{00000000-0006-0000-0000-00006A060000}">
      <text>
        <r>
          <rPr>
            <sz val="10"/>
            <color rgb="FF000000"/>
            <rFont val="Arial"/>
            <scheme val="minor"/>
          </rPr>
          <t>Updated on 10-Mar-2025 07:54 AM by bpsdemak3321@gmail.com</t>
        </r>
      </text>
    </comment>
    <comment ref="H1182" authorId="0" shapeId="0" xr:uid="{00000000-0006-0000-0000-00006B060000}">
      <text>
        <r>
          <rPr>
            <sz val="10"/>
            <color rgb="FF000000"/>
            <rFont val="Arial"/>
            <scheme val="minor"/>
          </rPr>
          <t>Updated on 10-Mar-2025 07:54 AM by bpsdemak3321@gmail.com</t>
        </r>
      </text>
    </comment>
    <comment ref="F1183" authorId="0" shapeId="0" xr:uid="{00000000-0006-0000-0000-00006C060000}">
      <text>
        <r>
          <rPr>
            <sz val="10"/>
            <color rgb="FF000000"/>
            <rFont val="Arial"/>
            <scheme val="minor"/>
          </rPr>
          <t>Updated on 10-Mar-2025 07:55 AM by bpsdemak3321@gmail.com</t>
        </r>
      </text>
    </comment>
    <comment ref="G1183" authorId="0" shapeId="0" xr:uid="{00000000-0006-0000-0000-00006D060000}">
      <text>
        <r>
          <rPr>
            <sz val="10"/>
            <color rgb="FF000000"/>
            <rFont val="Arial"/>
            <scheme val="minor"/>
          </rPr>
          <t>Updated on 10-Mar-2025 07:55 AM by bpsdemak3321@gmail.com</t>
        </r>
      </text>
    </comment>
    <comment ref="H1183" authorId="0" shapeId="0" xr:uid="{00000000-0006-0000-0000-00006E060000}">
      <text>
        <r>
          <rPr>
            <sz val="10"/>
            <color rgb="FF000000"/>
            <rFont val="Arial"/>
            <scheme val="minor"/>
          </rPr>
          <t>Updated on 10-Mar-2025 07:55 AM by bpsdemak3321@gmail.com</t>
        </r>
      </text>
    </comment>
    <comment ref="F1184" authorId="0" shapeId="0" xr:uid="{00000000-0006-0000-0000-00006F060000}">
      <text>
        <r>
          <rPr>
            <sz val="10"/>
            <color rgb="FF000000"/>
            <rFont val="Arial"/>
            <scheme val="minor"/>
          </rPr>
          <t>Updated on 10-Mar-2025 08:02 AM by bpsdemak3321@gmail.com</t>
        </r>
      </text>
    </comment>
    <comment ref="G1184" authorId="0" shapeId="0" xr:uid="{00000000-0006-0000-0000-000070060000}">
      <text>
        <r>
          <rPr>
            <sz val="10"/>
            <color rgb="FF000000"/>
            <rFont val="Arial"/>
            <scheme val="minor"/>
          </rPr>
          <t>Updated on 10-Mar-2025 08:02 AM by bpsdemak3321@gmail.com</t>
        </r>
      </text>
    </comment>
    <comment ref="H1184" authorId="0" shapeId="0" xr:uid="{00000000-0006-0000-0000-000071060000}">
      <text>
        <r>
          <rPr>
            <sz val="10"/>
            <color rgb="FF000000"/>
            <rFont val="Arial"/>
            <scheme val="minor"/>
          </rPr>
          <t>Updated on 10-Mar-2025 08:02 AM by bpsdemak3321@gmail.com</t>
        </r>
      </text>
    </comment>
    <comment ref="F1185" authorId="0" shapeId="0" xr:uid="{00000000-0006-0000-0000-000072060000}">
      <text>
        <r>
          <rPr>
            <sz val="10"/>
            <color rgb="FF000000"/>
            <rFont val="Arial"/>
            <scheme val="minor"/>
          </rPr>
          <t>Updated on 10-Mar-2025 08:56 AM by bpsdemak3321@gmail.com</t>
        </r>
      </text>
    </comment>
    <comment ref="G1185" authorId="0" shapeId="0" xr:uid="{00000000-0006-0000-0000-000073060000}">
      <text>
        <r>
          <rPr>
            <sz val="10"/>
            <color rgb="FF000000"/>
            <rFont val="Arial"/>
            <scheme val="minor"/>
          </rPr>
          <t>Updated on 10-Mar-2025 08:56 AM by bpsdemak3321@gmail.com</t>
        </r>
      </text>
    </comment>
    <comment ref="H1185" authorId="0" shapeId="0" xr:uid="{00000000-0006-0000-0000-000074060000}">
      <text>
        <r>
          <rPr>
            <sz val="10"/>
            <color rgb="FF000000"/>
            <rFont val="Arial"/>
            <scheme val="minor"/>
          </rPr>
          <t>Updated on 10-Mar-2025 08:56 AM by bpsdemak3321@gmail.com</t>
        </r>
      </text>
    </comment>
    <comment ref="F1186" authorId="0" shapeId="0" xr:uid="{00000000-0006-0000-0000-000075060000}">
      <text>
        <r>
          <rPr>
            <sz val="10"/>
            <color rgb="FF000000"/>
            <rFont val="Arial"/>
            <scheme val="minor"/>
          </rPr>
          <t>Updated on 10-Mar-2025 09:11 AM by bpsdemak3321@gmail.com</t>
        </r>
      </text>
    </comment>
    <comment ref="G1186" authorId="0" shapeId="0" xr:uid="{00000000-0006-0000-0000-000076060000}">
      <text>
        <r>
          <rPr>
            <sz val="10"/>
            <color rgb="FF000000"/>
            <rFont val="Arial"/>
            <scheme val="minor"/>
          </rPr>
          <t>Updated on 10-Mar-2025 09:11 AM by bpsdemak3321@gmail.com</t>
        </r>
      </text>
    </comment>
    <comment ref="H1186" authorId="0" shapeId="0" xr:uid="{00000000-0006-0000-0000-000077060000}">
      <text>
        <r>
          <rPr>
            <sz val="10"/>
            <color rgb="FF000000"/>
            <rFont val="Arial"/>
            <scheme val="minor"/>
          </rPr>
          <t>Updated on 10-Mar-2025 09:11 AM by bpsdemak3321@gmail.com</t>
        </r>
      </text>
    </comment>
    <comment ref="F1187" authorId="0" shapeId="0" xr:uid="{00000000-0006-0000-0000-000078060000}">
      <text>
        <r>
          <rPr>
            <sz val="10"/>
            <color rgb="FF000000"/>
            <rFont val="Arial"/>
            <scheme val="minor"/>
          </rPr>
          <t>Updated on 10-Mar-2025 09:14 AM by bpsdemak3321@gmail.com</t>
        </r>
      </text>
    </comment>
    <comment ref="G1187" authorId="0" shapeId="0" xr:uid="{00000000-0006-0000-0000-000079060000}">
      <text>
        <r>
          <rPr>
            <sz val="10"/>
            <color rgb="FF000000"/>
            <rFont val="Arial"/>
            <scheme val="minor"/>
          </rPr>
          <t>Updated on 10-Mar-2025 09:14 AM by bpsdemak3321@gmail.com</t>
        </r>
      </text>
    </comment>
    <comment ref="H1187" authorId="0" shapeId="0" xr:uid="{00000000-0006-0000-0000-00007A060000}">
      <text>
        <r>
          <rPr>
            <sz val="10"/>
            <color rgb="FF000000"/>
            <rFont val="Arial"/>
            <scheme val="minor"/>
          </rPr>
          <t>Updated on 10-Mar-2025 09:14 AM by bpsdemak3321@gmail.com</t>
        </r>
      </text>
    </comment>
    <comment ref="F1188" authorId="0" shapeId="0" xr:uid="{00000000-0006-0000-0000-00007B060000}">
      <text>
        <r>
          <rPr>
            <sz val="10"/>
            <color rgb="FF000000"/>
            <rFont val="Arial"/>
            <scheme val="minor"/>
          </rPr>
          <t>Updated on 10-Mar-2025 09:22 AM by bpsdemak3321@gmail.com</t>
        </r>
      </text>
    </comment>
    <comment ref="G1188" authorId="0" shapeId="0" xr:uid="{00000000-0006-0000-0000-00007C060000}">
      <text>
        <r>
          <rPr>
            <sz val="10"/>
            <color rgb="FF000000"/>
            <rFont val="Arial"/>
            <scheme val="minor"/>
          </rPr>
          <t>Updated on 10-Mar-2025 09:22 AM by bpsdemak3321@gmail.com</t>
        </r>
      </text>
    </comment>
    <comment ref="H1188" authorId="0" shapeId="0" xr:uid="{00000000-0006-0000-0000-00007D060000}">
      <text>
        <r>
          <rPr>
            <sz val="10"/>
            <color rgb="FF000000"/>
            <rFont val="Arial"/>
            <scheme val="minor"/>
          </rPr>
          <t>Updated on 10-Mar-2025 09:22 AM by bpsdemak3321@gmail.com</t>
        </r>
      </text>
    </comment>
    <comment ref="F1189" authorId="0" shapeId="0" xr:uid="{00000000-0006-0000-0000-00007E060000}">
      <text>
        <r>
          <rPr>
            <sz val="10"/>
            <color rgb="FF000000"/>
            <rFont val="Arial"/>
            <scheme val="minor"/>
          </rPr>
          <t>Updated on 10-Mar-2025 09:25 AM by bpsdemak3321@gmail.com</t>
        </r>
      </text>
    </comment>
    <comment ref="G1189" authorId="0" shapeId="0" xr:uid="{00000000-0006-0000-0000-00007F060000}">
      <text>
        <r>
          <rPr>
            <sz val="10"/>
            <color rgb="FF000000"/>
            <rFont val="Arial"/>
            <scheme val="minor"/>
          </rPr>
          <t>Updated on 10-Mar-2025 09:25 AM by bpsdemak3321@gmail.com</t>
        </r>
      </text>
    </comment>
    <comment ref="H1189" authorId="0" shapeId="0" xr:uid="{00000000-0006-0000-0000-000080060000}">
      <text>
        <r>
          <rPr>
            <sz val="10"/>
            <color rgb="FF000000"/>
            <rFont val="Arial"/>
            <scheme val="minor"/>
          </rPr>
          <t>Updated on 10-Mar-2025 09:25 AM by bpsdemak3321@gmail.com</t>
        </r>
      </text>
    </comment>
    <comment ref="F1190" authorId="0" shapeId="0" xr:uid="{00000000-0006-0000-0000-000081060000}">
      <text>
        <r>
          <rPr>
            <sz val="10"/>
            <color rgb="FF000000"/>
            <rFont val="Arial"/>
            <scheme val="minor"/>
          </rPr>
          <t>Updated on 10-Mar-2025 09:27 AM by bpsdemak3321@gmail.com</t>
        </r>
      </text>
    </comment>
    <comment ref="G1190" authorId="0" shapeId="0" xr:uid="{00000000-0006-0000-0000-000082060000}">
      <text>
        <r>
          <rPr>
            <sz val="10"/>
            <color rgb="FF000000"/>
            <rFont val="Arial"/>
            <scheme val="minor"/>
          </rPr>
          <t>Updated on 10-Mar-2025 09:27 AM by bpsdemak3321@gmail.com</t>
        </r>
      </text>
    </comment>
    <comment ref="H1190" authorId="0" shapeId="0" xr:uid="{00000000-0006-0000-0000-000083060000}">
      <text>
        <r>
          <rPr>
            <sz val="10"/>
            <color rgb="FF000000"/>
            <rFont val="Arial"/>
            <scheme val="minor"/>
          </rPr>
          <t>Updated on 10-Mar-2025 09:27 AM by bpsdemak3321@gmail.com</t>
        </r>
      </text>
    </comment>
    <comment ref="F1191" authorId="0" shapeId="0" xr:uid="{00000000-0006-0000-0000-000084060000}">
      <text>
        <r>
          <rPr>
            <sz val="10"/>
            <color rgb="FF000000"/>
            <rFont val="Arial"/>
            <scheme val="minor"/>
          </rPr>
          <t>Updated on 10-Mar-2025 09:27 AM by bpsdemak3321@gmail.com</t>
        </r>
      </text>
    </comment>
    <comment ref="G1191" authorId="0" shapeId="0" xr:uid="{00000000-0006-0000-0000-000085060000}">
      <text>
        <r>
          <rPr>
            <sz val="10"/>
            <color rgb="FF000000"/>
            <rFont val="Arial"/>
            <scheme val="minor"/>
          </rPr>
          <t>Updated on 10-Mar-2025 09:27 AM by bpsdemak3321@gmail.com</t>
        </r>
      </text>
    </comment>
    <comment ref="H1191" authorId="0" shapeId="0" xr:uid="{00000000-0006-0000-0000-000086060000}">
      <text>
        <r>
          <rPr>
            <sz val="10"/>
            <color rgb="FF000000"/>
            <rFont val="Arial"/>
            <scheme val="minor"/>
          </rPr>
          <t>Updated on 10-Mar-2025 09:27 AM by bpsdemak3321@gmail.com</t>
        </r>
      </text>
    </comment>
    <comment ref="F1192" authorId="0" shapeId="0" xr:uid="{00000000-0006-0000-0000-000087060000}">
      <text>
        <r>
          <rPr>
            <sz val="10"/>
            <color rgb="FF000000"/>
            <rFont val="Arial"/>
            <scheme val="minor"/>
          </rPr>
          <t>Updated on 10-Mar-2025 09:28 AM by bpsdemak3321@gmail.com</t>
        </r>
      </text>
    </comment>
    <comment ref="G1192" authorId="0" shapeId="0" xr:uid="{00000000-0006-0000-0000-000088060000}">
      <text>
        <r>
          <rPr>
            <sz val="10"/>
            <color rgb="FF000000"/>
            <rFont val="Arial"/>
            <scheme val="minor"/>
          </rPr>
          <t>Updated on 10-Mar-2025 09:28 AM by bpsdemak3321@gmail.com</t>
        </r>
      </text>
    </comment>
    <comment ref="H1192" authorId="0" shapeId="0" xr:uid="{00000000-0006-0000-0000-000089060000}">
      <text>
        <r>
          <rPr>
            <sz val="10"/>
            <color rgb="FF000000"/>
            <rFont val="Arial"/>
            <scheme val="minor"/>
          </rPr>
          <t>Updated on 10-Mar-2025 09:28 AM by bpsdemak3321@gmail.com</t>
        </r>
      </text>
    </comment>
    <comment ref="F1193" authorId="0" shapeId="0" xr:uid="{00000000-0006-0000-0000-00008A060000}">
      <text>
        <r>
          <rPr>
            <sz val="10"/>
            <color rgb="FF000000"/>
            <rFont val="Arial"/>
            <scheme val="minor"/>
          </rPr>
          <t>Updated on 10-Mar-2025 09:29 AM by bpsdemak3321@gmail.com</t>
        </r>
      </text>
    </comment>
    <comment ref="G1193" authorId="0" shapeId="0" xr:uid="{00000000-0006-0000-0000-00008B060000}">
      <text>
        <r>
          <rPr>
            <sz val="10"/>
            <color rgb="FF000000"/>
            <rFont val="Arial"/>
            <scheme val="minor"/>
          </rPr>
          <t>Updated on 10-Mar-2025 09:29 AM by bpsdemak3321@gmail.com</t>
        </r>
      </text>
    </comment>
    <comment ref="H1193" authorId="0" shapeId="0" xr:uid="{00000000-0006-0000-0000-00008C060000}">
      <text>
        <r>
          <rPr>
            <sz val="10"/>
            <color rgb="FF000000"/>
            <rFont val="Arial"/>
            <scheme val="minor"/>
          </rPr>
          <t>Updated on 10-Mar-2025 09:29 AM by bpsdemak3321@gmail.com</t>
        </r>
      </text>
    </comment>
    <comment ref="F1194" authorId="0" shapeId="0" xr:uid="{00000000-0006-0000-0000-00008D060000}">
      <text>
        <r>
          <rPr>
            <sz val="10"/>
            <color rgb="FF000000"/>
            <rFont val="Arial"/>
            <scheme val="minor"/>
          </rPr>
          <t>Updated on 10-Mar-2025 09:29 AM by bpsdemak3321@gmail.com</t>
        </r>
      </text>
    </comment>
    <comment ref="G1194" authorId="0" shapeId="0" xr:uid="{00000000-0006-0000-0000-00008E060000}">
      <text>
        <r>
          <rPr>
            <sz val="10"/>
            <color rgb="FF000000"/>
            <rFont val="Arial"/>
            <scheme val="minor"/>
          </rPr>
          <t>Updated on 10-Mar-2025 09:29 AM by bpsdemak3321@gmail.com</t>
        </r>
      </text>
    </comment>
    <comment ref="H1194" authorId="0" shapeId="0" xr:uid="{00000000-0006-0000-0000-00008F060000}">
      <text>
        <r>
          <rPr>
            <sz val="10"/>
            <color rgb="FF000000"/>
            <rFont val="Arial"/>
            <scheme val="minor"/>
          </rPr>
          <t>Updated on 10-Mar-2025 09:29 AM by bpsdemak3321@gmail.com</t>
        </r>
      </text>
    </comment>
    <comment ref="F1195" authorId="0" shapeId="0" xr:uid="{00000000-0006-0000-0000-000090060000}">
      <text>
        <r>
          <rPr>
            <sz val="10"/>
            <color rgb="FF000000"/>
            <rFont val="Arial"/>
            <scheme val="minor"/>
          </rPr>
          <t>Updated on 10-Mar-2025 09:30 AM by bpsdemak3321@gmail.com</t>
        </r>
      </text>
    </comment>
    <comment ref="G1195" authorId="0" shapeId="0" xr:uid="{00000000-0006-0000-0000-000091060000}">
      <text>
        <r>
          <rPr>
            <sz val="10"/>
            <color rgb="FF000000"/>
            <rFont val="Arial"/>
            <scheme val="minor"/>
          </rPr>
          <t>Updated on 10-Mar-2025 09:30 AM by bpsdemak3321@gmail.com</t>
        </r>
      </text>
    </comment>
    <comment ref="H1195" authorId="0" shapeId="0" xr:uid="{00000000-0006-0000-0000-000092060000}">
      <text>
        <r>
          <rPr>
            <sz val="10"/>
            <color rgb="FF000000"/>
            <rFont val="Arial"/>
            <scheme val="minor"/>
          </rPr>
          <t>Updated on 10-Mar-2025 09:30 AM by bpsdemak3321@gmail.com</t>
        </r>
      </text>
    </comment>
    <comment ref="F1196" authorId="0" shapeId="0" xr:uid="{00000000-0006-0000-0000-000093060000}">
      <text>
        <r>
          <rPr>
            <sz val="10"/>
            <color rgb="FF000000"/>
            <rFont val="Arial"/>
            <scheme val="minor"/>
          </rPr>
          <t>Updated on 10-Mar-2025 09:30 AM by bpsdemak3321@gmail.com</t>
        </r>
      </text>
    </comment>
    <comment ref="G1196" authorId="0" shapeId="0" xr:uid="{00000000-0006-0000-0000-000094060000}">
      <text>
        <r>
          <rPr>
            <sz val="10"/>
            <color rgb="FF000000"/>
            <rFont val="Arial"/>
            <scheme val="minor"/>
          </rPr>
          <t>Updated on 10-Mar-2025 09:30 AM by bpsdemak3321@gmail.com</t>
        </r>
      </text>
    </comment>
    <comment ref="H1196" authorId="0" shapeId="0" xr:uid="{00000000-0006-0000-0000-000095060000}">
      <text>
        <r>
          <rPr>
            <sz val="10"/>
            <color rgb="FF000000"/>
            <rFont val="Arial"/>
            <scheme val="minor"/>
          </rPr>
          <t>Updated on 10-Mar-2025 09:30 AM by bpsdemak3321@gmail.com</t>
        </r>
      </text>
    </comment>
    <comment ref="F1197" authorId="0" shapeId="0" xr:uid="{00000000-0006-0000-0000-000096060000}">
      <text>
        <r>
          <rPr>
            <sz val="10"/>
            <color rgb="FF000000"/>
            <rFont val="Arial"/>
            <scheme val="minor"/>
          </rPr>
          <t>Updated on 10-Mar-2025 09:31 AM by bpsdemak3321@gmail.com</t>
        </r>
      </text>
    </comment>
    <comment ref="G1197" authorId="0" shapeId="0" xr:uid="{00000000-0006-0000-0000-000097060000}">
      <text>
        <r>
          <rPr>
            <sz val="10"/>
            <color rgb="FF000000"/>
            <rFont val="Arial"/>
            <scheme val="minor"/>
          </rPr>
          <t>Updated on 10-Mar-2025 09:31 AM by bpsdemak3321@gmail.com</t>
        </r>
      </text>
    </comment>
    <comment ref="H1197" authorId="0" shapeId="0" xr:uid="{00000000-0006-0000-0000-000098060000}">
      <text>
        <r>
          <rPr>
            <sz val="10"/>
            <color rgb="FF000000"/>
            <rFont val="Arial"/>
            <scheme val="minor"/>
          </rPr>
          <t>Updated on 10-Mar-2025 09:31 AM by bpsdemak3321@gmail.com</t>
        </r>
      </text>
    </comment>
    <comment ref="F1198" authorId="0" shapeId="0" xr:uid="{00000000-0006-0000-0000-000099060000}">
      <text>
        <r>
          <rPr>
            <sz val="10"/>
            <color rgb="FF000000"/>
            <rFont val="Arial"/>
            <scheme val="minor"/>
          </rPr>
          <t>Updated on 10-Mar-2025 09:45 AM by bpsdemak3321@gmail.com</t>
        </r>
      </text>
    </comment>
    <comment ref="G1198" authorId="0" shapeId="0" xr:uid="{00000000-0006-0000-0000-00009A060000}">
      <text>
        <r>
          <rPr>
            <sz val="10"/>
            <color rgb="FF000000"/>
            <rFont val="Arial"/>
            <scheme val="minor"/>
          </rPr>
          <t>Updated on 10-Mar-2025 09:45 AM by bpsdemak3321@gmail.com</t>
        </r>
      </text>
    </comment>
    <comment ref="H1198" authorId="0" shapeId="0" xr:uid="{00000000-0006-0000-0000-00009B060000}">
      <text>
        <r>
          <rPr>
            <sz val="10"/>
            <color rgb="FF000000"/>
            <rFont val="Arial"/>
            <scheme val="minor"/>
          </rPr>
          <t>Updated on 10-Mar-2025 09:45 AM by bpsdemak3321@gmail.com</t>
        </r>
      </text>
    </comment>
    <comment ref="F1199" authorId="0" shapeId="0" xr:uid="{00000000-0006-0000-0000-00009C060000}">
      <text>
        <r>
          <rPr>
            <sz val="10"/>
            <color rgb="FF000000"/>
            <rFont val="Arial"/>
            <scheme val="minor"/>
          </rPr>
          <t>Updated on 10-Mar-2025 09:51 AM by bpsdemak3321@gmail.com</t>
        </r>
      </text>
    </comment>
    <comment ref="G1199" authorId="0" shapeId="0" xr:uid="{00000000-0006-0000-0000-00009D060000}">
      <text>
        <r>
          <rPr>
            <sz val="10"/>
            <color rgb="FF000000"/>
            <rFont val="Arial"/>
            <scheme val="minor"/>
          </rPr>
          <t>Updated on 10-Mar-2025 09:51 AM by bpsdemak3321@gmail.com</t>
        </r>
      </text>
    </comment>
    <comment ref="H1199" authorId="0" shapeId="0" xr:uid="{00000000-0006-0000-0000-00009E060000}">
      <text>
        <r>
          <rPr>
            <sz val="10"/>
            <color rgb="FF000000"/>
            <rFont val="Arial"/>
            <scheme val="minor"/>
          </rPr>
          <t>Updated on 10-Mar-2025 09:51 AM by bpsdemak3321@gmail.com</t>
        </r>
      </text>
    </comment>
    <comment ref="F1200" authorId="0" shapeId="0" xr:uid="{00000000-0006-0000-0000-00009F060000}">
      <text>
        <r>
          <rPr>
            <sz val="10"/>
            <color rgb="FF000000"/>
            <rFont val="Arial"/>
            <scheme val="minor"/>
          </rPr>
          <t>Updated on 10-Mar-2025 10:00 AM by bpsdemak3321@gmail.com</t>
        </r>
      </text>
    </comment>
    <comment ref="G1200" authorId="0" shapeId="0" xr:uid="{00000000-0006-0000-0000-0000A0060000}">
      <text>
        <r>
          <rPr>
            <sz val="10"/>
            <color rgb="FF000000"/>
            <rFont val="Arial"/>
            <scheme val="minor"/>
          </rPr>
          <t>Updated on 10-Mar-2025 10:00 AM by bpsdemak3321@gmail.com</t>
        </r>
      </text>
    </comment>
    <comment ref="H1200" authorId="0" shapeId="0" xr:uid="{00000000-0006-0000-0000-0000A1060000}">
      <text>
        <r>
          <rPr>
            <sz val="10"/>
            <color rgb="FF000000"/>
            <rFont val="Arial"/>
            <scheme val="minor"/>
          </rPr>
          <t>Updated on 10-Mar-2025 10:00 AM by bpsdemak3321@gmail.com</t>
        </r>
      </text>
    </comment>
    <comment ref="F1201" authorId="0" shapeId="0" xr:uid="{00000000-0006-0000-0000-0000A2060000}">
      <text>
        <r>
          <rPr>
            <sz val="10"/>
            <color rgb="FF000000"/>
            <rFont val="Arial"/>
            <scheme val="minor"/>
          </rPr>
          <t>Updated on 10-Mar-2025 10:02 AM by bpsdemak3321@gmail.com</t>
        </r>
      </text>
    </comment>
    <comment ref="G1201" authorId="0" shapeId="0" xr:uid="{00000000-0006-0000-0000-0000A3060000}">
      <text>
        <r>
          <rPr>
            <sz val="10"/>
            <color rgb="FF000000"/>
            <rFont val="Arial"/>
            <scheme val="minor"/>
          </rPr>
          <t>Updated on 10-Mar-2025 10:02 AM by bpsdemak3321@gmail.com</t>
        </r>
      </text>
    </comment>
    <comment ref="H1201" authorId="0" shapeId="0" xr:uid="{00000000-0006-0000-0000-0000A4060000}">
      <text>
        <r>
          <rPr>
            <sz val="10"/>
            <color rgb="FF000000"/>
            <rFont val="Arial"/>
            <scheme val="minor"/>
          </rPr>
          <t>Updated on 10-Mar-2025 10:02 AM by bpsdemak3321@gmail.com</t>
        </r>
      </text>
    </comment>
    <comment ref="F1202" authorId="0" shapeId="0" xr:uid="{00000000-0006-0000-0000-0000A5060000}">
      <text>
        <r>
          <rPr>
            <sz val="10"/>
            <color rgb="FF000000"/>
            <rFont val="Arial"/>
            <scheme val="minor"/>
          </rPr>
          <t>Updated on 10-Mar-2025 10:12 AM by bpsdemak3321@gmail.com</t>
        </r>
      </text>
    </comment>
    <comment ref="G1202" authorId="0" shapeId="0" xr:uid="{00000000-0006-0000-0000-0000A6060000}">
      <text>
        <r>
          <rPr>
            <sz val="10"/>
            <color rgb="FF000000"/>
            <rFont val="Arial"/>
            <scheme val="minor"/>
          </rPr>
          <t>Updated on 10-Mar-2025 10:12 AM by bpsdemak3321@gmail.com</t>
        </r>
      </text>
    </comment>
    <comment ref="H1202" authorId="0" shapeId="0" xr:uid="{00000000-0006-0000-0000-0000A7060000}">
      <text>
        <r>
          <rPr>
            <sz val="10"/>
            <color rgb="FF000000"/>
            <rFont val="Arial"/>
            <scheme val="minor"/>
          </rPr>
          <t>Updated on 10-Mar-2025 10:12 AM by bpsdemak3321@gmail.com</t>
        </r>
      </text>
    </comment>
    <comment ref="F1203" authorId="0" shapeId="0" xr:uid="{00000000-0006-0000-0000-0000A8060000}">
      <text>
        <r>
          <rPr>
            <sz val="10"/>
            <color rgb="FF000000"/>
            <rFont val="Arial"/>
            <scheme val="minor"/>
          </rPr>
          <t>Updated on 10-Mar-2025 10:15 AM by bpsdemak3321@gmail.com</t>
        </r>
      </text>
    </comment>
    <comment ref="G1203" authorId="0" shapeId="0" xr:uid="{00000000-0006-0000-0000-0000A9060000}">
      <text>
        <r>
          <rPr>
            <sz val="10"/>
            <color rgb="FF000000"/>
            <rFont val="Arial"/>
            <scheme val="minor"/>
          </rPr>
          <t>Updated on 10-Mar-2025 10:15 AM by bpsdemak3321@gmail.com</t>
        </r>
      </text>
    </comment>
    <comment ref="H1203" authorId="0" shapeId="0" xr:uid="{00000000-0006-0000-0000-0000AA060000}">
      <text>
        <r>
          <rPr>
            <sz val="10"/>
            <color rgb="FF000000"/>
            <rFont val="Arial"/>
            <scheme val="minor"/>
          </rPr>
          <t>Updated on 10-Mar-2025 10:15 AM by bpsdemak3321@gmail.com</t>
        </r>
      </text>
    </comment>
    <comment ref="G1204" authorId="0" shapeId="0" xr:uid="{00000000-0006-0000-0000-0000AB060000}">
      <text>
        <r>
          <rPr>
            <sz val="10"/>
            <color rgb="FF000000"/>
            <rFont val="Arial"/>
            <scheme val="minor"/>
          </rPr>
          <t>Updated on 10-Mar-2025 10:21 AM by bpsdemak3321@gmail.com</t>
        </r>
      </text>
    </comment>
    <comment ref="H1204" authorId="0" shapeId="0" xr:uid="{00000000-0006-0000-0000-0000AC060000}">
      <text>
        <r>
          <rPr>
            <sz val="10"/>
            <color rgb="FF000000"/>
            <rFont val="Arial"/>
            <scheme val="minor"/>
          </rPr>
          <t>Updated on 10-Mar-2025 10:21 AM by bpsdemak3321@gmail.com</t>
        </r>
      </text>
    </comment>
    <comment ref="G1205" authorId="0" shapeId="0" xr:uid="{00000000-0006-0000-0000-0000AD060000}">
      <text>
        <r>
          <rPr>
            <sz val="10"/>
            <color rgb="FF000000"/>
            <rFont val="Arial"/>
            <scheme val="minor"/>
          </rPr>
          <t>Updated on 10-Mar-2025 10:43 AM by bpsdemak3321@gmail.com</t>
        </r>
      </text>
    </comment>
    <comment ref="H1205" authorId="0" shapeId="0" xr:uid="{00000000-0006-0000-0000-0000AE060000}">
      <text>
        <r>
          <rPr>
            <sz val="10"/>
            <color rgb="FF000000"/>
            <rFont val="Arial"/>
            <scheme val="minor"/>
          </rPr>
          <t>Updated on 10-Mar-2025 10:43 AM by bpsdemak3321@gmail.com</t>
        </r>
      </text>
    </comment>
    <comment ref="G1206" authorId="0" shapeId="0" xr:uid="{00000000-0006-0000-0000-0000AF060000}">
      <text>
        <r>
          <rPr>
            <sz val="10"/>
            <color rgb="FF000000"/>
            <rFont val="Arial"/>
            <scheme val="minor"/>
          </rPr>
          <t>Updated on 12-Mar-2025 07:49 AM by bpsdemak3321@gmail.com</t>
        </r>
      </text>
    </comment>
    <comment ref="H1206" authorId="0" shapeId="0" xr:uid="{00000000-0006-0000-0000-0000B0060000}">
      <text>
        <r>
          <rPr>
            <sz val="10"/>
            <color rgb="FF000000"/>
            <rFont val="Arial"/>
            <scheme val="minor"/>
          </rPr>
          <t>Updated on 12-Mar-2025 07:49 AM by bpsdemak3321@gmail.com</t>
        </r>
      </text>
    </comment>
    <comment ref="G1207" authorId="0" shapeId="0" xr:uid="{00000000-0006-0000-0000-0000B1060000}">
      <text>
        <r>
          <rPr>
            <sz val="10"/>
            <color rgb="FF000000"/>
            <rFont val="Arial"/>
            <scheme val="minor"/>
          </rPr>
          <t>Updated on 12-Mar-2025 09:36 AM by bpsdemak3321@gmail.com</t>
        </r>
      </text>
    </comment>
    <comment ref="H1207" authorId="0" shapeId="0" xr:uid="{00000000-0006-0000-0000-0000B2060000}">
      <text>
        <r>
          <rPr>
            <sz val="10"/>
            <color rgb="FF000000"/>
            <rFont val="Arial"/>
            <scheme val="minor"/>
          </rPr>
          <t>Updated on 12-Mar-2025 09:36 AM by bpsdemak3321@gmail.com</t>
        </r>
      </text>
    </comment>
    <comment ref="G1208" authorId="0" shapeId="0" xr:uid="{00000000-0006-0000-0000-0000B3060000}">
      <text>
        <r>
          <rPr>
            <sz val="10"/>
            <color rgb="FF000000"/>
            <rFont val="Arial"/>
            <scheme val="minor"/>
          </rPr>
          <t>Updated on 12-Mar-2025 09:37 AM by bpsdemak3321@gmail.com</t>
        </r>
      </text>
    </comment>
    <comment ref="H1208" authorId="0" shapeId="0" xr:uid="{00000000-0006-0000-0000-0000B4060000}">
      <text>
        <r>
          <rPr>
            <sz val="10"/>
            <color rgb="FF000000"/>
            <rFont val="Arial"/>
            <scheme val="minor"/>
          </rPr>
          <t>Updated on 12-Mar-2025 09:37 AM by bpsdemak3321@gmail.com</t>
        </r>
      </text>
    </comment>
    <comment ref="G1209" authorId="0" shapeId="0" xr:uid="{00000000-0006-0000-0000-0000B5060000}">
      <text>
        <r>
          <rPr>
            <sz val="10"/>
            <color rgb="FF000000"/>
            <rFont val="Arial"/>
            <scheme val="minor"/>
          </rPr>
          <t>Updated on 12-Mar-2025 09:42 AM by bpsdemak3321@gmail.com</t>
        </r>
      </text>
    </comment>
    <comment ref="H1209" authorId="0" shapeId="0" xr:uid="{00000000-0006-0000-0000-0000B6060000}">
      <text>
        <r>
          <rPr>
            <sz val="10"/>
            <color rgb="FF000000"/>
            <rFont val="Arial"/>
            <scheme val="minor"/>
          </rPr>
          <t>Updated on 12-Mar-2025 09:42 AM by bpsdemak3321@gmail.com</t>
        </r>
      </text>
    </comment>
    <comment ref="G1210" authorId="0" shapeId="0" xr:uid="{00000000-0006-0000-0000-0000B7060000}">
      <text>
        <r>
          <rPr>
            <sz val="10"/>
            <color rgb="FF000000"/>
            <rFont val="Arial"/>
            <scheme val="minor"/>
          </rPr>
          <t>Updated on 12-Mar-2025 09:44 AM by bpsdemak3321@gmail.com</t>
        </r>
      </text>
    </comment>
    <comment ref="H1210" authorId="0" shapeId="0" xr:uid="{00000000-0006-0000-0000-0000B8060000}">
      <text>
        <r>
          <rPr>
            <sz val="10"/>
            <color rgb="FF000000"/>
            <rFont val="Arial"/>
            <scheme val="minor"/>
          </rPr>
          <t>Updated on 12-Mar-2025 09:44 AM by bpsdemak3321@gmail.com</t>
        </r>
      </text>
    </comment>
    <comment ref="G1211" authorId="0" shapeId="0" xr:uid="{00000000-0006-0000-0000-0000B9060000}">
      <text>
        <r>
          <rPr>
            <sz val="10"/>
            <color rgb="FF000000"/>
            <rFont val="Arial"/>
            <scheme val="minor"/>
          </rPr>
          <t>Updated on 12-Mar-2025 09:45 AM by bpsdemak3321@gmail.com</t>
        </r>
      </text>
    </comment>
    <comment ref="H1211" authorId="0" shapeId="0" xr:uid="{00000000-0006-0000-0000-0000BA060000}">
      <text>
        <r>
          <rPr>
            <sz val="10"/>
            <color rgb="FF000000"/>
            <rFont val="Arial"/>
            <scheme val="minor"/>
          </rPr>
          <t>Updated on 12-Mar-2025 09:45 AM by bpsdemak3321@gmail.com</t>
        </r>
      </text>
    </comment>
    <comment ref="G1212" authorId="0" shapeId="0" xr:uid="{00000000-0006-0000-0000-0000BB060000}">
      <text>
        <r>
          <rPr>
            <sz val="10"/>
            <color rgb="FF000000"/>
            <rFont val="Arial"/>
            <scheme val="minor"/>
          </rPr>
          <t>Updated on 12-Mar-2025 09:53 AM by bpsdemak3321@gmail.com</t>
        </r>
      </text>
    </comment>
    <comment ref="H1212" authorId="0" shapeId="0" xr:uid="{00000000-0006-0000-0000-0000BC060000}">
      <text>
        <r>
          <rPr>
            <sz val="10"/>
            <color rgb="FF000000"/>
            <rFont val="Arial"/>
            <scheme val="minor"/>
          </rPr>
          <t>Updated on 12-Mar-2025 09:53 AM by bpsdemak3321@gmail.com</t>
        </r>
      </text>
    </comment>
    <comment ref="G1213" authorId="0" shapeId="0" xr:uid="{00000000-0006-0000-0000-0000BD060000}">
      <text>
        <r>
          <rPr>
            <sz val="10"/>
            <color rgb="FF000000"/>
            <rFont val="Arial"/>
            <scheme val="minor"/>
          </rPr>
          <t>Updated on 12-Mar-2025 09:54 AM by bpsdemak3321@gmail.com</t>
        </r>
      </text>
    </comment>
    <comment ref="H1213" authorId="0" shapeId="0" xr:uid="{00000000-0006-0000-0000-0000BE060000}">
      <text>
        <r>
          <rPr>
            <sz val="10"/>
            <color rgb="FF000000"/>
            <rFont val="Arial"/>
            <scheme val="minor"/>
          </rPr>
          <t>Updated on 12-Mar-2025 09:54 AM by bpsdemak3321@gmail.com</t>
        </r>
      </text>
    </comment>
    <comment ref="G1214" authorId="0" shapeId="0" xr:uid="{00000000-0006-0000-0000-0000BF060000}">
      <text>
        <r>
          <rPr>
            <sz val="10"/>
            <color rgb="FF000000"/>
            <rFont val="Arial"/>
            <scheme val="minor"/>
          </rPr>
          <t>Updated on 12-Mar-2025 09:56 AM by bpsdemak3321@gmail.com</t>
        </r>
      </text>
    </comment>
    <comment ref="H1214" authorId="0" shapeId="0" xr:uid="{00000000-0006-0000-0000-0000C0060000}">
      <text>
        <r>
          <rPr>
            <sz val="10"/>
            <color rgb="FF000000"/>
            <rFont val="Arial"/>
            <scheme val="minor"/>
          </rPr>
          <t>Updated on 12-Mar-2025 09:56 AM by bpsdemak3321@gmail.com</t>
        </r>
      </text>
    </comment>
    <comment ref="G1215" authorId="0" shapeId="0" xr:uid="{00000000-0006-0000-0000-0000C1060000}">
      <text>
        <r>
          <rPr>
            <sz val="10"/>
            <color rgb="FF000000"/>
            <rFont val="Arial"/>
            <scheme val="minor"/>
          </rPr>
          <t>Updated on 12-Mar-2025 10:41 AM by bpsdemak3321@gmail.com</t>
        </r>
      </text>
    </comment>
    <comment ref="H1215" authorId="0" shapeId="0" xr:uid="{00000000-0006-0000-0000-0000C2060000}">
      <text>
        <r>
          <rPr>
            <sz val="10"/>
            <color rgb="FF000000"/>
            <rFont val="Arial"/>
            <scheme val="minor"/>
          </rPr>
          <t>Updated on 12-Mar-2025 10:41 AM by bpsdemak3321@gmail.com</t>
        </r>
      </text>
    </comment>
    <comment ref="G1216" authorId="0" shapeId="0" xr:uid="{00000000-0006-0000-0000-0000C3060000}">
      <text>
        <r>
          <rPr>
            <sz val="10"/>
            <color rgb="FF000000"/>
            <rFont val="Arial"/>
            <scheme val="minor"/>
          </rPr>
          <t>Updated on 12-Mar-2025 11:12 AM by bpsdemak3321@gmail.com</t>
        </r>
      </text>
    </comment>
    <comment ref="H1216" authorId="0" shapeId="0" xr:uid="{00000000-0006-0000-0000-0000C4060000}">
      <text>
        <r>
          <rPr>
            <sz val="10"/>
            <color rgb="FF000000"/>
            <rFont val="Arial"/>
            <scheme val="minor"/>
          </rPr>
          <t>Updated on 12-Mar-2025 11:12 AM by bpsdemak3321@gmail.com</t>
        </r>
      </text>
    </comment>
    <comment ref="G1217" authorId="0" shapeId="0" xr:uid="{00000000-0006-0000-0000-0000C5060000}">
      <text>
        <r>
          <rPr>
            <sz val="10"/>
            <color rgb="FF000000"/>
            <rFont val="Arial"/>
            <scheme val="minor"/>
          </rPr>
          <t>Updated on 12-Mar-2025 12:00 PM by bpsdemak3321@gmail.com</t>
        </r>
      </text>
    </comment>
    <comment ref="H1217" authorId="0" shapeId="0" xr:uid="{00000000-0006-0000-0000-0000C6060000}">
      <text>
        <r>
          <rPr>
            <sz val="10"/>
            <color rgb="FF000000"/>
            <rFont val="Arial"/>
            <scheme val="minor"/>
          </rPr>
          <t>Updated on 12-Mar-2025 12:00 PM by bpsdemak3321@gmail.com</t>
        </r>
      </text>
    </comment>
    <comment ref="G1218" authorId="0" shapeId="0" xr:uid="{00000000-0006-0000-0000-0000C7060000}">
      <text>
        <r>
          <rPr>
            <sz val="10"/>
            <color rgb="FF000000"/>
            <rFont val="Arial"/>
            <scheme val="minor"/>
          </rPr>
          <t>Updated on 12-Mar-2025 12:01 PM by bpsdemak3321@gmail.com</t>
        </r>
      </text>
    </comment>
    <comment ref="H1218" authorId="0" shapeId="0" xr:uid="{00000000-0006-0000-0000-0000C8060000}">
      <text>
        <r>
          <rPr>
            <sz val="10"/>
            <color rgb="FF000000"/>
            <rFont val="Arial"/>
            <scheme val="minor"/>
          </rPr>
          <t>Updated on 12-Mar-2025 12:01 PM by bpsdemak3321@gmail.com</t>
        </r>
      </text>
    </comment>
    <comment ref="G1219" authorId="0" shapeId="0" xr:uid="{00000000-0006-0000-0000-0000C9060000}">
      <text>
        <r>
          <rPr>
            <sz val="10"/>
            <color rgb="FF000000"/>
            <rFont val="Arial"/>
            <scheme val="minor"/>
          </rPr>
          <t>Updated on 12-Mar-2025 01:14 PM by bpsdemak3321@gmail.com</t>
        </r>
      </text>
    </comment>
    <comment ref="H1219" authorId="0" shapeId="0" xr:uid="{00000000-0006-0000-0000-0000CA060000}">
      <text>
        <r>
          <rPr>
            <sz val="10"/>
            <color rgb="FF000000"/>
            <rFont val="Arial"/>
            <scheme val="minor"/>
          </rPr>
          <t>Updated on 12-Mar-2025 01:14 PM by bpsdemak3321@gmail.com</t>
        </r>
      </text>
    </comment>
    <comment ref="G1220" authorId="0" shapeId="0" xr:uid="{00000000-0006-0000-0000-0000CB060000}">
      <text>
        <r>
          <rPr>
            <sz val="10"/>
            <color rgb="FF000000"/>
            <rFont val="Arial"/>
            <scheme val="minor"/>
          </rPr>
          <t>Updated on 13-Mar-2025 09:49 AM by bpsdemak3321@gmail.com</t>
        </r>
      </text>
    </comment>
    <comment ref="H1220" authorId="0" shapeId="0" xr:uid="{00000000-0006-0000-0000-0000CC060000}">
      <text>
        <r>
          <rPr>
            <sz val="10"/>
            <color rgb="FF000000"/>
            <rFont val="Arial"/>
            <scheme val="minor"/>
          </rPr>
          <t>Updated on 13-Mar-2025 09:49 AM by bpsdemak3321@gmail.com</t>
        </r>
      </text>
    </comment>
    <comment ref="G1221" authorId="0" shapeId="0" xr:uid="{00000000-0006-0000-0000-0000CD060000}">
      <text>
        <r>
          <rPr>
            <sz val="10"/>
            <color rgb="FF000000"/>
            <rFont val="Arial"/>
            <scheme val="minor"/>
          </rPr>
          <t>Updated on 13-Mar-2025 01:35 PM by bpsdemak3321@gmail.com</t>
        </r>
      </text>
    </comment>
    <comment ref="H1221" authorId="0" shapeId="0" xr:uid="{00000000-0006-0000-0000-0000CE060000}">
      <text>
        <r>
          <rPr>
            <sz val="10"/>
            <color rgb="FF000000"/>
            <rFont val="Arial"/>
            <scheme val="minor"/>
          </rPr>
          <t>Updated on 13-Mar-2025 01:35 PM by bpsdemak3321@gmail.com</t>
        </r>
      </text>
    </comment>
    <comment ref="G1222" authorId="0" shapeId="0" xr:uid="{00000000-0006-0000-0000-0000CF060000}">
      <text>
        <r>
          <rPr>
            <sz val="10"/>
            <color rgb="FF000000"/>
            <rFont val="Arial"/>
            <scheme val="minor"/>
          </rPr>
          <t>Updated on 13-Mar-2025 02:19 PM by bpsdemak3321@gmail.com</t>
        </r>
      </text>
    </comment>
    <comment ref="H1222" authorId="0" shapeId="0" xr:uid="{00000000-0006-0000-0000-0000D0060000}">
      <text>
        <r>
          <rPr>
            <sz val="10"/>
            <color rgb="FF000000"/>
            <rFont val="Arial"/>
            <scheme val="minor"/>
          </rPr>
          <t>Updated on 13-Mar-2025 02:19 PM by bpsdemak3321@gmail.com</t>
        </r>
      </text>
    </comment>
    <comment ref="G1223" authorId="0" shapeId="0" xr:uid="{00000000-0006-0000-0000-0000D1060000}">
      <text>
        <r>
          <rPr>
            <sz val="10"/>
            <color rgb="FF000000"/>
            <rFont val="Arial"/>
            <scheme val="minor"/>
          </rPr>
          <t>Updated on 13-Mar-2025 02:19 PM by bpsdemak3321@gmail.com</t>
        </r>
      </text>
    </comment>
    <comment ref="H1223" authorId="0" shapeId="0" xr:uid="{00000000-0006-0000-0000-0000D2060000}">
      <text>
        <r>
          <rPr>
            <sz val="10"/>
            <color rgb="FF000000"/>
            <rFont val="Arial"/>
            <scheme val="minor"/>
          </rPr>
          <t>Updated on 13-Mar-2025 02:19 PM by bpsdemak3321@gmail.com</t>
        </r>
      </text>
    </comment>
    <comment ref="G1224" authorId="0" shapeId="0" xr:uid="{00000000-0006-0000-0000-0000D3060000}">
      <text>
        <r>
          <rPr>
            <sz val="10"/>
            <color rgb="FF000000"/>
            <rFont val="Arial"/>
            <scheme val="minor"/>
          </rPr>
          <t>Updated on 14-Mar-2025 09:57 AM by bpsdemak3321@gmail.com</t>
        </r>
      </text>
    </comment>
    <comment ref="H1224" authorId="0" shapeId="0" xr:uid="{00000000-0006-0000-0000-0000D4060000}">
      <text>
        <r>
          <rPr>
            <sz val="10"/>
            <color rgb="FF000000"/>
            <rFont val="Arial"/>
            <scheme val="minor"/>
          </rPr>
          <t>Updated on 14-Mar-2025 09:57 AM by bpsdemak3321@gmail.com</t>
        </r>
      </text>
    </comment>
    <comment ref="G1225" authorId="0" shapeId="0" xr:uid="{00000000-0006-0000-0000-0000D5060000}">
      <text>
        <r>
          <rPr>
            <sz val="10"/>
            <color rgb="FF000000"/>
            <rFont val="Arial"/>
            <scheme val="minor"/>
          </rPr>
          <t>Updated on 14-Mar-2025 10:16 AM by bpsdemak3321@gmail.com</t>
        </r>
      </text>
    </comment>
    <comment ref="H1225" authorId="0" shapeId="0" xr:uid="{00000000-0006-0000-0000-0000D6060000}">
      <text>
        <r>
          <rPr>
            <sz val="10"/>
            <color rgb="FF000000"/>
            <rFont val="Arial"/>
            <scheme val="minor"/>
          </rPr>
          <t>Updated on 14-Mar-2025 10:16 AM by bpsdemak3321@gmail.com</t>
        </r>
      </text>
    </comment>
    <comment ref="G1226" authorId="0" shapeId="0" xr:uid="{00000000-0006-0000-0000-0000D7060000}">
      <text>
        <r>
          <rPr>
            <sz val="10"/>
            <color rgb="FF000000"/>
            <rFont val="Arial"/>
            <scheme val="minor"/>
          </rPr>
          <t>Updated on 14-Mar-2025 10:57 AM by bpsdemak3321@gmail.com</t>
        </r>
      </text>
    </comment>
    <comment ref="H1226" authorId="0" shapeId="0" xr:uid="{00000000-0006-0000-0000-0000D8060000}">
      <text>
        <r>
          <rPr>
            <sz val="10"/>
            <color rgb="FF000000"/>
            <rFont val="Arial"/>
            <scheme val="minor"/>
          </rPr>
          <t>Updated on 14-Mar-2025 10:57 AM by bpsdemak3321@gmail.com</t>
        </r>
      </text>
    </comment>
    <comment ref="G1227" authorId="0" shapeId="0" xr:uid="{00000000-0006-0000-0000-0000D9060000}">
      <text>
        <r>
          <rPr>
            <sz val="10"/>
            <color rgb="FF000000"/>
            <rFont val="Arial"/>
            <scheme val="minor"/>
          </rPr>
          <t>Updated on 14-Mar-2025 11:18 AM by bpsdemak3321@gmail.com</t>
        </r>
      </text>
    </comment>
    <comment ref="H1227" authorId="0" shapeId="0" xr:uid="{00000000-0006-0000-0000-0000DA060000}">
      <text>
        <r>
          <rPr>
            <sz val="10"/>
            <color rgb="FF000000"/>
            <rFont val="Arial"/>
            <scheme val="minor"/>
          </rPr>
          <t>Updated on 14-Mar-2025 11:18 AM by bpsdemak3321@gmail.com</t>
        </r>
      </text>
    </comment>
    <comment ref="G1228" authorId="0" shapeId="0" xr:uid="{00000000-0006-0000-0000-0000DB060000}">
      <text>
        <r>
          <rPr>
            <sz val="10"/>
            <color rgb="FF000000"/>
            <rFont val="Arial"/>
            <scheme val="minor"/>
          </rPr>
          <t>Updated on 14-Mar-2025 11:29 AM by bpsdemak3321@gmail.com</t>
        </r>
      </text>
    </comment>
    <comment ref="H1228" authorId="0" shapeId="0" xr:uid="{00000000-0006-0000-0000-0000DC060000}">
      <text>
        <r>
          <rPr>
            <sz val="10"/>
            <color rgb="FF000000"/>
            <rFont val="Arial"/>
            <scheme val="minor"/>
          </rPr>
          <t>Updated on 14-Mar-2025 11:29 AM by bpsdemak3321@gmail.com</t>
        </r>
      </text>
    </comment>
    <comment ref="G1229" authorId="0" shapeId="0" xr:uid="{00000000-0006-0000-0000-0000DD060000}">
      <text>
        <r>
          <rPr>
            <sz val="10"/>
            <color rgb="FF000000"/>
            <rFont val="Arial"/>
            <scheme val="minor"/>
          </rPr>
          <t>Updated on 15-Mar-2025 01:44 PM by bpsdemak3321@gmail.com</t>
        </r>
      </text>
    </comment>
    <comment ref="H1229" authorId="0" shapeId="0" xr:uid="{00000000-0006-0000-0000-0000DE060000}">
      <text>
        <r>
          <rPr>
            <sz val="10"/>
            <color rgb="FF000000"/>
            <rFont val="Arial"/>
            <scheme val="minor"/>
          </rPr>
          <t>Updated on 15-Mar-2025 01:44 PM by bpsdemak3321@gmail.com</t>
        </r>
      </text>
    </comment>
    <comment ref="G1230" authorId="0" shapeId="0" xr:uid="{00000000-0006-0000-0000-0000DF060000}">
      <text>
        <r>
          <rPr>
            <sz val="10"/>
            <color rgb="FF000000"/>
            <rFont val="Arial"/>
            <scheme val="minor"/>
          </rPr>
          <t>Updated on 15-Mar-2025 01:46 PM by bpsdemak3321@gmail.com</t>
        </r>
      </text>
    </comment>
    <comment ref="H1230" authorId="0" shapeId="0" xr:uid="{00000000-0006-0000-0000-0000E0060000}">
      <text>
        <r>
          <rPr>
            <sz val="10"/>
            <color rgb="FF000000"/>
            <rFont val="Arial"/>
            <scheme val="minor"/>
          </rPr>
          <t>Updated on 15-Mar-2025 01:46 PM by bpsdemak3321@gmail.com</t>
        </r>
      </text>
    </comment>
    <comment ref="G1231" authorId="0" shapeId="0" xr:uid="{00000000-0006-0000-0000-0000E1060000}">
      <text>
        <r>
          <rPr>
            <sz val="10"/>
            <color rgb="FF000000"/>
            <rFont val="Arial"/>
            <scheme val="minor"/>
          </rPr>
          <t>Updated on 15-Mar-2025 01:51 PM by bpsdemak3321@gmail.com</t>
        </r>
      </text>
    </comment>
    <comment ref="H1231" authorId="0" shapeId="0" xr:uid="{00000000-0006-0000-0000-0000E2060000}">
      <text>
        <r>
          <rPr>
            <sz val="10"/>
            <color rgb="FF000000"/>
            <rFont val="Arial"/>
            <scheme val="minor"/>
          </rPr>
          <t>Updated on 15-Mar-2025 01:51 PM by bpsdemak3321@gmail.com</t>
        </r>
      </text>
    </comment>
    <comment ref="F1232" authorId="0" shapeId="0" xr:uid="{00000000-0006-0000-0000-0000E3060000}">
      <text>
        <r>
          <rPr>
            <sz val="10"/>
            <color rgb="FF000000"/>
            <rFont val="Arial"/>
            <scheme val="minor"/>
          </rPr>
          <t>Updated on 17-Mar-2025 09:01 AM by bpsdemak3321@gmail.com</t>
        </r>
      </text>
    </comment>
    <comment ref="G1232" authorId="0" shapeId="0" xr:uid="{00000000-0006-0000-0000-0000E4060000}">
      <text>
        <r>
          <rPr>
            <sz val="10"/>
            <color rgb="FF000000"/>
            <rFont val="Arial"/>
            <scheme val="minor"/>
          </rPr>
          <t>Updated on 17-Mar-2025 09:01 AM by bpsdemak3321@gmail.com</t>
        </r>
      </text>
    </comment>
    <comment ref="H1232" authorId="0" shapeId="0" xr:uid="{00000000-0006-0000-0000-0000E5060000}">
      <text>
        <r>
          <rPr>
            <sz val="10"/>
            <color rgb="FF000000"/>
            <rFont val="Arial"/>
            <scheme val="minor"/>
          </rPr>
          <t>Updated on 17-Mar-2025 09:01 AM by bpsdemak3321@gmail.com</t>
        </r>
      </text>
    </comment>
    <comment ref="F1233" authorId="0" shapeId="0" xr:uid="{00000000-0006-0000-0000-0000E6060000}">
      <text>
        <r>
          <rPr>
            <sz val="10"/>
            <color rgb="FF000000"/>
            <rFont val="Arial"/>
            <scheme val="minor"/>
          </rPr>
          <t>Updated on 17-Mar-2025 09:03 AM by bpsdemak3321@gmail.com</t>
        </r>
      </text>
    </comment>
    <comment ref="G1233" authorId="0" shapeId="0" xr:uid="{00000000-0006-0000-0000-0000E7060000}">
      <text>
        <r>
          <rPr>
            <sz val="10"/>
            <color rgb="FF000000"/>
            <rFont val="Arial"/>
            <scheme val="minor"/>
          </rPr>
          <t>Updated on 17-Mar-2025 09:03 AM by bpsdemak3321@gmail.com</t>
        </r>
      </text>
    </comment>
    <comment ref="H1233" authorId="0" shapeId="0" xr:uid="{00000000-0006-0000-0000-0000E8060000}">
      <text>
        <r>
          <rPr>
            <sz val="10"/>
            <color rgb="FF000000"/>
            <rFont val="Arial"/>
            <scheme val="minor"/>
          </rPr>
          <t>Updated on 17-Mar-2025 09:03 AM by bpsdemak3321@gmail.com</t>
        </r>
      </text>
    </comment>
    <comment ref="F1234" authorId="0" shapeId="0" xr:uid="{00000000-0006-0000-0000-0000E9060000}">
      <text>
        <r>
          <rPr>
            <sz val="10"/>
            <color rgb="FF000000"/>
            <rFont val="Arial"/>
            <scheme val="minor"/>
          </rPr>
          <t>Updated on 17-Mar-2025 09:09 AM by bpsdemak3321@gmail.com</t>
        </r>
      </text>
    </comment>
    <comment ref="G1234" authorId="0" shapeId="0" xr:uid="{00000000-0006-0000-0000-0000EA060000}">
      <text>
        <r>
          <rPr>
            <sz val="10"/>
            <color rgb="FF000000"/>
            <rFont val="Arial"/>
            <scheme val="minor"/>
          </rPr>
          <t>Updated on 17-Mar-2025 09:09 AM by bpsdemak3321@gmail.com</t>
        </r>
      </text>
    </comment>
    <comment ref="H1234" authorId="0" shapeId="0" xr:uid="{00000000-0006-0000-0000-0000EB060000}">
      <text>
        <r>
          <rPr>
            <sz val="10"/>
            <color rgb="FF000000"/>
            <rFont val="Arial"/>
            <scheme val="minor"/>
          </rPr>
          <t>Updated on 17-Mar-2025 09:09 AM by bpsdemak3321@gmail.com</t>
        </r>
      </text>
    </comment>
    <comment ref="F1235" authorId="0" shapeId="0" xr:uid="{00000000-0006-0000-0000-0000EC060000}">
      <text>
        <r>
          <rPr>
            <sz val="10"/>
            <color rgb="FF000000"/>
            <rFont val="Arial"/>
            <scheme val="minor"/>
          </rPr>
          <t>Updated on 17-Mar-2025 09:10 AM by bpsdemak3321@gmail.com</t>
        </r>
      </text>
    </comment>
    <comment ref="G1235" authorId="0" shapeId="0" xr:uid="{00000000-0006-0000-0000-0000ED060000}">
      <text>
        <r>
          <rPr>
            <sz val="10"/>
            <color rgb="FF000000"/>
            <rFont val="Arial"/>
            <scheme val="minor"/>
          </rPr>
          <t>Updated on 17-Mar-2025 09:10 AM by bpsdemak3321@gmail.com</t>
        </r>
      </text>
    </comment>
    <comment ref="H1235" authorId="0" shapeId="0" xr:uid="{00000000-0006-0000-0000-0000EE060000}">
      <text>
        <r>
          <rPr>
            <sz val="10"/>
            <color rgb="FF000000"/>
            <rFont val="Arial"/>
            <scheme val="minor"/>
          </rPr>
          <t>Updated on 17-Mar-2025 09:10 AM by bpsdemak3321@gmail.com</t>
        </r>
      </text>
    </comment>
    <comment ref="G1236" authorId="0" shapeId="0" xr:uid="{00000000-0006-0000-0000-0000EF060000}">
      <text>
        <r>
          <rPr>
            <sz val="10"/>
            <color rgb="FF000000"/>
            <rFont val="Arial"/>
            <scheme val="minor"/>
          </rPr>
          <t>Updated on 17-Mar-2025 09:51 AM by bpsdemak3321@gmail.com</t>
        </r>
      </text>
    </comment>
    <comment ref="H1236" authorId="0" shapeId="0" xr:uid="{00000000-0006-0000-0000-0000F0060000}">
      <text>
        <r>
          <rPr>
            <sz val="10"/>
            <color rgb="FF000000"/>
            <rFont val="Arial"/>
            <scheme val="minor"/>
          </rPr>
          <t>Updated on 17-Mar-2025 09:51 AM by bpsdemak3321@gmail.com</t>
        </r>
      </text>
    </comment>
    <comment ref="G1237" authorId="0" shapeId="0" xr:uid="{00000000-0006-0000-0000-0000F1060000}">
      <text>
        <r>
          <rPr>
            <sz val="10"/>
            <color rgb="FF000000"/>
            <rFont val="Arial"/>
            <scheme val="minor"/>
          </rPr>
          <t>Updated on 17-Mar-2025 09:53 AM by bpsdemak3321@gmail.com</t>
        </r>
      </text>
    </comment>
    <comment ref="H1237" authorId="0" shapeId="0" xr:uid="{00000000-0006-0000-0000-0000F2060000}">
      <text>
        <r>
          <rPr>
            <sz val="10"/>
            <color rgb="FF000000"/>
            <rFont val="Arial"/>
            <scheme val="minor"/>
          </rPr>
          <t>Updated on 17-Mar-2025 09:53 AM by bpsdemak3321@gmail.com</t>
        </r>
      </text>
    </comment>
    <comment ref="G1238" authorId="0" shapeId="0" xr:uid="{00000000-0006-0000-0000-0000F3060000}">
      <text>
        <r>
          <rPr>
            <sz val="10"/>
            <color rgb="FF000000"/>
            <rFont val="Arial"/>
            <scheme val="minor"/>
          </rPr>
          <t>Updated on 17-Mar-2025 09:54 AM by bpsdemak3321@gmail.com</t>
        </r>
      </text>
    </comment>
    <comment ref="H1238" authorId="0" shapeId="0" xr:uid="{00000000-0006-0000-0000-0000F4060000}">
      <text>
        <r>
          <rPr>
            <sz val="10"/>
            <color rgb="FF000000"/>
            <rFont val="Arial"/>
            <scheme val="minor"/>
          </rPr>
          <t>Updated on 17-Mar-2025 09:54 AM by bpsdemak3321@gmail.com</t>
        </r>
      </text>
    </comment>
    <comment ref="G1239" authorId="0" shapeId="0" xr:uid="{00000000-0006-0000-0000-0000F5060000}">
      <text>
        <r>
          <rPr>
            <sz val="10"/>
            <color rgb="FF000000"/>
            <rFont val="Arial"/>
            <scheme val="minor"/>
          </rPr>
          <t>Updated on 17-Mar-2025 10:50 AM by bpsdemak3321@gmail.com</t>
        </r>
      </text>
    </comment>
    <comment ref="H1239" authorId="0" shapeId="0" xr:uid="{00000000-0006-0000-0000-0000F6060000}">
      <text>
        <r>
          <rPr>
            <sz val="10"/>
            <color rgb="FF000000"/>
            <rFont val="Arial"/>
            <scheme val="minor"/>
          </rPr>
          <t>Updated on 17-Mar-2025 10:50 AM by bpsdemak3321@gmail.com</t>
        </r>
      </text>
    </comment>
    <comment ref="G1240" authorId="0" shapeId="0" xr:uid="{00000000-0006-0000-0000-0000F7060000}">
      <text>
        <r>
          <rPr>
            <sz val="10"/>
            <color rgb="FF000000"/>
            <rFont val="Arial"/>
            <scheme val="minor"/>
          </rPr>
          <t>Updated on 17-Mar-2025 11:18 AM by bpsdemak3321@gmail.com</t>
        </r>
      </text>
    </comment>
    <comment ref="H1240" authorId="0" shapeId="0" xr:uid="{00000000-0006-0000-0000-0000F8060000}">
      <text>
        <r>
          <rPr>
            <sz val="10"/>
            <color rgb="FF000000"/>
            <rFont val="Arial"/>
            <scheme val="minor"/>
          </rPr>
          <t>Updated on 17-Mar-2025 11:18 AM by bpsdemak3321@gmail.com</t>
        </r>
      </text>
    </comment>
    <comment ref="G1241" authorId="0" shapeId="0" xr:uid="{00000000-0006-0000-0000-0000F9060000}">
      <text>
        <r>
          <rPr>
            <sz val="10"/>
            <color rgb="FF000000"/>
            <rFont val="Arial"/>
            <scheme val="minor"/>
          </rPr>
          <t>Updated on 17-Mar-2025 11:19 AM by bpsdemak3321@gmail.com</t>
        </r>
      </text>
    </comment>
    <comment ref="H1241" authorId="0" shapeId="0" xr:uid="{00000000-0006-0000-0000-0000FA060000}">
      <text>
        <r>
          <rPr>
            <sz val="10"/>
            <color rgb="FF000000"/>
            <rFont val="Arial"/>
            <scheme val="minor"/>
          </rPr>
          <t>Updated on 17-Mar-2025 11:19 AM by bpsdemak3321@gmail.com</t>
        </r>
      </text>
    </comment>
    <comment ref="G1242" authorId="0" shapeId="0" xr:uid="{00000000-0006-0000-0000-0000FB060000}">
      <text>
        <r>
          <rPr>
            <sz val="10"/>
            <color rgb="FF000000"/>
            <rFont val="Arial"/>
            <scheme val="minor"/>
          </rPr>
          <t>Updated on 19-Mar-2025 09:10 AM by bpsdemak3321@gmail.com</t>
        </r>
      </text>
    </comment>
    <comment ref="H1242" authorId="0" shapeId="0" xr:uid="{00000000-0006-0000-0000-0000FC060000}">
      <text>
        <r>
          <rPr>
            <sz val="10"/>
            <color rgb="FF000000"/>
            <rFont val="Arial"/>
            <scheme val="minor"/>
          </rPr>
          <t>Updated on 19-Mar-2025 09:10 AM by bpsdemak3321@gmail.com</t>
        </r>
      </text>
    </comment>
    <comment ref="G1243" authorId="0" shapeId="0" xr:uid="{00000000-0006-0000-0000-0000FD060000}">
      <text>
        <r>
          <rPr>
            <sz val="10"/>
            <color rgb="FF000000"/>
            <rFont val="Arial"/>
            <scheme val="minor"/>
          </rPr>
          <t>Updated on 19-Mar-2025 11:29 AM by bpsdemak3321@gmail.com</t>
        </r>
      </text>
    </comment>
    <comment ref="H1243" authorId="0" shapeId="0" xr:uid="{00000000-0006-0000-0000-0000FE060000}">
      <text>
        <r>
          <rPr>
            <sz val="10"/>
            <color rgb="FF000000"/>
            <rFont val="Arial"/>
            <scheme val="minor"/>
          </rPr>
          <t>Updated on 19-Mar-2025 11:29 AM by bpsdemak3321@gmail.com</t>
        </r>
      </text>
    </comment>
    <comment ref="G1244" authorId="0" shapeId="0" xr:uid="{00000000-0006-0000-0000-0000FF060000}">
      <text>
        <r>
          <rPr>
            <sz val="10"/>
            <color rgb="FF000000"/>
            <rFont val="Arial"/>
            <scheme val="minor"/>
          </rPr>
          <t>Updated on 20-Mar-2025 09:25 AM by bpsdemak3321@gmail.com</t>
        </r>
      </text>
    </comment>
    <comment ref="H1244" authorId="0" shapeId="0" xr:uid="{00000000-0006-0000-0000-000000070000}">
      <text>
        <r>
          <rPr>
            <sz val="10"/>
            <color rgb="FF000000"/>
            <rFont val="Arial"/>
            <scheme val="minor"/>
          </rPr>
          <t>Updated on 20-Mar-2025 09:25 AM by bpsdemak3321@gmail.com</t>
        </r>
      </text>
    </comment>
    <comment ref="F1245" authorId="0" shapeId="0" xr:uid="{00000000-0006-0000-0000-000001070000}">
      <text>
        <r>
          <rPr>
            <sz val="10"/>
            <color rgb="FF000000"/>
            <rFont val="Arial"/>
            <scheme val="minor"/>
          </rPr>
          <t>Updated on 11-Apr-2025 12:22 PM by bpsdemak3321@gmail.com</t>
        </r>
      </text>
    </comment>
    <comment ref="G1245" authorId="0" shapeId="0" xr:uid="{00000000-0006-0000-0000-000002070000}">
      <text>
        <r>
          <rPr>
            <sz val="10"/>
            <color rgb="FF000000"/>
            <rFont val="Arial"/>
            <scheme val="minor"/>
          </rPr>
          <t>Updated on 11-Apr-2025 12:22 PM by bpsdemak3321@gmail.com</t>
        </r>
      </text>
    </comment>
    <comment ref="H1245" authorId="0" shapeId="0" xr:uid="{00000000-0006-0000-0000-000003070000}">
      <text>
        <r>
          <rPr>
            <sz val="10"/>
            <color rgb="FF000000"/>
            <rFont val="Arial"/>
            <scheme val="minor"/>
          </rPr>
          <t>Updated on 11-Apr-2025 12:22 PM by bpsdemak3321@gmail.com</t>
        </r>
      </text>
    </comment>
    <comment ref="F1246" authorId="0" shapeId="0" xr:uid="{00000000-0006-0000-0000-000004070000}">
      <text>
        <r>
          <rPr>
            <sz val="10"/>
            <color rgb="FF000000"/>
            <rFont val="Arial"/>
            <scheme val="minor"/>
          </rPr>
          <t>Updated on 11-Apr-2025 12:24 PM by bpsdemak3321@gmail.com</t>
        </r>
      </text>
    </comment>
    <comment ref="G1246" authorId="0" shapeId="0" xr:uid="{00000000-0006-0000-0000-000005070000}">
      <text>
        <r>
          <rPr>
            <sz val="10"/>
            <color rgb="FF000000"/>
            <rFont val="Arial"/>
            <scheme val="minor"/>
          </rPr>
          <t>Updated on 11-Apr-2025 12:24 PM by bpsdemak3321@gmail.com</t>
        </r>
      </text>
    </comment>
    <comment ref="H1246" authorId="0" shapeId="0" xr:uid="{00000000-0006-0000-0000-000006070000}">
      <text>
        <r>
          <rPr>
            <sz val="10"/>
            <color rgb="FF000000"/>
            <rFont val="Arial"/>
            <scheme val="minor"/>
          </rPr>
          <t>Updated on 11-Apr-2025 12:24 PM by bpsdemak3321@gmail.com</t>
        </r>
      </text>
    </comment>
    <comment ref="F1247" authorId="0" shapeId="0" xr:uid="{00000000-0006-0000-0000-000007070000}">
      <text>
        <r>
          <rPr>
            <sz val="10"/>
            <color rgb="FF000000"/>
            <rFont val="Arial"/>
            <scheme val="minor"/>
          </rPr>
          <t>Updated on 14-Apr-2025 09:03 AM by bpsdemak3321@gmail.com</t>
        </r>
      </text>
    </comment>
    <comment ref="G1247" authorId="0" shapeId="0" xr:uid="{00000000-0006-0000-0000-000008070000}">
      <text>
        <r>
          <rPr>
            <sz val="10"/>
            <color rgb="FF000000"/>
            <rFont val="Arial"/>
            <scheme val="minor"/>
          </rPr>
          <t>Updated on 14-Apr-2025 09:03 AM by bpsdemak3321@gmail.com</t>
        </r>
      </text>
    </comment>
    <comment ref="H1247" authorId="0" shapeId="0" xr:uid="{00000000-0006-0000-0000-000009070000}">
      <text>
        <r>
          <rPr>
            <sz val="10"/>
            <color rgb="FF000000"/>
            <rFont val="Arial"/>
            <scheme val="minor"/>
          </rPr>
          <t>Updated on 14-Apr-2025 09:03 AM by bpsdemak3321@gmail.com</t>
        </r>
      </text>
    </comment>
    <comment ref="F1248" authorId="0" shapeId="0" xr:uid="{00000000-0006-0000-0000-00000A070000}">
      <text>
        <r>
          <rPr>
            <sz val="10"/>
            <color rgb="FF000000"/>
            <rFont val="Arial"/>
            <scheme val="minor"/>
          </rPr>
          <t>Updated on 15-Apr-2025 08:56 AM by bpsdemak3321@gmail.com</t>
        </r>
      </text>
    </comment>
    <comment ref="G1248" authorId="0" shapeId="0" xr:uid="{00000000-0006-0000-0000-00000B070000}">
      <text>
        <r>
          <rPr>
            <sz val="10"/>
            <color rgb="FF000000"/>
            <rFont val="Arial"/>
            <scheme val="minor"/>
          </rPr>
          <t>Updated on 15-Apr-2025 08:56 AM by bpsdemak3321@gmail.com</t>
        </r>
      </text>
    </comment>
    <comment ref="H1248" authorId="0" shapeId="0" xr:uid="{00000000-0006-0000-0000-00000C070000}">
      <text>
        <r>
          <rPr>
            <sz val="10"/>
            <color rgb="FF000000"/>
            <rFont val="Arial"/>
            <scheme val="minor"/>
          </rPr>
          <t>Updated on 15-Apr-2025 08:56 AM by bpsdemak3321@gmail.com</t>
        </r>
      </text>
    </comment>
    <comment ref="F1249" authorId="0" shapeId="0" xr:uid="{00000000-0006-0000-0000-00000D070000}">
      <text>
        <r>
          <rPr>
            <sz val="10"/>
            <color rgb="FF000000"/>
            <rFont val="Arial"/>
            <scheme val="minor"/>
          </rPr>
          <t>Updated on 15-Apr-2025 09:15 AM by bpsdemak3321@gmail.com</t>
        </r>
      </text>
    </comment>
    <comment ref="G1249" authorId="0" shapeId="0" xr:uid="{00000000-0006-0000-0000-00000E070000}">
      <text>
        <r>
          <rPr>
            <sz val="10"/>
            <color rgb="FF000000"/>
            <rFont val="Arial"/>
            <scheme val="minor"/>
          </rPr>
          <t>Updated on 15-Apr-2025 09:15 AM by bpsdemak3321@gmail.com</t>
        </r>
      </text>
    </comment>
    <comment ref="H1249" authorId="0" shapeId="0" xr:uid="{00000000-0006-0000-0000-00000F070000}">
      <text>
        <r>
          <rPr>
            <sz val="10"/>
            <color rgb="FF000000"/>
            <rFont val="Arial"/>
            <scheme val="minor"/>
          </rPr>
          <t>Updated on 15-Apr-2025 09:15 AM by bpsdemak3321@gmail.com</t>
        </r>
      </text>
    </comment>
    <comment ref="F1250" authorId="0" shapeId="0" xr:uid="{00000000-0006-0000-0000-000010070000}">
      <text>
        <r>
          <rPr>
            <sz val="10"/>
            <color rgb="FF000000"/>
            <rFont val="Arial"/>
            <scheme val="minor"/>
          </rPr>
          <t>Updated on 15-Apr-2025 09:16 AM by bpsdemak3321@gmail.com</t>
        </r>
      </text>
    </comment>
    <comment ref="G1250" authorId="0" shapeId="0" xr:uid="{00000000-0006-0000-0000-000011070000}">
      <text>
        <r>
          <rPr>
            <sz val="10"/>
            <color rgb="FF000000"/>
            <rFont val="Arial"/>
            <scheme val="minor"/>
          </rPr>
          <t>Updated on 15-Apr-2025 09:16 AM by bpsdemak3321@gmail.com</t>
        </r>
      </text>
    </comment>
    <comment ref="H1250" authorId="0" shapeId="0" xr:uid="{00000000-0006-0000-0000-000012070000}">
      <text>
        <r>
          <rPr>
            <sz val="10"/>
            <color rgb="FF000000"/>
            <rFont val="Arial"/>
            <scheme val="minor"/>
          </rPr>
          <t>Updated on 15-Apr-2025 09:16 AM by bpsdemak3321@gmail.com</t>
        </r>
      </text>
    </comment>
    <comment ref="F1251" authorId="0" shapeId="0" xr:uid="{00000000-0006-0000-0000-000013070000}">
      <text>
        <r>
          <rPr>
            <sz val="10"/>
            <color rgb="FF000000"/>
            <rFont val="Arial"/>
            <scheme val="minor"/>
          </rPr>
          <t>Updated on 15-Apr-2025 09:22 AM by bpsdemak3321@gmail.com</t>
        </r>
      </text>
    </comment>
    <comment ref="G1251" authorId="0" shapeId="0" xr:uid="{00000000-0006-0000-0000-000014070000}">
      <text>
        <r>
          <rPr>
            <sz val="10"/>
            <color rgb="FF000000"/>
            <rFont val="Arial"/>
            <scheme val="minor"/>
          </rPr>
          <t>Updated on 15-Apr-2025 09:22 AM by bpsdemak3321@gmail.com</t>
        </r>
      </text>
    </comment>
    <comment ref="H1251" authorId="0" shapeId="0" xr:uid="{00000000-0006-0000-0000-000015070000}">
      <text>
        <r>
          <rPr>
            <sz val="10"/>
            <color rgb="FF000000"/>
            <rFont val="Arial"/>
            <scheme val="minor"/>
          </rPr>
          <t>Updated on 15-Apr-2025 09:22 AM by bpsdemak3321@gmail.com</t>
        </r>
      </text>
    </comment>
    <comment ref="F1252" authorId="0" shapeId="0" xr:uid="{00000000-0006-0000-0000-000016070000}">
      <text>
        <r>
          <rPr>
            <sz val="10"/>
            <color rgb="FF000000"/>
            <rFont val="Arial"/>
            <scheme val="minor"/>
          </rPr>
          <t>Updated on 17-Apr-2025 10:51 AM by bpsdemak3321@gmail.com</t>
        </r>
      </text>
    </comment>
    <comment ref="G1252" authorId="0" shapeId="0" xr:uid="{00000000-0006-0000-0000-000017070000}">
      <text>
        <r>
          <rPr>
            <sz val="10"/>
            <color rgb="FF000000"/>
            <rFont val="Arial"/>
            <scheme val="minor"/>
          </rPr>
          <t>Updated on 17-Apr-2025 10:51 AM by bpsdemak3321@gmail.com</t>
        </r>
      </text>
    </comment>
    <comment ref="H1252" authorId="0" shapeId="0" xr:uid="{00000000-0006-0000-0000-000018070000}">
      <text>
        <r>
          <rPr>
            <sz val="10"/>
            <color rgb="FF000000"/>
            <rFont val="Arial"/>
            <scheme val="minor"/>
          </rPr>
          <t>Updated on 17-Apr-2025 10:51 AM by bpsdemak3321@gmail.com</t>
        </r>
      </text>
    </comment>
    <comment ref="F1253" authorId="0" shapeId="0" xr:uid="{00000000-0006-0000-0000-000019070000}">
      <text>
        <r>
          <rPr>
            <sz val="10"/>
            <color rgb="FF000000"/>
            <rFont val="Arial"/>
            <scheme val="minor"/>
          </rPr>
          <t>Updated on 17-Apr-2025 10:52 AM by bpsdemak3321@gmail.com</t>
        </r>
      </text>
    </comment>
    <comment ref="G1253" authorId="0" shapeId="0" xr:uid="{00000000-0006-0000-0000-00001A070000}">
      <text>
        <r>
          <rPr>
            <sz val="10"/>
            <color rgb="FF000000"/>
            <rFont val="Arial"/>
            <scheme val="minor"/>
          </rPr>
          <t>Updated on 17-Apr-2025 10:52 AM by bpsdemak3321@gmail.com</t>
        </r>
      </text>
    </comment>
    <comment ref="H1253" authorId="0" shapeId="0" xr:uid="{00000000-0006-0000-0000-00001B070000}">
      <text>
        <r>
          <rPr>
            <sz val="10"/>
            <color rgb="FF000000"/>
            <rFont val="Arial"/>
            <scheme val="minor"/>
          </rPr>
          <t>Updated on 17-Apr-2025 10:52 AM by bpsdemak3321@gmail.com</t>
        </r>
      </text>
    </comment>
    <comment ref="F1254" authorId="0" shapeId="0" xr:uid="{00000000-0006-0000-0000-00001C070000}">
      <text>
        <r>
          <rPr>
            <sz val="10"/>
            <color rgb="FF000000"/>
            <rFont val="Arial"/>
            <scheme val="minor"/>
          </rPr>
          <t>Updated on 21-Apr-2025 08:29 AM by bpsdemak3321@gmail.com</t>
        </r>
      </text>
    </comment>
    <comment ref="G1254" authorId="0" shapeId="0" xr:uid="{00000000-0006-0000-0000-00001D070000}">
      <text>
        <r>
          <rPr>
            <sz val="10"/>
            <color rgb="FF000000"/>
            <rFont val="Arial"/>
            <scheme val="minor"/>
          </rPr>
          <t>Updated on 21-Apr-2025 08:29 AM by bpsdemak3321@gmail.com</t>
        </r>
      </text>
    </comment>
    <comment ref="H1254" authorId="0" shapeId="0" xr:uid="{00000000-0006-0000-0000-00001E070000}">
      <text>
        <r>
          <rPr>
            <sz val="10"/>
            <color rgb="FF000000"/>
            <rFont val="Arial"/>
            <scheme val="minor"/>
          </rPr>
          <t>Updated on 21-Apr-2025 08:29 AM by bpsdemak3321@gmail.com</t>
        </r>
      </text>
    </comment>
    <comment ref="F1255" authorId="0" shapeId="0" xr:uid="{00000000-0006-0000-0000-00001F070000}">
      <text>
        <r>
          <rPr>
            <sz val="10"/>
            <color rgb="FF000000"/>
            <rFont val="Arial"/>
            <scheme val="minor"/>
          </rPr>
          <t>Updated on 21-Apr-2025 08:31 AM by bpsdemak3321@gmail.com</t>
        </r>
      </text>
    </comment>
    <comment ref="G1255" authorId="0" shapeId="0" xr:uid="{00000000-0006-0000-0000-000020070000}">
      <text>
        <r>
          <rPr>
            <sz val="10"/>
            <color rgb="FF000000"/>
            <rFont val="Arial"/>
            <scheme val="minor"/>
          </rPr>
          <t>Updated on 21-Apr-2025 08:31 AM by bpsdemak3321@gmail.com</t>
        </r>
      </text>
    </comment>
    <comment ref="H1255" authorId="0" shapeId="0" xr:uid="{00000000-0006-0000-0000-000021070000}">
      <text>
        <r>
          <rPr>
            <sz val="10"/>
            <color rgb="FF000000"/>
            <rFont val="Arial"/>
            <scheme val="minor"/>
          </rPr>
          <t>Updated on 21-Apr-2025 08:31 AM by bpsdemak3321@gmail.com</t>
        </r>
      </text>
    </comment>
    <comment ref="F1256" authorId="0" shapeId="0" xr:uid="{00000000-0006-0000-0000-000022070000}">
      <text>
        <r>
          <rPr>
            <sz val="10"/>
            <color rgb="FF000000"/>
            <rFont val="Arial"/>
            <scheme val="minor"/>
          </rPr>
          <t>Updated on 21-Apr-2025 09:13 AM by bpsdemak3321@gmail.com</t>
        </r>
      </text>
    </comment>
    <comment ref="G1256" authorId="0" shapeId="0" xr:uid="{00000000-0006-0000-0000-000023070000}">
      <text>
        <r>
          <rPr>
            <sz val="10"/>
            <color rgb="FF000000"/>
            <rFont val="Arial"/>
            <scheme val="minor"/>
          </rPr>
          <t>Updated on 21-Apr-2025 09:13 AM by bpsdemak3321@gmail.com</t>
        </r>
      </text>
    </comment>
    <comment ref="H1256" authorId="0" shapeId="0" xr:uid="{00000000-0006-0000-0000-000024070000}">
      <text>
        <r>
          <rPr>
            <sz val="10"/>
            <color rgb="FF000000"/>
            <rFont val="Arial"/>
            <scheme val="minor"/>
          </rPr>
          <t>Updated on 21-Apr-2025 09:13 AM by bpsdemak3321@gmail.com</t>
        </r>
      </text>
    </comment>
    <comment ref="F1257" authorId="0" shapeId="0" xr:uid="{00000000-0006-0000-0000-000025070000}">
      <text>
        <r>
          <rPr>
            <sz val="10"/>
            <color rgb="FF000000"/>
            <rFont val="Arial"/>
            <scheme val="minor"/>
          </rPr>
          <t>Updated on 21-Apr-2025 10:30 AM by bpsdemak3321@gmail.com</t>
        </r>
      </text>
    </comment>
    <comment ref="G1257" authorId="0" shapeId="0" xr:uid="{00000000-0006-0000-0000-000026070000}">
      <text>
        <r>
          <rPr>
            <sz val="10"/>
            <color rgb="FF000000"/>
            <rFont val="Arial"/>
            <scheme val="minor"/>
          </rPr>
          <t>Updated on 21-Apr-2025 10:30 AM by bpsdemak3321@gmail.com</t>
        </r>
      </text>
    </comment>
    <comment ref="H1257" authorId="0" shapeId="0" xr:uid="{00000000-0006-0000-0000-000027070000}">
      <text>
        <r>
          <rPr>
            <sz val="10"/>
            <color rgb="FF000000"/>
            <rFont val="Arial"/>
            <scheme val="minor"/>
          </rPr>
          <t>Updated on 21-Apr-2025 10:30 AM by bpsdemak3321@gmail.com</t>
        </r>
      </text>
    </comment>
    <comment ref="F1258" authorId="0" shapeId="0" xr:uid="{00000000-0006-0000-0000-000028070000}">
      <text>
        <r>
          <rPr>
            <sz val="10"/>
            <color rgb="FF000000"/>
            <rFont val="Arial"/>
            <scheme val="minor"/>
          </rPr>
          <t>Updated on 22-Apr-2025 03:21 PM by bpsdemak3321@gmail.com</t>
        </r>
      </text>
    </comment>
    <comment ref="G1258" authorId="0" shapeId="0" xr:uid="{00000000-0006-0000-0000-000029070000}">
      <text>
        <r>
          <rPr>
            <sz val="10"/>
            <color rgb="FF000000"/>
            <rFont val="Arial"/>
            <scheme val="minor"/>
          </rPr>
          <t>Updated on 22-Apr-2025 03:21 PM by bpsdemak3321@gmail.com</t>
        </r>
      </text>
    </comment>
    <comment ref="H1258" authorId="0" shapeId="0" xr:uid="{00000000-0006-0000-0000-00002A070000}">
      <text>
        <r>
          <rPr>
            <sz val="10"/>
            <color rgb="FF000000"/>
            <rFont val="Arial"/>
            <scheme val="minor"/>
          </rPr>
          <t>Updated on 22-Apr-2025 03:21 PM by bpsdemak3321@gmail.com</t>
        </r>
      </text>
    </comment>
    <comment ref="F1259" authorId="0" shapeId="0" xr:uid="{00000000-0006-0000-0000-00002B070000}">
      <text>
        <r>
          <rPr>
            <sz val="10"/>
            <color rgb="FF000000"/>
            <rFont val="Arial"/>
            <scheme val="minor"/>
          </rPr>
          <t>Updated on 22-Apr-2025 03:27 PM by bpsdemak3321@gmail.com</t>
        </r>
      </text>
    </comment>
    <comment ref="G1259" authorId="0" shapeId="0" xr:uid="{00000000-0006-0000-0000-00002C070000}">
      <text>
        <r>
          <rPr>
            <sz val="10"/>
            <color rgb="FF000000"/>
            <rFont val="Arial"/>
            <scheme val="minor"/>
          </rPr>
          <t>Updated on 22-Apr-2025 03:27 PM by bpsdemak3321@gmail.com</t>
        </r>
      </text>
    </comment>
    <comment ref="H1259" authorId="0" shapeId="0" xr:uid="{00000000-0006-0000-0000-00002D070000}">
      <text>
        <r>
          <rPr>
            <sz val="10"/>
            <color rgb="FF000000"/>
            <rFont val="Arial"/>
            <scheme val="minor"/>
          </rPr>
          <t>Updated on 22-Apr-2025 03:27 PM by bpsdemak3321@gmail.com</t>
        </r>
      </text>
    </comment>
    <comment ref="F1260" authorId="0" shapeId="0" xr:uid="{00000000-0006-0000-0000-00002E070000}">
      <text>
        <r>
          <rPr>
            <sz val="10"/>
            <color rgb="FF000000"/>
            <rFont val="Arial"/>
            <scheme val="minor"/>
          </rPr>
          <t>Updated on 22-Apr-2025 03:31 PM by bpsdemak3321@gmail.com</t>
        </r>
      </text>
    </comment>
    <comment ref="G1260" authorId="0" shapeId="0" xr:uid="{00000000-0006-0000-0000-00002F070000}">
      <text>
        <r>
          <rPr>
            <sz val="10"/>
            <color rgb="FF000000"/>
            <rFont val="Arial"/>
            <scheme val="minor"/>
          </rPr>
          <t>Updated on 22-Apr-2025 03:31 PM by bpsdemak3321@gmail.com</t>
        </r>
      </text>
    </comment>
    <comment ref="H1260" authorId="0" shapeId="0" xr:uid="{00000000-0006-0000-0000-000030070000}">
      <text>
        <r>
          <rPr>
            <sz val="10"/>
            <color rgb="FF000000"/>
            <rFont val="Arial"/>
            <scheme val="minor"/>
          </rPr>
          <t>Updated on 22-Apr-2025 03:31 PM by bpsdemak3321@gmail.com</t>
        </r>
      </text>
    </comment>
    <comment ref="F1261" authorId="0" shapeId="0" xr:uid="{00000000-0006-0000-0000-000031070000}">
      <text>
        <r>
          <rPr>
            <sz val="10"/>
            <color rgb="FF000000"/>
            <rFont val="Arial"/>
            <scheme val="minor"/>
          </rPr>
          <t>Updated on 22-Apr-2025 03:31 PM by bpsdemak3321@gmail.com</t>
        </r>
      </text>
    </comment>
    <comment ref="G1261" authorId="0" shapeId="0" xr:uid="{00000000-0006-0000-0000-000032070000}">
      <text>
        <r>
          <rPr>
            <sz val="10"/>
            <color rgb="FF000000"/>
            <rFont val="Arial"/>
            <scheme val="minor"/>
          </rPr>
          <t>Updated on 22-Apr-2025 03:31 PM by bpsdemak3321@gmail.com</t>
        </r>
      </text>
    </comment>
    <comment ref="H1261" authorId="0" shapeId="0" xr:uid="{00000000-0006-0000-0000-000033070000}">
      <text>
        <r>
          <rPr>
            <sz val="10"/>
            <color rgb="FF000000"/>
            <rFont val="Arial"/>
            <scheme val="minor"/>
          </rPr>
          <t>Updated on 22-Apr-2025 03:31 PM by bpsdemak3321@gmail.com</t>
        </r>
      </text>
    </comment>
    <comment ref="F1262" authorId="0" shapeId="0" xr:uid="{00000000-0006-0000-0000-000034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G1262" authorId="0" shapeId="0" xr:uid="{00000000-0006-0000-0000-000035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H1262" authorId="0" shapeId="0" xr:uid="{00000000-0006-0000-0000-000036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F1263" authorId="0" shapeId="0" xr:uid="{00000000-0006-0000-0000-000037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G1263" authorId="0" shapeId="0" xr:uid="{00000000-0006-0000-0000-000038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H1263" authorId="0" shapeId="0" xr:uid="{00000000-0006-0000-0000-000039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F1264" authorId="0" shapeId="0" xr:uid="{00000000-0006-0000-0000-00003A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G1264" authorId="0" shapeId="0" xr:uid="{00000000-0006-0000-0000-00003B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H1264" authorId="0" shapeId="0" xr:uid="{00000000-0006-0000-0000-00003C070000}">
      <text>
        <r>
          <rPr>
            <sz val="10"/>
            <color rgb="FF000000"/>
            <rFont val="Arial"/>
            <scheme val="minor"/>
          </rPr>
          <t>Updated on 22-Apr-2025 03:35 PM by bpsdemak3321@gmail.com</t>
        </r>
      </text>
    </comment>
    <comment ref="F1265" authorId="0" shapeId="0" xr:uid="{00000000-0006-0000-0000-00003D070000}">
      <text>
        <r>
          <rPr>
            <sz val="10"/>
            <color rgb="FF000000"/>
            <rFont val="Arial"/>
            <scheme val="minor"/>
          </rPr>
          <t>Updated on 23-Apr-2025 10:00 AM by bpsdemak3321@gmail.com</t>
        </r>
      </text>
    </comment>
    <comment ref="G1265" authorId="0" shapeId="0" xr:uid="{00000000-0006-0000-0000-00003E070000}">
      <text>
        <r>
          <rPr>
            <sz val="10"/>
            <color rgb="FF000000"/>
            <rFont val="Arial"/>
            <scheme val="minor"/>
          </rPr>
          <t>Updated on 23-Apr-2025 10:00 AM by bpsdemak3321@gmail.com</t>
        </r>
      </text>
    </comment>
    <comment ref="H1265" authorId="0" shapeId="0" xr:uid="{00000000-0006-0000-0000-00003F070000}">
      <text>
        <r>
          <rPr>
            <sz val="10"/>
            <color rgb="FF000000"/>
            <rFont val="Arial"/>
            <scheme val="minor"/>
          </rPr>
          <t>Updated on 23-Apr-2025 10:00 AM by bpsdemak3321@gmail.com</t>
        </r>
      </text>
    </comment>
    <comment ref="F1266" authorId="0" shapeId="0" xr:uid="{00000000-0006-0000-0000-000040070000}">
      <text>
        <r>
          <rPr>
            <sz val="10"/>
            <color rgb="FF000000"/>
            <rFont val="Arial"/>
            <scheme val="minor"/>
          </rPr>
          <t>Updated on 23-Apr-2025 10:02 AM by bpsdemak3321@gmail.com</t>
        </r>
      </text>
    </comment>
    <comment ref="G1266" authorId="0" shapeId="0" xr:uid="{00000000-0006-0000-0000-000041070000}">
      <text>
        <r>
          <rPr>
            <sz val="10"/>
            <color rgb="FF000000"/>
            <rFont val="Arial"/>
            <scheme val="minor"/>
          </rPr>
          <t>Updated on 23-Apr-2025 10:02 AM by bpsdemak3321@gmail.com</t>
        </r>
      </text>
    </comment>
    <comment ref="H1266" authorId="0" shapeId="0" xr:uid="{00000000-0006-0000-0000-000042070000}">
      <text>
        <r>
          <rPr>
            <sz val="10"/>
            <color rgb="FF000000"/>
            <rFont val="Arial"/>
            <scheme val="minor"/>
          </rPr>
          <t>Updated on 23-Apr-2025 10:02 AM by bpsdemak3321@gmail.com</t>
        </r>
      </text>
    </comment>
    <comment ref="F1267" authorId="0" shapeId="0" xr:uid="{00000000-0006-0000-0000-000043070000}">
      <text>
        <r>
          <rPr>
            <sz val="10"/>
            <color rgb="FF000000"/>
            <rFont val="Arial"/>
            <scheme val="minor"/>
          </rPr>
          <t>Updated on 23-Apr-2025 03:51 PM by bpsdemak3321@gmail.com</t>
        </r>
      </text>
    </comment>
    <comment ref="G1267" authorId="0" shapeId="0" xr:uid="{00000000-0006-0000-0000-000044070000}">
      <text>
        <r>
          <rPr>
            <sz val="10"/>
            <color rgb="FF000000"/>
            <rFont val="Arial"/>
            <scheme val="minor"/>
          </rPr>
          <t>Updated on 23-Apr-2025 03:51 PM by bpsdemak3321@gmail.com</t>
        </r>
      </text>
    </comment>
    <comment ref="H1267" authorId="0" shapeId="0" xr:uid="{00000000-0006-0000-0000-000045070000}">
      <text>
        <r>
          <rPr>
            <sz val="10"/>
            <color rgb="FF000000"/>
            <rFont val="Arial"/>
            <scheme val="minor"/>
          </rPr>
          <t>Updated on 23-Apr-2025 03:51 PM by bpsdemak3321@gmail.com</t>
        </r>
      </text>
    </comment>
    <comment ref="F1268" authorId="0" shapeId="0" xr:uid="{00000000-0006-0000-0000-000046070000}">
      <text>
        <r>
          <rPr>
            <sz val="10"/>
            <color rgb="FF000000"/>
            <rFont val="Arial"/>
            <scheme val="minor"/>
          </rPr>
          <t>Updated on 23-Apr-2025 03:51 PM by bpsdemak3321@gmail.com</t>
        </r>
      </text>
    </comment>
    <comment ref="G1268" authorId="0" shapeId="0" xr:uid="{00000000-0006-0000-0000-000047070000}">
      <text>
        <r>
          <rPr>
            <sz val="10"/>
            <color rgb="FF000000"/>
            <rFont val="Arial"/>
            <scheme val="minor"/>
          </rPr>
          <t>Updated on 23-Apr-2025 03:51 PM by bpsdemak3321@gmail.com</t>
        </r>
      </text>
    </comment>
    <comment ref="H1268" authorId="0" shapeId="0" xr:uid="{00000000-0006-0000-0000-000048070000}">
      <text>
        <r>
          <rPr>
            <sz val="10"/>
            <color rgb="FF000000"/>
            <rFont val="Arial"/>
            <scheme val="minor"/>
          </rPr>
          <t>Updated on 23-Apr-2025 03:51 PM by bpsdemak3321@gmail.com</t>
        </r>
      </text>
    </comment>
    <comment ref="F1269" authorId="0" shapeId="0" xr:uid="{00000000-0006-0000-0000-000049070000}">
      <text>
        <r>
          <rPr>
            <sz val="10"/>
            <color rgb="FF000000"/>
            <rFont val="Arial"/>
            <scheme val="minor"/>
          </rPr>
          <t>Updated on 24-Apr-2025 02:57 PM by bpsdemak3321@gmail.com</t>
        </r>
      </text>
    </comment>
    <comment ref="G1269" authorId="0" shapeId="0" xr:uid="{00000000-0006-0000-0000-00004A070000}">
      <text>
        <r>
          <rPr>
            <sz val="10"/>
            <color rgb="FF000000"/>
            <rFont val="Arial"/>
            <scheme val="minor"/>
          </rPr>
          <t>Updated on 24-Apr-2025 02:57 PM by bpsdemak3321@gmail.com</t>
        </r>
      </text>
    </comment>
    <comment ref="H1269" authorId="0" shapeId="0" xr:uid="{00000000-0006-0000-0000-00004B070000}">
      <text>
        <r>
          <rPr>
            <sz val="10"/>
            <color rgb="FF000000"/>
            <rFont val="Arial"/>
            <scheme val="minor"/>
          </rPr>
          <t>Updated on 24-Apr-2025 02:57 PM by bpsdemak3321@gmail.com</t>
        </r>
      </text>
    </comment>
    <comment ref="F1270" authorId="0" shapeId="0" xr:uid="{00000000-0006-0000-0000-00004C070000}">
      <text>
        <r>
          <rPr>
            <sz val="10"/>
            <color rgb="FF000000"/>
            <rFont val="Arial"/>
            <scheme val="minor"/>
          </rPr>
          <t>Updated on 24-Apr-2025 02:58 PM by bpsdemak3321@gmail.com</t>
        </r>
      </text>
    </comment>
    <comment ref="G1270" authorId="0" shapeId="0" xr:uid="{00000000-0006-0000-0000-00004D070000}">
      <text>
        <r>
          <rPr>
            <sz val="10"/>
            <color rgb="FF000000"/>
            <rFont val="Arial"/>
            <scheme val="minor"/>
          </rPr>
          <t>Updated on 24-Apr-2025 02:58 PM by bpsdemak3321@gmail.com</t>
        </r>
      </text>
    </comment>
    <comment ref="H1270" authorId="0" shapeId="0" xr:uid="{00000000-0006-0000-0000-00004E070000}">
      <text>
        <r>
          <rPr>
            <sz val="10"/>
            <color rgb="FF000000"/>
            <rFont val="Arial"/>
            <scheme val="minor"/>
          </rPr>
          <t>Updated on 24-Apr-2025 02:58 PM by bpsdemak3321@gmail.com</t>
        </r>
      </text>
    </comment>
    <comment ref="F1271" authorId="0" shapeId="0" xr:uid="{00000000-0006-0000-0000-00004F070000}">
      <text>
        <r>
          <rPr>
            <sz val="10"/>
            <color rgb="FF000000"/>
            <rFont val="Arial"/>
            <scheme val="minor"/>
          </rPr>
          <t>Updated on 24-Apr-2025 02:58 PM by bpsdemak3321@gmail.com</t>
        </r>
      </text>
    </comment>
    <comment ref="G1271" authorId="0" shapeId="0" xr:uid="{00000000-0006-0000-0000-000050070000}">
      <text>
        <r>
          <rPr>
            <sz val="10"/>
            <color rgb="FF000000"/>
            <rFont val="Arial"/>
            <scheme val="minor"/>
          </rPr>
          <t>Updated on 24-Apr-2025 02:58 PM by bpsdemak3321@gmail.com</t>
        </r>
      </text>
    </comment>
    <comment ref="H1271" authorId="0" shapeId="0" xr:uid="{00000000-0006-0000-0000-000051070000}">
      <text>
        <r>
          <rPr>
            <sz val="10"/>
            <color rgb="FF000000"/>
            <rFont val="Arial"/>
            <scheme val="minor"/>
          </rPr>
          <t>Updated on 24-Apr-2025 02:58 PM by bpsdemak3321@gmail.com</t>
        </r>
      </text>
    </comment>
    <comment ref="F1272" authorId="0" shapeId="0" xr:uid="{00000000-0006-0000-0000-000052070000}">
      <text>
        <r>
          <rPr>
            <sz val="10"/>
            <color rgb="FF000000"/>
            <rFont val="Arial"/>
            <scheme val="minor"/>
          </rPr>
          <t>Updated on 25-Apr-2025 07:54 AM by bpsdemak3321@gmail.com</t>
        </r>
      </text>
    </comment>
    <comment ref="G1272" authorId="0" shapeId="0" xr:uid="{00000000-0006-0000-0000-000053070000}">
      <text>
        <r>
          <rPr>
            <sz val="10"/>
            <color rgb="FF000000"/>
            <rFont val="Arial"/>
            <scheme val="minor"/>
          </rPr>
          <t>Updated on 25-Apr-2025 07:54 AM by bpsdemak3321@gmail.com</t>
        </r>
      </text>
    </comment>
    <comment ref="H1272" authorId="0" shapeId="0" xr:uid="{00000000-0006-0000-0000-000054070000}">
      <text>
        <r>
          <rPr>
            <sz val="10"/>
            <color rgb="FF000000"/>
            <rFont val="Arial"/>
            <scheme val="minor"/>
          </rPr>
          <t>Updated on 25-Apr-2025 07:54 AM by bpsdemak3321@gmail.com</t>
        </r>
      </text>
    </comment>
    <comment ref="F1273" authorId="0" shapeId="0" xr:uid="{00000000-0006-0000-0000-000055070000}">
      <text>
        <r>
          <rPr>
            <sz val="10"/>
            <color rgb="FF000000"/>
            <rFont val="Arial"/>
            <scheme val="minor"/>
          </rPr>
          <t>Updated on 25-Apr-2025 07:54 AM by bpsdemak3321@gmail.com</t>
        </r>
      </text>
    </comment>
    <comment ref="G1273" authorId="0" shapeId="0" xr:uid="{00000000-0006-0000-0000-000056070000}">
      <text>
        <r>
          <rPr>
            <sz val="10"/>
            <color rgb="FF000000"/>
            <rFont val="Arial"/>
            <scheme val="minor"/>
          </rPr>
          <t>Updated on 25-Apr-2025 07:54 AM by bpsdemak3321@gmail.com</t>
        </r>
      </text>
    </comment>
    <comment ref="H1273" authorId="0" shapeId="0" xr:uid="{00000000-0006-0000-0000-000057070000}">
      <text>
        <r>
          <rPr>
            <sz val="10"/>
            <color rgb="FF000000"/>
            <rFont val="Arial"/>
            <scheme val="minor"/>
          </rPr>
          <t>Updated on 25-Apr-2025 07:54 AM by bpsdemak3321@gmail.com</t>
        </r>
      </text>
    </comment>
    <comment ref="F1274" authorId="0" shapeId="0" xr:uid="{00000000-0006-0000-0000-000058070000}">
      <text>
        <r>
          <rPr>
            <sz val="10"/>
            <color rgb="FF000000"/>
            <rFont val="Arial"/>
            <scheme val="minor"/>
          </rPr>
          <t>Updated on 25-Apr-2025 07:55 AM by bpsdemak3321@gmail.com</t>
        </r>
      </text>
    </comment>
    <comment ref="G1274" authorId="0" shapeId="0" xr:uid="{00000000-0006-0000-0000-000059070000}">
      <text>
        <r>
          <rPr>
            <sz val="10"/>
            <color rgb="FF000000"/>
            <rFont val="Arial"/>
            <scheme val="minor"/>
          </rPr>
          <t>Updated on 25-Apr-2025 07:55 AM by bpsdemak3321@gmail.com</t>
        </r>
      </text>
    </comment>
    <comment ref="H1274" authorId="0" shapeId="0" xr:uid="{00000000-0006-0000-0000-00005A070000}">
      <text>
        <r>
          <rPr>
            <sz val="10"/>
            <color rgb="FF000000"/>
            <rFont val="Arial"/>
            <scheme val="minor"/>
          </rPr>
          <t>Updated on 25-Apr-2025 07:55 AM by bpsdemak3321@gmail.com</t>
        </r>
      </text>
    </comment>
    <comment ref="F1275" authorId="0" shapeId="0" xr:uid="{00000000-0006-0000-0000-00005B070000}">
      <text>
        <r>
          <rPr>
            <sz val="10"/>
            <color rgb="FF000000"/>
            <rFont val="Arial"/>
            <scheme val="minor"/>
          </rPr>
          <t>Updated on 25-Apr-2025 04:33 PM by bpsdemak3321@gmail.com</t>
        </r>
      </text>
    </comment>
    <comment ref="G1275" authorId="0" shapeId="0" xr:uid="{00000000-0006-0000-0000-00005C070000}">
      <text>
        <r>
          <rPr>
            <sz val="10"/>
            <color rgb="FF000000"/>
            <rFont val="Arial"/>
            <scheme val="minor"/>
          </rPr>
          <t>Updated on 25-Apr-2025 04:33 PM by bpsdemak3321@gmail.com</t>
        </r>
      </text>
    </comment>
    <comment ref="H1275" authorId="0" shapeId="0" xr:uid="{00000000-0006-0000-0000-00005D070000}">
      <text>
        <r>
          <rPr>
            <sz val="10"/>
            <color rgb="FF000000"/>
            <rFont val="Arial"/>
            <scheme val="minor"/>
          </rPr>
          <t>Updated on 25-Apr-2025 04:33 PM by bpsdemak3321@gmail.com</t>
        </r>
      </text>
    </comment>
    <comment ref="F1276" authorId="0" shapeId="0" xr:uid="{00000000-0006-0000-0000-00005E070000}">
      <text>
        <r>
          <rPr>
            <sz val="10"/>
            <color rgb="FF000000"/>
            <rFont val="Arial"/>
            <scheme val="minor"/>
          </rPr>
          <t>Updated on 25-Apr-2025 04:34 PM by bpsdemak3321@gmail.com</t>
        </r>
      </text>
    </comment>
    <comment ref="G1276" authorId="0" shapeId="0" xr:uid="{00000000-0006-0000-0000-00005F070000}">
      <text>
        <r>
          <rPr>
            <sz val="10"/>
            <color rgb="FF000000"/>
            <rFont val="Arial"/>
            <scheme val="minor"/>
          </rPr>
          <t>Updated on 25-Apr-2025 04:33 PM by bpsdemak3321@gmail.com</t>
        </r>
      </text>
    </comment>
    <comment ref="H1276" authorId="0" shapeId="0" xr:uid="{00000000-0006-0000-0000-000060070000}">
      <text>
        <r>
          <rPr>
            <sz val="10"/>
            <color rgb="FF000000"/>
            <rFont val="Arial"/>
            <scheme val="minor"/>
          </rPr>
          <t>Updated on 25-Apr-2025 04:33 PM by bpsdemak3321@gmail.com</t>
        </r>
      </text>
    </comment>
    <comment ref="F1277" authorId="0" shapeId="0" xr:uid="{00000000-0006-0000-0000-000061070000}">
      <text>
        <r>
          <rPr>
            <sz val="10"/>
            <color rgb="FF000000"/>
            <rFont val="Arial"/>
            <scheme val="minor"/>
          </rPr>
          <t>Updated on 28-Apr-2025 09:31 AM by bpsdemak3321@gmail.com</t>
        </r>
      </text>
    </comment>
    <comment ref="G1277" authorId="0" shapeId="0" xr:uid="{00000000-0006-0000-0000-000062070000}">
      <text>
        <r>
          <rPr>
            <sz val="10"/>
            <color rgb="FF000000"/>
            <rFont val="Arial"/>
            <scheme val="minor"/>
          </rPr>
          <t>Updated on 28-Apr-2025 09:31 AM by bpsdemak3321@gmail.com</t>
        </r>
      </text>
    </comment>
    <comment ref="H1277" authorId="0" shapeId="0" xr:uid="{00000000-0006-0000-0000-000063070000}">
      <text>
        <r>
          <rPr>
            <sz val="10"/>
            <color rgb="FF000000"/>
            <rFont val="Arial"/>
            <scheme val="minor"/>
          </rPr>
          <t>Updated on 28-Apr-2025 09:31 AM by bpsdemak3321@gmail.com</t>
        </r>
      </text>
    </comment>
    <comment ref="F1278" authorId="0" shapeId="0" xr:uid="{00000000-0006-0000-0000-000064070000}">
      <text>
        <r>
          <rPr>
            <sz val="10"/>
            <color rgb="FF000000"/>
            <rFont val="Arial"/>
            <scheme val="minor"/>
          </rPr>
          <t>Updated on 28-Apr-2025 11:13 AM by bpsdemak3321@gmail.com</t>
        </r>
      </text>
    </comment>
    <comment ref="G1278" authorId="0" shapeId="0" xr:uid="{00000000-0006-0000-0000-000065070000}">
      <text>
        <r>
          <rPr>
            <sz val="10"/>
            <color rgb="FF000000"/>
            <rFont val="Arial"/>
            <scheme val="minor"/>
          </rPr>
          <t>Updated on 28-Apr-2025 11:13 AM by bpsdemak3321@gmail.com</t>
        </r>
      </text>
    </comment>
    <comment ref="H1278" authorId="0" shapeId="0" xr:uid="{00000000-0006-0000-0000-000066070000}">
      <text>
        <r>
          <rPr>
            <sz val="10"/>
            <color rgb="FF000000"/>
            <rFont val="Arial"/>
            <scheme val="minor"/>
          </rPr>
          <t>Updated on 28-Apr-2025 11:13 AM by bpsdemak3321@gmail.com</t>
        </r>
      </text>
    </comment>
    <comment ref="F1279" authorId="0" shapeId="0" xr:uid="{00000000-0006-0000-0000-000067070000}">
      <text>
        <r>
          <rPr>
            <sz val="10"/>
            <color rgb="FF000000"/>
            <rFont val="Arial"/>
            <scheme val="minor"/>
          </rPr>
          <t>Updated on 05-May-2025 02:04 PM by bpsdemak3321@gmail.com</t>
        </r>
      </text>
    </comment>
    <comment ref="G1279" authorId="0" shapeId="0" xr:uid="{00000000-0006-0000-0000-000068070000}">
      <text>
        <r>
          <rPr>
            <sz val="10"/>
            <color rgb="FF000000"/>
            <rFont val="Arial"/>
            <scheme val="minor"/>
          </rPr>
          <t>Updated on 05-May-2025 02:04 PM by bpsdemak3321@gmail.com</t>
        </r>
      </text>
    </comment>
    <comment ref="H1279" authorId="0" shapeId="0" xr:uid="{00000000-0006-0000-0000-000069070000}">
      <text>
        <r>
          <rPr>
            <sz val="10"/>
            <color rgb="FF000000"/>
            <rFont val="Arial"/>
            <scheme val="minor"/>
          </rPr>
          <t>Updated on 05-May-2025 02:04 PM by bpsdemak3321@gmail.com</t>
        </r>
      </text>
    </comment>
    <comment ref="F1280" authorId="0" shapeId="0" xr:uid="{00000000-0006-0000-0000-00006A070000}">
      <text>
        <r>
          <rPr>
            <sz val="10"/>
            <color rgb="FF000000"/>
            <rFont val="Arial"/>
            <scheme val="minor"/>
          </rPr>
          <t>Updated on 05-May-2025 02:05 PM by bpsdemak3321@gmail.com</t>
        </r>
      </text>
    </comment>
    <comment ref="G1280" authorId="0" shapeId="0" xr:uid="{00000000-0006-0000-0000-00006B070000}">
      <text>
        <r>
          <rPr>
            <sz val="10"/>
            <color rgb="FF000000"/>
            <rFont val="Arial"/>
            <scheme val="minor"/>
          </rPr>
          <t>Updated on 05-May-2025 02:05 PM by bpsdemak3321@gmail.com</t>
        </r>
      </text>
    </comment>
    <comment ref="H1280" authorId="0" shapeId="0" xr:uid="{00000000-0006-0000-0000-00006C070000}">
      <text>
        <r>
          <rPr>
            <sz val="10"/>
            <color rgb="FF000000"/>
            <rFont val="Arial"/>
            <scheme val="minor"/>
          </rPr>
          <t>Updated on 05-May-2025 02:05 PM by bpsdemak3321@gmail.com</t>
        </r>
      </text>
    </comment>
    <comment ref="F1281" authorId="0" shapeId="0" xr:uid="{00000000-0006-0000-0000-00006D070000}">
      <text>
        <r>
          <rPr>
            <sz val="10"/>
            <color rgb="FF000000"/>
            <rFont val="Arial"/>
            <scheme val="minor"/>
          </rPr>
          <t>Updated on 05-May-2025 02:05 PM by bpsdemak3321@gmail.com</t>
        </r>
      </text>
    </comment>
    <comment ref="G1281" authorId="0" shapeId="0" xr:uid="{00000000-0006-0000-0000-00006E070000}">
      <text>
        <r>
          <rPr>
            <sz val="10"/>
            <color rgb="FF000000"/>
            <rFont val="Arial"/>
            <scheme val="minor"/>
          </rPr>
          <t>Updated on 05-May-2025 02:05 PM by bpsdemak3321@gmail.com</t>
        </r>
      </text>
    </comment>
    <comment ref="H1281" authorId="0" shapeId="0" xr:uid="{00000000-0006-0000-0000-00006F070000}">
      <text>
        <r>
          <rPr>
            <sz val="10"/>
            <color rgb="FF000000"/>
            <rFont val="Arial"/>
            <scheme val="minor"/>
          </rPr>
          <t>Updated on 05-May-2025 02:05 PM by bpsdemak3321@gmail.com</t>
        </r>
      </text>
    </comment>
    <comment ref="F1282" authorId="0" shapeId="0" xr:uid="{00000000-0006-0000-0000-000070070000}">
      <text>
        <r>
          <rPr>
            <sz val="10"/>
            <color rgb="FF000000"/>
            <rFont val="Arial"/>
            <scheme val="minor"/>
          </rPr>
          <t>Updated on 07-May-2025 11:12 AM by bpsdemak3321@gmail.com</t>
        </r>
      </text>
    </comment>
    <comment ref="G1282" authorId="0" shapeId="0" xr:uid="{00000000-0006-0000-0000-000071070000}">
      <text>
        <r>
          <rPr>
            <sz val="10"/>
            <color rgb="FF000000"/>
            <rFont val="Arial"/>
            <scheme val="minor"/>
          </rPr>
          <t>Updated on 07-May-2025 11:12 AM by bpsdemak3321@gmail.com</t>
        </r>
      </text>
    </comment>
    <comment ref="H1282" authorId="0" shapeId="0" xr:uid="{00000000-0006-0000-0000-000072070000}">
      <text>
        <r>
          <rPr>
            <sz val="10"/>
            <color rgb="FF000000"/>
            <rFont val="Arial"/>
            <scheme val="minor"/>
          </rPr>
          <t>Updated on 07-May-2025 11:12 AM by bpsdemak3321@gmail.com</t>
        </r>
      </text>
    </comment>
    <comment ref="F1283" authorId="0" shapeId="0" xr:uid="{00000000-0006-0000-0000-000073070000}">
      <text>
        <r>
          <rPr>
            <sz val="10"/>
            <color rgb="FF000000"/>
            <rFont val="Arial"/>
            <scheme val="minor"/>
          </rPr>
          <t>Updated on 07-May-2025 11:36 AM by bpsdemak3321@gmail.com</t>
        </r>
      </text>
    </comment>
    <comment ref="G1283" authorId="0" shapeId="0" xr:uid="{00000000-0006-0000-0000-000074070000}">
      <text>
        <r>
          <rPr>
            <sz val="10"/>
            <color rgb="FF000000"/>
            <rFont val="Arial"/>
            <scheme val="minor"/>
          </rPr>
          <t>Updated on 07-May-2025 11:36 AM by bpsdemak3321@gmail.com</t>
        </r>
      </text>
    </comment>
    <comment ref="H1283" authorId="0" shapeId="0" xr:uid="{00000000-0006-0000-0000-000075070000}">
      <text>
        <r>
          <rPr>
            <sz val="10"/>
            <color rgb="FF000000"/>
            <rFont val="Arial"/>
            <scheme val="minor"/>
          </rPr>
          <t>Updated on 07-May-2025 11:36 AM by bpsdemak3321@gmail.com</t>
        </r>
      </text>
    </comment>
    <comment ref="F1284" authorId="0" shapeId="0" xr:uid="{00000000-0006-0000-0000-000076070000}">
      <text>
        <r>
          <rPr>
            <sz val="10"/>
            <color rgb="FF000000"/>
            <rFont val="Arial"/>
            <scheme val="minor"/>
          </rPr>
          <t>Updated on 07-May-2025 11:41 AM by bpsdemak3321@gmail.com</t>
        </r>
      </text>
    </comment>
    <comment ref="G1284" authorId="0" shapeId="0" xr:uid="{00000000-0006-0000-0000-000077070000}">
      <text>
        <r>
          <rPr>
            <sz val="10"/>
            <color rgb="FF000000"/>
            <rFont val="Arial"/>
            <scheme val="minor"/>
          </rPr>
          <t>Updated on 07-May-2025 11:41 AM by bpsdemak3321@gmail.com</t>
        </r>
      </text>
    </comment>
    <comment ref="H1284" authorId="0" shapeId="0" xr:uid="{00000000-0006-0000-0000-000078070000}">
      <text>
        <r>
          <rPr>
            <sz val="10"/>
            <color rgb="FF000000"/>
            <rFont val="Arial"/>
            <scheme val="minor"/>
          </rPr>
          <t>Updated on 07-May-2025 11:41 AM by bpsdemak3321@gmail.com</t>
        </r>
      </text>
    </comment>
    <comment ref="F1285" authorId="0" shapeId="0" xr:uid="{00000000-0006-0000-0000-000079070000}">
      <text>
        <r>
          <rPr>
            <sz val="10"/>
            <color rgb="FF000000"/>
            <rFont val="Arial"/>
            <scheme val="minor"/>
          </rPr>
          <t>Updated on 07-May-2025 11:42 AM by bpsdemak3321@gmail.com</t>
        </r>
      </text>
    </comment>
    <comment ref="G1285" authorId="0" shapeId="0" xr:uid="{00000000-0006-0000-0000-00007A070000}">
      <text>
        <r>
          <rPr>
            <sz val="10"/>
            <color rgb="FF000000"/>
            <rFont val="Arial"/>
            <scheme val="minor"/>
          </rPr>
          <t>Updated on 07-May-2025 11:42 AM by bpsdemak3321@gmail.com</t>
        </r>
      </text>
    </comment>
    <comment ref="H1285" authorId="0" shapeId="0" xr:uid="{00000000-0006-0000-0000-00007B070000}">
      <text>
        <r>
          <rPr>
            <sz val="10"/>
            <color rgb="FF000000"/>
            <rFont val="Arial"/>
            <scheme val="minor"/>
          </rPr>
          <t>Updated on 07-May-2025 11:42 AM by bpsdemak3321@gmail.com</t>
        </r>
      </text>
    </comment>
    <comment ref="F1286" authorId="0" shapeId="0" xr:uid="{00000000-0006-0000-0000-00007C070000}">
      <text>
        <r>
          <rPr>
            <sz val="10"/>
            <color rgb="FF000000"/>
            <rFont val="Arial"/>
            <scheme val="minor"/>
          </rPr>
          <t>Updated on 14-May-2025 09:25 AM by bpsdemak3321@gmail.com</t>
        </r>
      </text>
    </comment>
    <comment ref="G1286" authorId="0" shapeId="0" xr:uid="{00000000-0006-0000-0000-00007D070000}">
      <text>
        <r>
          <rPr>
            <sz val="10"/>
            <color rgb="FF000000"/>
            <rFont val="Arial"/>
            <scheme val="minor"/>
          </rPr>
          <t>Updated on 14-May-2025 09:25 AM by bpsdemak3321@gmail.com</t>
        </r>
      </text>
    </comment>
    <comment ref="H1286" authorId="0" shapeId="0" xr:uid="{00000000-0006-0000-0000-00007E070000}">
      <text>
        <r>
          <rPr>
            <sz val="10"/>
            <color rgb="FF000000"/>
            <rFont val="Arial"/>
            <scheme val="minor"/>
          </rPr>
          <t>Updated on 14-May-2025 09:25 AM by bpsdemak3321@gmail.com</t>
        </r>
      </text>
    </comment>
    <comment ref="F1287" authorId="0" shapeId="0" xr:uid="{00000000-0006-0000-0000-00007F070000}">
      <text>
        <r>
          <rPr>
            <sz val="10"/>
            <color rgb="FF000000"/>
            <rFont val="Arial"/>
            <scheme val="minor"/>
          </rPr>
          <t>Updated on 14-May-2025 11:22 AM by bpsdemak3321@gmail.com</t>
        </r>
      </text>
    </comment>
    <comment ref="G1287" authorId="0" shapeId="0" xr:uid="{00000000-0006-0000-0000-000080070000}">
      <text>
        <r>
          <rPr>
            <sz val="10"/>
            <color rgb="FF000000"/>
            <rFont val="Arial"/>
            <scheme val="minor"/>
          </rPr>
          <t>Updated on 14-May-2025 11:22 AM by bpsdemak3321@gmail.com</t>
        </r>
      </text>
    </comment>
    <comment ref="H1287" authorId="0" shapeId="0" xr:uid="{00000000-0006-0000-0000-000081070000}">
      <text>
        <r>
          <rPr>
            <sz val="10"/>
            <color rgb="FF000000"/>
            <rFont val="Arial"/>
            <scheme val="minor"/>
          </rPr>
          <t>Updated on 14-May-2025 11:22 AM by bpsdemak3321@gmail.com</t>
        </r>
      </text>
    </comment>
    <comment ref="F1288" authorId="0" shapeId="0" xr:uid="{00000000-0006-0000-0000-000082070000}">
      <text>
        <r>
          <rPr>
            <sz val="10"/>
            <color rgb="FF000000"/>
            <rFont val="Arial"/>
            <scheme val="minor"/>
          </rPr>
          <t>Updated on 15-May-2025 02:30 PM by bpsdemak3321@gmail.com</t>
        </r>
      </text>
    </comment>
    <comment ref="G1288" authorId="0" shapeId="0" xr:uid="{00000000-0006-0000-0000-000083070000}">
      <text>
        <r>
          <rPr>
            <sz val="10"/>
            <color rgb="FF000000"/>
            <rFont val="Arial"/>
            <scheme val="minor"/>
          </rPr>
          <t>Updated on 15-May-2025 02:30 PM by bpsdemak3321@gmail.com</t>
        </r>
      </text>
    </comment>
    <comment ref="H1288" authorId="0" shapeId="0" xr:uid="{00000000-0006-0000-0000-000084070000}">
      <text>
        <r>
          <rPr>
            <sz val="10"/>
            <color rgb="FF000000"/>
            <rFont val="Arial"/>
            <scheme val="minor"/>
          </rPr>
          <t>Updated on 15-May-2025 02:30 PM by bpsdemak3321@gmail.com</t>
        </r>
      </text>
    </comment>
    <comment ref="F1289" authorId="0" shapeId="0" xr:uid="{00000000-0006-0000-0000-000085070000}">
      <text>
        <r>
          <rPr>
            <sz val="10"/>
            <color rgb="FF000000"/>
            <rFont val="Arial"/>
            <scheme val="minor"/>
          </rPr>
          <t>Updated on 15-May-2025 03:01 PM by bpsdemak3321@gmail.com</t>
        </r>
      </text>
    </comment>
    <comment ref="G1289" authorId="0" shapeId="0" xr:uid="{00000000-0006-0000-0000-000086070000}">
      <text>
        <r>
          <rPr>
            <sz val="10"/>
            <color rgb="FF000000"/>
            <rFont val="Arial"/>
            <scheme val="minor"/>
          </rPr>
          <t>Updated on 15-May-2025 03:01 PM by bpsdemak3321@gmail.com</t>
        </r>
      </text>
    </comment>
    <comment ref="H1289" authorId="0" shapeId="0" xr:uid="{00000000-0006-0000-0000-000087070000}">
      <text>
        <r>
          <rPr>
            <sz val="10"/>
            <color rgb="FF000000"/>
            <rFont val="Arial"/>
            <scheme val="minor"/>
          </rPr>
          <t>Updated on 15-May-2025 03:01 PM by bpsdemak3321@gmail.com</t>
        </r>
      </text>
    </comment>
    <comment ref="F1290" authorId="0" shapeId="0" xr:uid="{00000000-0006-0000-0000-000088070000}">
      <text>
        <r>
          <rPr>
            <sz val="10"/>
            <color rgb="FF000000"/>
            <rFont val="Arial"/>
            <scheme val="minor"/>
          </rPr>
          <t>Updated on 15-May-2025 03:05 PM by bpsdemak3321@gmail.com</t>
        </r>
      </text>
    </comment>
    <comment ref="G1290" authorId="0" shapeId="0" xr:uid="{00000000-0006-0000-0000-000089070000}">
      <text>
        <r>
          <rPr>
            <sz val="10"/>
            <color rgb="FF000000"/>
            <rFont val="Arial"/>
            <scheme val="minor"/>
          </rPr>
          <t>Updated on 15-May-2025 03:05 PM by bpsdemak3321@gmail.com</t>
        </r>
      </text>
    </comment>
    <comment ref="H1290" authorId="0" shapeId="0" xr:uid="{00000000-0006-0000-0000-00008A070000}">
      <text>
        <r>
          <rPr>
            <sz val="10"/>
            <color rgb="FF000000"/>
            <rFont val="Arial"/>
            <scheme val="minor"/>
          </rPr>
          <t>Updated on 15-May-2025 03:05 PM by bpsdemak3321@gmail.com</t>
        </r>
      </text>
    </comment>
    <comment ref="F1291" authorId="0" shapeId="0" xr:uid="{00000000-0006-0000-0000-00008B070000}">
      <text>
        <r>
          <rPr>
            <sz val="10"/>
            <color rgb="FF000000"/>
            <rFont val="Arial"/>
            <scheme val="minor"/>
          </rPr>
          <t>Updated on 15-May-2025 07:02 PM by bpsdemak3321@gmail.com</t>
        </r>
      </text>
    </comment>
    <comment ref="G1291" authorId="0" shapeId="0" xr:uid="{00000000-0006-0000-0000-00008C070000}">
      <text>
        <r>
          <rPr>
            <sz val="10"/>
            <color rgb="FF000000"/>
            <rFont val="Arial"/>
            <scheme val="minor"/>
          </rPr>
          <t>Updated on 15-May-2025 07:02 PM by bpsdemak3321@gmail.com</t>
        </r>
      </text>
    </comment>
    <comment ref="H1291" authorId="0" shapeId="0" xr:uid="{00000000-0006-0000-0000-00008D070000}">
      <text>
        <r>
          <rPr>
            <sz val="10"/>
            <color rgb="FF000000"/>
            <rFont val="Arial"/>
            <scheme val="minor"/>
          </rPr>
          <t>Updated on 15-May-2025 07:02 PM by bpsdemak3321@gmail.com</t>
        </r>
      </text>
    </comment>
    <comment ref="F1292" authorId="0" shapeId="0" xr:uid="{00000000-0006-0000-0000-00008E070000}">
      <text>
        <r>
          <rPr>
            <sz val="10"/>
            <color rgb="FF000000"/>
            <rFont val="Arial"/>
            <scheme val="minor"/>
          </rPr>
          <t>Updated on 19-May-2025 08:36 AM by bpsdemak3321@gmail.com</t>
        </r>
      </text>
    </comment>
    <comment ref="G1292" authorId="0" shapeId="0" xr:uid="{00000000-0006-0000-0000-00008F070000}">
      <text>
        <r>
          <rPr>
            <sz val="10"/>
            <color rgb="FF000000"/>
            <rFont val="Arial"/>
            <scheme val="minor"/>
          </rPr>
          <t>Updated on 19-May-2025 08:36 AM by bpsdemak3321@gmail.com</t>
        </r>
      </text>
    </comment>
    <comment ref="H1292" authorId="0" shapeId="0" xr:uid="{00000000-0006-0000-0000-000090070000}">
      <text>
        <r>
          <rPr>
            <sz val="10"/>
            <color rgb="FF000000"/>
            <rFont val="Arial"/>
            <scheme val="minor"/>
          </rPr>
          <t>Updated on 19-May-2025 08:36 AM by bpsdemak3321@gmail.com</t>
        </r>
      </text>
    </comment>
    <comment ref="F1293" authorId="0" shapeId="0" xr:uid="{00000000-0006-0000-0000-000091070000}">
      <text>
        <r>
          <rPr>
            <sz val="10"/>
            <color rgb="FF000000"/>
            <rFont val="Arial"/>
            <scheme val="minor"/>
          </rPr>
          <t>Updated on 22-May-2025 09:06 AM by bpsdemak3321@gmail.com</t>
        </r>
      </text>
    </comment>
    <comment ref="G1293" authorId="0" shapeId="0" xr:uid="{00000000-0006-0000-0000-000092070000}">
      <text>
        <r>
          <rPr>
            <sz val="10"/>
            <color rgb="FF000000"/>
            <rFont val="Arial"/>
            <scheme val="minor"/>
          </rPr>
          <t>Updated on 22-May-2025 09:06 AM by bpsdemak3321@gmail.com</t>
        </r>
      </text>
    </comment>
    <comment ref="H1293" authorId="0" shapeId="0" xr:uid="{00000000-0006-0000-0000-000093070000}">
      <text>
        <r>
          <rPr>
            <sz val="10"/>
            <color rgb="FF000000"/>
            <rFont val="Arial"/>
            <scheme val="minor"/>
          </rPr>
          <t>Updated on 22-May-2025 09:06 AM by bpsdemak3321@gmail.com</t>
        </r>
      </text>
    </comment>
    <comment ref="F1295" authorId="0" shapeId="0" xr:uid="{00000000-0006-0000-0000-000094070000}">
      <text>
        <r>
          <rPr>
            <sz val="10"/>
            <color rgb="FF000000"/>
            <rFont val="Arial"/>
            <scheme val="minor"/>
          </rPr>
          <t>Updated on 22-May-2025 10:02 AM by bpsdemak3321@gmail.com</t>
        </r>
      </text>
    </comment>
    <comment ref="G1295" authorId="0" shapeId="0" xr:uid="{00000000-0006-0000-0000-000095070000}">
      <text>
        <r>
          <rPr>
            <sz val="10"/>
            <color rgb="FF000000"/>
            <rFont val="Arial"/>
            <scheme val="minor"/>
          </rPr>
          <t>Updated on 22-May-2025 10:02 AM by bpsdemak3321@gmail.com</t>
        </r>
      </text>
    </comment>
    <comment ref="H1295" authorId="0" shapeId="0" xr:uid="{00000000-0006-0000-0000-000096070000}">
      <text>
        <r>
          <rPr>
            <sz val="10"/>
            <color rgb="FF000000"/>
            <rFont val="Arial"/>
            <scheme val="minor"/>
          </rPr>
          <t>Updated on 22-May-2025 10:02 AM by bpsdemak3321@gmail.com</t>
        </r>
      </text>
    </comment>
    <comment ref="F1296" authorId="0" shapeId="0" xr:uid="{00000000-0006-0000-0000-000097070000}">
      <text>
        <r>
          <rPr>
            <sz val="10"/>
            <color rgb="FF000000"/>
            <rFont val="Arial"/>
            <scheme val="minor"/>
          </rPr>
          <t>Updated on 22-May-2025 10:03 AM by bpsdemak3321@gmail.com</t>
        </r>
      </text>
    </comment>
    <comment ref="G1296" authorId="0" shapeId="0" xr:uid="{00000000-0006-0000-0000-000098070000}">
      <text>
        <r>
          <rPr>
            <sz val="10"/>
            <color rgb="FF000000"/>
            <rFont val="Arial"/>
            <scheme val="minor"/>
          </rPr>
          <t>Updated on 22-May-2025 10:03 AM by bpsdemak3321@gmail.com</t>
        </r>
      </text>
    </comment>
    <comment ref="H1296" authorId="0" shapeId="0" xr:uid="{00000000-0006-0000-0000-000099070000}">
      <text>
        <r>
          <rPr>
            <sz val="10"/>
            <color rgb="FF000000"/>
            <rFont val="Arial"/>
            <scheme val="minor"/>
          </rPr>
          <t>Updated on 22-May-2025 10:03 AM by bpsdemak3321@gmail.com</t>
        </r>
      </text>
    </comment>
    <comment ref="F1297" authorId="0" shapeId="0" xr:uid="{00000000-0006-0000-0000-00009A070000}">
      <text>
        <r>
          <rPr>
            <sz val="10"/>
            <color rgb="FF000000"/>
            <rFont val="Arial"/>
            <scheme val="minor"/>
          </rPr>
          <t>Updated on 22-May-2025 10:03 AM by bpsdemak3321@gmail.com</t>
        </r>
      </text>
    </comment>
    <comment ref="G1297" authorId="0" shapeId="0" xr:uid="{00000000-0006-0000-0000-00009B070000}">
      <text>
        <r>
          <rPr>
            <sz val="10"/>
            <color rgb="FF000000"/>
            <rFont val="Arial"/>
            <scheme val="minor"/>
          </rPr>
          <t>Updated on 22-May-2025 10:03 AM by bpsdemak3321@gmail.com</t>
        </r>
      </text>
    </comment>
    <comment ref="H1297" authorId="0" shapeId="0" xr:uid="{00000000-0006-0000-0000-00009C070000}">
      <text>
        <r>
          <rPr>
            <sz val="10"/>
            <color rgb="FF000000"/>
            <rFont val="Arial"/>
            <scheme val="minor"/>
          </rPr>
          <t>Updated on 22-May-2025 10:03 AM by bpsdemak3321@gmail.com</t>
        </r>
      </text>
    </comment>
    <comment ref="F1298" authorId="0" shapeId="0" xr:uid="{00000000-0006-0000-0000-00009D070000}">
      <text>
        <r>
          <rPr>
            <sz val="10"/>
            <color rgb="FF000000"/>
            <rFont val="Arial"/>
            <scheme val="minor"/>
          </rPr>
          <t>Updated on 22-May-2025 11:40 AM by bpsdemak3321@gmail.com</t>
        </r>
      </text>
    </comment>
    <comment ref="G1298" authorId="0" shapeId="0" xr:uid="{00000000-0006-0000-0000-00009E070000}">
      <text>
        <r>
          <rPr>
            <sz val="10"/>
            <color rgb="FF000000"/>
            <rFont val="Arial"/>
            <scheme val="minor"/>
          </rPr>
          <t>Updated on 22-May-2025 11:40 AM by bpsdemak3321@gmail.com</t>
        </r>
      </text>
    </comment>
    <comment ref="H1298" authorId="0" shapeId="0" xr:uid="{00000000-0006-0000-0000-00009F070000}">
      <text>
        <r>
          <rPr>
            <sz val="10"/>
            <color rgb="FF000000"/>
            <rFont val="Arial"/>
            <scheme val="minor"/>
          </rPr>
          <t>Updated on 22-May-2025 11:40 AM by bpsdemak3321@gmail.com</t>
        </r>
      </text>
    </comment>
    <comment ref="F1299" authorId="0" shapeId="0" xr:uid="{00000000-0006-0000-0000-0000A0070000}">
      <text>
        <r>
          <rPr>
            <sz val="10"/>
            <color rgb="FF000000"/>
            <rFont val="Arial"/>
            <scheme val="minor"/>
          </rPr>
          <t>Updated on 22-May-2025 12:24 PM by bpsdemak3321@gmail.com</t>
        </r>
      </text>
    </comment>
    <comment ref="G1299" authorId="0" shapeId="0" xr:uid="{00000000-0006-0000-0000-0000A1070000}">
      <text>
        <r>
          <rPr>
            <sz val="10"/>
            <color rgb="FF000000"/>
            <rFont val="Arial"/>
            <scheme val="minor"/>
          </rPr>
          <t>Updated on 22-May-2025 12:24 PM by bpsdemak3321@gmail.com</t>
        </r>
      </text>
    </comment>
    <comment ref="H1299" authorId="0" shapeId="0" xr:uid="{00000000-0006-0000-0000-0000A2070000}">
      <text>
        <r>
          <rPr>
            <sz val="10"/>
            <color rgb="FF000000"/>
            <rFont val="Arial"/>
            <scheme val="minor"/>
          </rPr>
          <t>Updated on 22-May-2025 12:24 PM by bpsdemak3321@gmail.com</t>
        </r>
      </text>
    </comment>
    <comment ref="F1300" authorId="0" shapeId="0" xr:uid="{00000000-0006-0000-0000-0000A3070000}">
      <text>
        <r>
          <rPr>
            <sz val="10"/>
            <color rgb="FF000000"/>
            <rFont val="Arial"/>
            <scheme val="minor"/>
          </rPr>
          <t>Updated on 26-May-2025 07:03 AM by bpsdemak3321@gmail.com</t>
        </r>
      </text>
    </comment>
    <comment ref="G1300" authorId="0" shapeId="0" xr:uid="{00000000-0006-0000-0000-0000A4070000}">
      <text>
        <r>
          <rPr>
            <sz val="10"/>
            <color rgb="FF000000"/>
            <rFont val="Arial"/>
            <scheme val="minor"/>
          </rPr>
          <t>Updated on 26-May-2025 07:02 AM by bpsdemak3321@gmail.com</t>
        </r>
      </text>
    </comment>
    <comment ref="H1300" authorId="0" shapeId="0" xr:uid="{00000000-0006-0000-0000-0000A5070000}">
      <text>
        <r>
          <rPr>
            <sz val="10"/>
            <color rgb="FF000000"/>
            <rFont val="Arial"/>
            <scheme val="minor"/>
          </rPr>
          <t>Updated on 26-May-2025 07:02 AM by bpsdemak3321@gmail.com</t>
        </r>
      </text>
    </comment>
    <comment ref="F1301" authorId="0" shapeId="0" xr:uid="{00000000-0006-0000-0000-0000A6070000}">
      <text>
        <r>
          <rPr>
            <sz val="10"/>
            <color rgb="FF000000"/>
            <rFont val="Arial"/>
            <scheme val="minor"/>
          </rPr>
          <t>Updated on 26-May-2025 07:04 AM by bpsdemak3321@gmail.com</t>
        </r>
      </text>
    </comment>
    <comment ref="G1301" authorId="0" shapeId="0" xr:uid="{00000000-0006-0000-0000-0000A7070000}">
      <text>
        <r>
          <rPr>
            <sz val="10"/>
            <color rgb="FF000000"/>
            <rFont val="Arial"/>
            <scheme val="minor"/>
          </rPr>
          <t>Updated on 26-May-2025 07:04 AM by bpsdemak3321@gmail.com</t>
        </r>
      </text>
    </comment>
    <comment ref="H1301" authorId="0" shapeId="0" xr:uid="{00000000-0006-0000-0000-0000A8070000}">
      <text>
        <r>
          <rPr>
            <sz val="10"/>
            <color rgb="FF000000"/>
            <rFont val="Arial"/>
            <scheme val="minor"/>
          </rPr>
          <t>Updated on 26-May-2025 07:04 AM by bpsdemak3321@gmail.com</t>
        </r>
      </text>
    </comment>
    <comment ref="F1302" authorId="0" shapeId="0" xr:uid="{00000000-0006-0000-0000-0000A9070000}">
      <text>
        <r>
          <rPr>
            <sz val="10"/>
            <color rgb="FF000000"/>
            <rFont val="Arial"/>
            <scheme val="minor"/>
          </rPr>
          <t>Updated on 26-May-2025 07:04 AM by bpsdemak3321@gmail.com</t>
        </r>
      </text>
    </comment>
    <comment ref="G1302" authorId="0" shapeId="0" xr:uid="{00000000-0006-0000-0000-0000AA070000}">
      <text>
        <r>
          <rPr>
            <sz val="10"/>
            <color rgb="FF000000"/>
            <rFont val="Arial"/>
            <scheme val="minor"/>
          </rPr>
          <t>Updated on 26-May-2025 07:04 AM by bpsdemak3321@gmail.com</t>
        </r>
      </text>
    </comment>
    <comment ref="H1302" authorId="0" shapeId="0" xr:uid="{00000000-0006-0000-0000-0000AB070000}">
      <text>
        <r>
          <rPr>
            <sz val="10"/>
            <color rgb="FF000000"/>
            <rFont val="Arial"/>
            <scheme val="minor"/>
          </rPr>
          <t>Updated on 26-May-2025 07:04 AM by bpsdemak3321@gmail.com</t>
        </r>
      </text>
    </comment>
    <comment ref="F1303" authorId="0" shapeId="0" xr:uid="{00000000-0006-0000-0000-0000AC070000}">
      <text>
        <r>
          <rPr>
            <sz val="10"/>
            <color rgb="FF000000"/>
            <rFont val="Arial"/>
            <scheme val="minor"/>
          </rPr>
          <t>Updated on 26-May-2025 07:05 AM by bpsdemak3321@gmail.com</t>
        </r>
      </text>
    </comment>
    <comment ref="G1303" authorId="0" shapeId="0" xr:uid="{00000000-0006-0000-0000-0000AD070000}">
      <text>
        <r>
          <rPr>
            <sz val="10"/>
            <color rgb="FF000000"/>
            <rFont val="Arial"/>
            <scheme val="minor"/>
          </rPr>
          <t>Updated on 26-May-2025 07:05 AM by bpsdemak3321@gmail.com</t>
        </r>
      </text>
    </comment>
    <comment ref="H1303" authorId="0" shapeId="0" xr:uid="{00000000-0006-0000-0000-0000AE070000}">
      <text>
        <r>
          <rPr>
            <sz val="10"/>
            <color rgb="FF000000"/>
            <rFont val="Arial"/>
            <scheme val="minor"/>
          </rPr>
          <t>Updated on 26-May-2025 07:05 AM by bpsdemak3321@gmail.com</t>
        </r>
      </text>
    </comment>
    <comment ref="F1304" authorId="0" shapeId="0" xr:uid="{00000000-0006-0000-0000-0000AF070000}">
      <text>
        <r>
          <rPr>
            <sz val="10"/>
            <color rgb="FF000000"/>
            <rFont val="Arial"/>
            <scheme val="minor"/>
          </rPr>
          <t>Updated on 29-May-2025 10:58 AM by bpsdemak3321@gmail.com</t>
        </r>
      </text>
    </comment>
    <comment ref="G1304" authorId="0" shapeId="0" xr:uid="{00000000-0006-0000-0000-0000B0070000}">
      <text>
        <r>
          <rPr>
            <sz val="10"/>
            <color rgb="FF000000"/>
            <rFont val="Arial"/>
            <scheme val="minor"/>
          </rPr>
          <t>Updated on 29-May-2025 10:58 AM by bpsdemak3321@gmail.com</t>
        </r>
      </text>
    </comment>
    <comment ref="H1304" authorId="0" shapeId="0" xr:uid="{00000000-0006-0000-0000-0000B1070000}">
      <text>
        <r>
          <rPr>
            <sz val="10"/>
            <color rgb="FF000000"/>
            <rFont val="Arial"/>
            <scheme val="minor"/>
          </rPr>
          <t>Updated on 29-May-2025 10:58 AM by bpsdemak3321@gmail.com</t>
        </r>
      </text>
    </comment>
    <comment ref="F1305" authorId="0" shapeId="0" xr:uid="{00000000-0006-0000-0000-0000B2070000}">
      <text>
        <r>
          <rPr>
            <sz val="10"/>
            <color rgb="FF000000"/>
            <rFont val="Arial"/>
            <scheme val="minor"/>
          </rPr>
          <t>Updated on 29-May-2025 10:58 AM by bpsdemak3321@gmail.com</t>
        </r>
      </text>
    </comment>
    <comment ref="G1305" authorId="0" shapeId="0" xr:uid="{00000000-0006-0000-0000-0000B3070000}">
      <text>
        <r>
          <rPr>
            <sz val="10"/>
            <color rgb="FF000000"/>
            <rFont val="Arial"/>
            <scheme val="minor"/>
          </rPr>
          <t>Updated on 29-May-2025 10:58 AM by bpsdemak3321@gmail.com</t>
        </r>
      </text>
    </comment>
    <comment ref="H1305" authorId="0" shapeId="0" xr:uid="{00000000-0006-0000-0000-0000B4070000}">
      <text>
        <r>
          <rPr>
            <sz val="10"/>
            <color rgb="FF000000"/>
            <rFont val="Arial"/>
            <scheme val="minor"/>
          </rPr>
          <t>Updated on 29-May-2025 10:58 AM by bpsdemak3321@gmail.com</t>
        </r>
      </text>
    </comment>
    <comment ref="F1306" authorId="0" shapeId="0" xr:uid="{00000000-0006-0000-0000-0000B5070000}">
      <text>
        <r>
          <rPr>
            <sz val="10"/>
            <color rgb="FF000000"/>
            <rFont val="Arial"/>
            <scheme val="minor"/>
          </rPr>
          <t>Updated on 02-Jun-2025 09:24 AM by bpsdemak3321@gmail.com</t>
        </r>
      </text>
    </comment>
    <comment ref="G1306" authorId="0" shapeId="0" xr:uid="{00000000-0006-0000-0000-0000B6070000}">
      <text>
        <r>
          <rPr>
            <sz val="10"/>
            <color rgb="FF000000"/>
            <rFont val="Arial"/>
            <scheme val="minor"/>
          </rPr>
          <t>Updated on 02-Jun-2025 09:24 AM by bpsdemak3321@gmail.com</t>
        </r>
      </text>
    </comment>
    <comment ref="H1306" authorId="0" shapeId="0" xr:uid="{00000000-0006-0000-0000-0000B7070000}">
      <text>
        <r>
          <rPr>
            <sz val="10"/>
            <color rgb="FF000000"/>
            <rFont val="Arial"/>
            <scheme val="minor"/>
          </rPr>
          <t>Updated on 02-Jun-2025 09:24 AM by bpsdemak3321@gmail.com</t>
        </r>
      </text>
    </comment>
    <comment ref="F1307" authorId="0" shapeId="0" xr:uid="{00000000-0006-0000-0000-0000B8070000}">
      <text>
        <r>
          <rPr>
            <sz val="10"/>
            <color rgb="FF000000"/>
            <rFont val="Arial"/>
            <scheme val="minor"/>
          </rPr>
          <t>Updated on 02-Jun-2025 09:25 AM by bpsdemak3321@gmail.com</t>
        </r>
      </text>
    </comment>
    <comment ref="G1307" authorId="0" shapeId="0" xr:uid="{00000000-0006-0000-0000-0000B9070000}">
      <text>
        <r>
          <rPr>
            <sz val="10"/>
            <color rgb="FF000000"/>
            <rFont val="Arial"/>
            <scheme val="minor"/>
          </rPr>
          <t>Updated on 02-Jun-2025 09:25 AM by bpsdemak3321@gmail.com</t>
        </r>
      </text>
    </comment>
    <comment ref="H1307" authorId="0" shapeId="0" xr:uid="{00000000-0006-0000-0000-0000BA070000}">
      <text>
        <r>
          <rPr>
            <sz val="10"/>
            <color rgb="FF000000"/>
            <rFont val="Arial"/>
            <scheme val="minor"/>
          </rPr>
          <t>Updated on 02-Jun-2025 09:25 AM by bpsdemak3321@gmail.com</t>
        </r>
      </text>
    </comment>
    <comment ref="F1308" authorId="0" shapeId="0" xr:uid="{00000000-0006-0000-0000-0000BB070000}">
      <text>
        <r>
          <rPr>
            <sz val="10"/>
            <color rgb="FF000000"/>
            <rFont val="Arial"/>
            <scheme val="minor"/>
          </rPr>
          <t>Updated on 02-Jun-2025 09:25 AM by bpsdemak3321@gmail.com</t>
        </r>
      </text>
    </comment>
    <comment ref="G1308" authorId="0" shapeId="0" xr:uid="{00000000-0006-0000-0000-0000BC070000}">
      <text>
        <r>
          <rPr>
            <sz val="10"/>
            <color rgb="FF000000"/>
            <rFont val="Arial"/>
            <scheme val="minor"/>
          </rPr>
          <t>Updated on 02-Jun-2025 09:25 AM by bpsdemak3321@gmail.com</t>
        </r>
      </text>
    </comment>
    <comment ref="H1308" authorId="0" shapeId="0" xr:uid="{00000000-0006-0000-0000-0000BD070000}">
      <text>
        <r>
          <rPr>
            <sz val="10"/>
            <color rgb="FF000000"/>
            <rFont val="Arial"/>
            <scheme val="minor"/>
          </rPr>
          <t>Updated on 02-Jun-2025 09:25 AM by bpsdemak3321@gmail.com</t>
        </r>
      </text>
    </comment>
    <comment ref="F1309" authorId="0" shapeId="0" xr:uid="{00000000-0006-0000-0000-0000BE070000}">
      <text>
        <r>
          <rPr>
            <sz val="10"/>
            <color rgb="FF000000"/>
            <rFont val="Arial"/>
            <scheme val="minor"/>
          </rPr>
          <t>Updated on 02-Jun-2025 09:27 AM by bpsdemak3321@gmail.com</t>
        </r>
      </text>
    </comment>
    <comment ref="G1309" authorId="0" shapeId="0" xr:uid="{00000000-0006-0000-0000-0000BF070000}">
      <text>
        <r>
          <rPr>
            <sz val="10"/>
            <color rgb="FF000000"/>
            <rFont val="Arial"/>
            <scheme val="minor"/>
          </rPr>
          <t>Updated on 02-Jun-2025 09:27 AM by bpsdemak3321@gmail.com</t>
        </r>
      </text>
    </comment>
    <comment ref="H1309" authorId="0" shapeId="0" xr:uid="{00000000-0006-0000-0000-0000C0070000}">
      <text>
        <r>
          <rPr>
            <sz val="10"/>
            <color rgb="FF000000"/>
            <rFont val="Arial"/>
            <scheme val="minor"/>
          </rPr>
          <t>Updated on 02-Jun-2025 09:27 AM by bpsdemak3321@gmail.com</t>
        </r>
      </text>
    </comment>
    <comment ref="F1310" authorId="0" shapeId="0" xr:uid="{00000000-0006-0000-0000-0000C1070000}">
      <text>
        <r>
          <rPr>
            <sz val="10"/>
            <color rgb="FF000000"/>
            <rFont val="Arial"/>
            <scheme val="minor"/>
          </rPr>
          <t>Updated on 02-Jun-2025 09:28 AM by bpsdemak3321@gmail.com</t>
        </r>
      </text>
    </comment>
    <comment ref="G1310" authorId="0" shapeId="0" xr:uid="{00000000-0006-0000-0000-0000C2070000}">
      <text>
        <r>
          <rPr>
            <sz val="10"/>
            <color rgb="FF000000"/>
            <rFont val="Arial"/>
            <scheme val="minor"/>
          </rPr>
          <t>Updated on 02-Jun-2025 09:28 AM by bpsdemak3321@gmail.com</t>
        </r>
      </text>
    </comment>
    <comment ref="H1310" authorId="0" shapeId="0" xr:uid="{00000000-0006-0000-0000-0000C3070000}">
      <text>
        <r>
          <rPr>
            <sz val="10"/>
            <color rgb="FF000000"/>
            <rFont val="Arial"/>
            <scheme val="minor"/>
          </rPr>
          <t>Updated on 02-Jun-2025 09:28 AM by bpsdemak3321@gmail.com</t>
        </r>
      </text>
    </comment>
    <comment ref="F1311" authorId="0" shapeId="0" xr:uid="{00000000-0006-0000-0000-0000C4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G1311" authorId="0" shapeId="0" xr:uid="{00000000-0006-0000-0000-0000C5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H1311" authorId="0" shapeId="0" xr:uid="{00000000-0006-0000-0000-0000C6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F1312" authorId="0" shapeId="0" xr:uid="{00000000-0006-0000-0000-0000C7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G1312" authorId="0" shapeId="0" xr:uid="{00000000-0006-0000-0000-0000C8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H1312" authorId="0" shapeId="0" xr:uid="{00000000-0006-0000-0000-0000C9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F1313" authorId="0" shapeId="0" xr:uid="{00000000-0006-0000-0000-0000CA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G1313" authorId="0" shapeId="0" xr:uid="{00000000-0006-0000-0000-0000CB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H1313" authorId="0" shapeId="0" xr:uid="{00000000-0006-0000-0000-0000CC070000}">
      <text>
        <r>
          <rPr>
            <sz val="10"/>
            <color rgb="FF000000"/>
            <rFont val="Arial"/>
            <scheme val="minor"/>
          </rPr>
          <t>Updated on 02-Jun-2025 09:29 AM by bpsdemak3321@gmail.com</t>
        </r>
      </text>
    </comment>
    <comment ref="F1314" authorId="0" shapeId="0" xr:uid="{00000000-0006-0000-0000-0000CD070000}">
      <text>
        <r>
          <rPr>
            <sz val="10"/>
            <color rgb="FF000000"/>
            <rFont val="Arial"/>
            <scheme val="minor"/>
          </rPr>
          <t>Updated on 02-Jun-2025 09:30 AM by bpsdemak3321@gmail.com</t>
        </r>
      </text>
    </comment>
    <comment ref="G1314" authorId="0" shapeId="0" xr:uid="{00000000-0006-0000-0000-0000CE070000}">
      <text>
        <r>
          <rPr>
            <sz val="10"/>
            <color rgb="FF000000"/>
            <rFont val="Arial"/>
            <scheme val="minor"/>
          </rPr>
          <t>Updated on 02-Jun-2025 09:30 AM by bpsdemak3321@gmail.com</t>
        </r>
      </text>
    </comment>
    <comment ref="H1314" authorId="0" shapeId="0" xr:uid="{00000000-0006-0000-0000-0000CF070000}">
      <text>
        <r>
          <rPr>
            <sz val="10"/>
            <color rgb="FF000000"/>
            <rFont val="Arial"/>
            <scheme val="minor"/>
          </rPr>
          <t>Updated on 02-Jun-2025 09:30 AM by bpsdemak3321@gmail.com</t>
        </r>
      </text>
    </comment>
    <comment ref="F1315" authorId="0" shapeId="0" xr:uid="{00000000-0006-0000-0000-0000D0070000}">
      <text>
        <r>
          <rPr>
            <sz val="10"/>
            <color rgb="FF000000"/>
            <rFont val="Arial"/>
            <scheme val="minor"/>
          </rPr>
          <t>Updated on 02-Jun-2025 09:30 AM by bpsdemak3321@gmail.com</t>
        </r>
      </text>
    </comment>
    <comment ref="G1315" authorId="0" shapeId="0" xr:uid="{00000000-0006-0000-0000-0000D1070000}">
      <text>
        <r>
          <rPr>
            <sz val="10"/>
            <color rgb="FF000000"/>
            <rFont val="Arial"/>
            <scheme val="minor"/>
          </rPr>
          <t>Updated on 02-Jun-2025 09:30 AM by bpsdemak3321@gmail.com</t>
        </r>
      </text>
    </comment>
    <comment ref="H1315" authorId="0" shapeId="0" xr:uid="{00000000-0006-0000-0000-0000D2070000}">
      <text>
        <r>
          <rPr>
            <sz val="10"/>
            <color rgb="FF000000"/>
            <rFont val="Arial"/>
            <scheme val="minor"/>
          </rPr>
          <t>Updated on 02-Jun-2025 09:30 AM by bpsdemak3321@gmail.com</t>
        </r>
      </text>
    </comment>
    <comment ref="F1316" authorId="0" shapeId="0" xr:uid="{00000000-0006-0000-0000-0000D3070000}">
      <text>
        <r>
          <rPr>
            <sz val="10"/>
            <color rgb="FF000000"/>
            <rFont val="Arial"/>
            <scheme val="minor"/>
          </rPr>
          <t>Updated on 02-Jun-2025 09:31 AM by bpsdemak3321@gmail.com</t>
        </r>
      </text>
    </comment>
    <comment ref="G1316" authorId="0" shapeId="0" xr:uid="{00000000-0006-0000-0000-0000D4070000}">
      <text>
        <r>
          <rPr>
            <sz val="10"/>
            <color rgb="FF000000"/>
            <rFont val="Arial"/>
            <scheme val="minor"/>
          </rPr>
          <t>Updated on 02-Jun-2025 09:31 AM by bpsdemak3321@gmail.com</t>
        </r>
      </text>
    </comment>
    <comment ref="H1316" authorId="0" shapeId="0" xr:uid="{00000000-0006-0000-0000-0000D5070000}">
      <text>
        <r>
          <rPr>
            <sz val="10"/>
            <color rgb="FF000000"/>
            <rFont val="Arial"/>
            <scheme val="minor"/>
          </rPr>
          <t>Updated on 02-Jun-2025 09:31 AM by bpsdemak3321@gmail.com</t>
        </r>
      </text>
    </comment>
    <comment ref="F1317" authorId="0" shapeId="0" xr:uid="{00000000-0006-0000-0000-0000D6070000}">
      <text>
        <r>
          <rPr>
            <sz val="10"/>
            <color rgb="FF000000"/>
            <rFont val="Arial"/>
            <scheme val="minor"/>
          </rPr>
          <t>Updated on 02-Jun-2025 09:32 AM by bpsdemak3321@gmail.com</t>
        </r>
      </text>
    </comment>
    <comment ref="G1317" authorId="0" shapeId="0" xr:uid="{00000000-0006-0000-0000-0000D7070000}">
      <text>
        <r>
          <rPr>
            <sz val="10"/>
            <color rgb="FF000000"/>
            <rFont val="Arial"/>
            <scheme val="minor"/>
          </rPr>
          <t>Updated on 02-Jun-2025 09:32 AM by bpsdemak3321@gmail.com</t>
        </r>
      </text>
    </comment>
    <comment ref="H1317" authorId="0" shapeId="0" xr:uid="{00000000-0006-0000-0000-0000D8070000}">
      <text>
        <r>
          <rPr>
            <sz val="10"/>
            <color rgb="FF000000"/>
            <rFont val="Arial"/>
            <scheme val="minor"/>
          </rPr>
          <t>Updated on 02-Jun-2025 09:32 AM by bpsdemak3321@gmail.com</t>
        </r>
      </text>
    </comment>
    <comment ref="F1318" authorId="0" shapeId="0" xr:uid="{00000000-0006-0000-0000-0000D9070000}">
      <text>
        <r>
          <rPr>
            <sz val="10"/>
            <color rgb="FF000000"/>
            <rFont val="Arial"/>
            <scheme val="minor"/>
          </rPr>
          <t>Updated on 02-Jun-2025 09:32 AM by bpsdemak3321@gmail.com</t>
        </r>
      </text>
    </comment>
    <comment ref="G1318" authorId="0" shapeId="0" xr:uid="{00000000-0006-0000-0000-0000DA070000}">
      <text>
        <r>
          <rPr>
            <sz val="10"/>
            <color rgb="FF000000"/>
            <rFont val="Arial"/>
            <scheme val="minor"/>
          </rPr>
          <t>Updated on 02-Jun-2025 09:32 AM by bpsdemak3321@gmail.com</t>
        </r>
      </text>
    </comment>
    <comment ref="H1318" authorId="0" shapeId="0" xr:uid="{00000000-0006-0000-0000-0000DB070000}">
      <text>
        <r>
          <rPr>
            <sz val="10"/>
            <color rgb="FF000000"/>
            <rFont val="Arial"/>
            <scheme val="minor"/>
          </rPr>
          <t>Updated on 02-Jun-2025 09:32 AM by bpsdemak3321@gmail.com</t>
        </r>
      </text>
    </comment>
    <comment ref="F1319" authorId="0" shapeId="0" xr:uid="{00000000-0006-0000-0000-0000DC070000}">
      <text>
        <r>
          <rPr>
            <sz val="10"/>
            <color rgb="FF000000"/>
            <rFont val="Arial"/>
            <scheme val="minor"/>
          </rPr>
          <t>Updated on 02-Jun-2025 09:33 AM by bpsdemak3321@gmail.com</t>
        </r>
      </text>
    </comment>
    <comment ref="G1319" authorId="0" shapeId="0" xr:uid="{00000000-0006-0000-0000-0000DD070000}">
      <text>
        <r>
          <rPr>
            <sz val="10"/>
            <color rgb="FF000000"/>
            <rFont val="Arial"/>
            <scheme val="minor"/>
          </rPr>
          <t>Updated on 02-Jun-2025 09:33 AM by bpsdemak3321@gmail.com</t>
        </r>
      </text>
    </comment>
    <comment ref="H1319" authorId="0" shapeId="0" xr:uid="{00000000-0006-0000-0000-0000DE070000}">
      <text>
        <r>
          <rPr>
            <sz val="10"/>
            <color rgb="FF000000"/>
            <rFont val="Arial"/>
            <scheme val="minor"/>
          </rPr>
          <t>Updated on 02-Jun-2025 09:33 AM by bpsdemak3321@gmail.com</t>
        </r>
      </text>
    </comment>
    <comment ref="F1320" authorId="0" shapeId="0" xr:uid="{00000000-0006-0000-0000-0000DF070000}">
      <text>
        <r>
          <rPr>
            <sz val="10"/>
            <color rgb="FF000000"/>
            <rFont val="Arial"/>
            <scheme val="minor"/>
          </rPr>
          <t>Updated on 02-Jun-2025 09:35 AM by bpsdemak3321@gmail.com</t>
        </r>
      </text>
    </comment>
    <comment ref="G1320" authorId="0" shapeId="0" xr:uid="{00000000-0006-0000-0000-0000E0070000}">
      <text>
        <r>
          <rPr>
            <sz val="10"/>
            <color rgb="FF000000"/>
            <rFont val="Arial"/>
            <scheme val="minor"/>
          </rPr>
          <t>Updated on 02-Jun-2025 09:35 AM by bpsdemak3321@gmail.com</t>
        </r>
      </text>
    </comment>
    <comment ref="H1320" authorId="0" shapeId="0" xr:uid="{00000000-0006-0000-0000-0000E1070000}">
      <text>
        <r>
          <rPr>
            <sz val="10"/>
            <color rgb="FF000000"/>
            <rFont val="Arial"/>
            <scheme val="minor"/>
          </rPr>
          <t>Updated on 02-Jun-2025 09:35 AM by bpsdemak3321@gmail.com</t>
        </r>
      </text>
    </comment>
    <comment ref="F1321" authorId="0" shapeId="0" xr:uid="{00000000-0006-0000-0000-0000E2070000}">
      <text>
        <r>
          <rPr>
            <sz val="10"/>
            <color rgb="FF000000"/>
            <rFont val="Arial"/>
            <scheme val="minor"/>
          </rPr>
          <t>Updated on 02-Jun-2025 09:35 AM by bpsdemak3321@gmail.com</t>
        </r>
      </text>
    </comment>
    <comment ref="G1321" authorId="0" shapeId="0" xr:uid="{00000000-0006-0000-0000-0000E3070000}">
      <text>
        <r>
          <rPr>
            <sz val="10"/>
            <color rgb="FF000000"/>
            <rFont val="Arial"/>
            <scheme val="minor"/>
          </rPr>
          <t>Updated on 02-Jun-2025 09:35 AM by bpsdemak3321@gmail.com</t>
        </r>
      </text>
    </comment>
    <comment ref="H1321" authorId="0" shapeId="0" xr:uid="{00000000-0006-0000-0000-0000E4070000}">
      <text>
        <r>
          <rPr>
            <sz val="10"/>
            <color rgb="FF000000"/>
            <rFont val="Arial"/>
            <scheme val="minor"/>
          </rPr>
          <t>Updated on 02-Jun-2025 09:35 AM by bpsdemak3321@gmail.com</t>
        </r>
      </text>
    </comment>
    <comment ref="F1322" authorId="0" shapeId="0" xr:uid="{00000000-0006-0000-0000-0000E5070000}">
      <text>
        <r>
          <rPr>
            <sz val="10"/>
            <color rgb="FF000000"/>
            <rFont val="Arial"/>
            <scheme val="minor"/>
          </rPr>
          <t>Updated on 02-Jun-2025 09:36 AM by bpsdemak3321@gmail.com</t>
        </r>
      </text>
    </comment>
    <comment ref="G1322" authorId="0" shapeId="0" xr:uid="{00000000-0006-0000-0000-0000E6070000}">
      <text>
        <r>
          <rPr>
            <sz val="10"/>
            <color rgb="FF000000"/>
            <rFont val="Arial"/>
            <scheme val="minor"/>
          </rPr>
          <t>Updated on 02-Jun-2025 09:36 AM by bpsdemak3321@gmail.com</t>
        </r>
      </text>
    </comment>
    <comment ref="H1322" authorId="0" shapeId="0" xr:uid="{00000000-0006-0000-0000-0000E7070000}">
      <text>
        <r>
          <rPr>
            <sz val="10"/>
            <color rgb="FF000000"/>
            <rFont val="Arial"/>
            <scheme val="minor"/>
          </rPr>
          <t>Updated on 02-Jun-2025 09:36 AM by bpsdemak3321@gmail.com</t>
        </r>
      </text>
    </comment>
    <comment ref="F1323" authorId="0" shapeId="0" xr:uid="{00000000-0006-0000-0000-0000E8070000}">
      <text>
        <r>
          <rPr>
            <sz val="10"/>
            <color rgb="FF000000"/>
            <rFont val="Arial"/>
            <scheme val="minor"/>
          </rPr>
          <t>Updated on 02-Jun-2025 09:39 AM by bpsdemak3321@gmail.com</t>
        </r>
      </text>
    </comment>
    <comment ref="G1323" authorId="0" shapeId="0" xr:uid="{00000000-0006-0000-0000-0000E9070000}">
      <text>
        <r>
          <rPr>
            <sz val="10"/>
            <color rgb="FF000000"/>
            <rFont val="Arial"/>
            <scheme val="minor"/>
          </rPr>
          <t>Updated on 02-Jun-2025 09:39 AM by bpsdemak3321@gmail.com</t>
        </r>
      </text>
    </comment>
    <comment ref="H1323" authorId="0" shapeId="0" xr:uid="{00000000-0006-0000-0000-0000EA070000}">
      <text>
        <r>
          <rPr>
            <sz val="10"/>
            <color rgb="FF000000"/>
            <rFont val="Arial"/>
            <scheme val="minor"/>
          </rPr>
          <t>Updated on 02-Jun-2025 09:39 AM by bpsdemak3321@gmail.com</t>
        </r>
      </text>
    </comment>
    <comment ref="F1324" authorId="0" shapeId="0" xr:uid="{00000000-0006-0000-0000-0000EB070000}">
      <text>
        <r>
          <rPr>
            <sz val="10"/>
            <color rgb="FF000000"/>
            <rFont val="Arial"/>
            <scheme val="minor"/>
          </rPr>
          <t>Updated on 02-Jun-2025 09:40 AM by bpsdemak3321@gmail.com</t>
        </r>
      </text>
    </comment>
    <comment ref="G1324" authorId="0" shapeId="0" xr:uid="{00000000-0006-0000-0000-0000EC070000}">
      <text>
        <r>
          <rPr>
            <sz val="10"/>
            <color rgb="FF000000"/>
            <rFont val="Arial"/>
            <scheme val="minor"/>
          </rPr>
          <t>Updated on 02-Jun-2025 09:40 AM by bpsdemak3321@gmail.com</t>
        </r>
      </text>
    </comment>
    <comment ref="H1324" authorId="0" shapeId="0" xr:uid="{00000000-0006-0000-0000-0000ED070000}">
      <text>
        <r>
          <rPr>
            <sz val="10"/>
            <color rgb="FF000000"/>
            <rFont val="Arial"/>
            <scheme val="minor"/>
          </rPr>
          <t>Updated on 02-Jun-2025 09:40 AM by bpsdemak3321@gmail.com</t>
        </r>
      </text>
    </comment>
    <comment ref="F1325" authorId="0" shapeId="0" xr:uid="{00000000-0006-0000-0000-0000EE070000}">
      <text>
        <r>
          <rPr>
            <sz val="10"/>
            <color rgb="FF000000"/>
            <rFont val="Arial"/>
            <scheme val="minor"/>
          </rPr>
          <t>Updated on 02-Jun-2025 09:41 AM by bpsdemak3321@gmail.com</t>
        </r>
      </text>
    </comment>
    <comment ref="G1325" authorId="0" shapeId="0" xr:uid="{00000000-0006-0000-0000-0000EF070000}">
      <text>
        <r>
          <rPr>
            <sz val="10"/>
            <color rgb="FF000000"/>
            <rFont val="Arial"/>
            <scheme val="minor"/>
          </rPr>
          <t>Updated on 02-Jun-2025 09:41 AM by bpsdemak3321@gmail.com</t>
        </r>
      </text>
    </comment>
    <comment ref="H1325" authorId="0" shapeId="0" xr:uid="{00000000-0006-0000-0000-0000F0070000}">
      <text>
        <r>
          <rPr>
            <sz val="10"/>
            <color rgb="FF000000"/>
            <rFont val="Arial"/>
            <scheme val="minor"/>
          </rPr>
          <t>Updated on 02-Jun-2025 09:41 AM by bpsdemak3321@gmail.com</t>
        </r>
      </text>
    </comment>
    <comment ref="F1326" authorId="0" shapeId="0" xr:uid="{00000000-0006-0000-0000-0000F1070000}">
      <text>
        <r>
          <rPr>
            <sz val="10"/>
            <color rgb="FF000000"/>
            <rFont val="Arial"/>
            <scheme val="minor"/>
          </rPr>
          <t>Updated on 02-Jun-2025 09:41 AM by bpsdemak3321@gmail.com</t>
        </r>
      </text>
    </comment>
    <comment ref="G1326" authorId="0" shapeId="0" xr:uid="{00000000-0006-0000-0000-0000F2070000}">
      <text>
        <r>
          <rPr>
            <sz val="10"/>
            <color rgb="FF000000"/>
            <rFont val="Arial"/>
            <scheme val="minor"/>
          </rPr>
          <t>Updated on 02-Jun-2025 09:41 AM by bpsdemak3321@gmail.com</t>
        </r>
      </text>
    </comment>
    <comment ref="H1326" authorId="0" shapeId="0" xr:uid="{00000000-0006-0000-0000-0000F3070000}">
      <text>
        <r>
          <rPr>
            <sz val="10"/>
            <color rgb="FF000000"/>
            <rFont val="Arial"/>
            <scheme val="minor"/>
          </rPr>
          <t>Updated on 02-Jun-2025 09:41 AM by bpsdemak3321@gmail.com</t>
        </r>
      </text>
    </comment>
    <comment ref="F1327" authorId="0" shapeId="0" xr:uid="{00000000-0006-0000-0000-0000F4070000}">
      <text>
        <r>
          <rPr>
            <sz val="10"/>
            <color rgb="FF000000"/>
            <rFont val="Arial"/>
            <scheme val="minor"/>
          </rPr>
          <t>Updated on 02-Jun-2025 09:42 AM by bpsdemak3321@gmail.com</t>
        </r>
      </text>
    </comment>
    <comment ref="G1327" authorId="0" shapeId="0" xr:uid="{00000000-0006-0000-0000-0000F5070000}">
      <text>
        <r>
          <rPr>
            <sz val="10"/>
            <color rgb="FF000000"/>
            <rFont val="Arial"/>
            <scheme val="minor"/>
          </rPr>
          <t>Updated on 02-Jun-2025 09:42 AM by bpsdemak3321@gmail.com</t>
        </r>
      </text>
    </comment>
    <comment ref="H1327" authorId="0" shapeId="0" xr:uid="{00000000-0006-0000-0000-0000F6070000}">
      <text>
        <r>
          <rPr>
            <sz val="10"/>
            <color rgb="FF000000"/>
            <rFont val="Arial"/>
            <scheme val="minor"/>
          </rPr>
          <t>Updated on 02-Jun-2025 09:42 AM by bpsdemak3321@gmail.com</t>
        </r>
      </text>
    </comment>
    <comment ref="F1328" authorId="0" shapeId="0" xr:uid="{00000000-0006-0000-0000-0000F7070000}">
      <text>
        <r>
          <rPr>
            <sz val="10"/>
            <color rgb="FF000000"/>
            <rFont val="Arial"/>
            <scheme val="minor"/>
          </rPr>
          <t>Updated on 02-Jun-2025 09:49 AM by bpsdemak3321@gmail.com</t>
        </r>
      </text>
    </comment>
    <comment ref="G1328" authorId="0" shapeId="0" xr:uid="{00000000-0006-0000-0000-0000F8070000}">
      <text>
        <r>
          <rPr>
            <sz val="10"/>
            <color rgb="FF000000"/>
            <rFont val="Arial"/>
            <scheme val="minor"/>
          </rPr>
          <t>Updated on 02-Jun-2025 09:49 AM by bpsdemak3321@gmail.com</t>
        </r>
      </text>
    </comment>
    <comment ref="H1328" authorId="0" shapeId="0" xr:uid="{00000000-0006-0000-0000-0000F9070000}">
      <text>
        <r>
          <rPr>
            <sz val="10"/>
            <color rgb="FF000000"/>
            <rFont val="Arial"/>
            <scheme val="minor"/>
          </rPr>
          <t>Updated on 02-Jun-2025 09:49 AM by bpsdemak3321@gmail.com</t>
        </r>
      </text>
    </comment>
    <comment ref="F1329" authorId="0" shapeId="0" xr:uid="{00000000-0006-0000-0000-0000FA070000}">
      <text>
        <r>
          <rPr>
            <sz val="10"/>
            <color rgb="FF000000"/>
            <rFont val="Arial"/>
            <scheme val="minor"/>
          </rPr>
          <t>Updated on 02-Jun-2025 09:59 AM by bpsdemak3321@gmail.com</t>
        </r>
      </text>
    </comment>
    <comment ref="G1329" authorId="0" shapeId="0" xr:uid="{00000000-0006-0000-0000-0000FB070000}">
      <text>
        <r>
          <rPr>
            <sz val="10"/>
            <color rgb="FF000000"/>
            <rFont val="Arial"/>
            <scheme val="minor"/>
          </rPr>
          <t>Updated on 02-Jun-2025 09:59 AM by bpsdemak3321@gmail.com</t>
        </r>
      </text>
    </comment>
    <comment ref="H1329" authorId="0" shapeId="0" xr:uid="{00000000-0006-0000-0000-0000FC070000}">
      <text>
        <r>
          <rPr>
            <sz val="10"/>
            <color rgb="FF000000"/>
            <rFont val="Arial"/>
            <scheme val="minor"/>
          </rPr>
          <t>Updated on 02-Jun-2025 09:59 AM by bpsdemak3321@gmail.com</t>
        </r>
      </text>
    </comment>
    <comment ref="F1330" authorId="0" shapeId="0" xr:uid="{00000000-0006-0000-0000-0000FD070000}">
      <text>
        <r>
          <rPr>
            <sz val="10"/>
            <color rgb="FF000000"/>
            <rFont val="Arial"/>
            <scheme val="minor"/>
          </rPr>
          <t>Updated on 02-Jun-2025 10:06 AM by bpsdemak3321@gmail.com</t>
        </r>
      </text>
    </comment>
    <comment ref="G1330" authorId="0" shapeId="0" xr:uid="{00000000-0006-0000-0000-0000FE070000}">
      <text>
        <r>
          <rPr>
            <sz val="10"/>
            <color rgb="FF000000"/>
            <rFont val="Arial"/>
            <scheme val="minor"/>
          </rPr>
          <t>Updated on 02-Jun-2025 10:06 AM by bpsdemak3321@gmail.com</t>
        </r>
      </text>
    </comment>
    <comment ref="H1330" authorId="0" shapeId="0" xr:uid="{00000000-0006-0000-0000-0000FF070000}">
      <text>
        <r>
          <rPr>
            <sz val="10"/>
            <color rgb="FF000000"/>
            <rFont val="Arial"/>
            <scheme val="minor"/>
          </rPr>
          <t>Updated on 02-Jun-2025 10:06 AM by bpsdemak3321@gmail.com</t>
        </r>
      </text>
    </comment>
    <comment ref="G1331" authorId="0" shapeId="0" xr:uid="{00000000-0006-0000-0000-000000080000}">
      <text>
        <r>
          <rPr>
            <sz val="10"/>
            <color rgb="FF000000"/>
            <rFont val="Arial"/>
            <scheme val="minor"/>
          </rPr>
          <t>Updated on 02-Jun-2025 10:14 AM by bpsdemak3321@gmail.com</t>
        </r>
      </text>
    </comment>
    <comment ref="H1331" authorId="0" shapeId="0" xr:uid="{00000000-0006-0000-0000-000001080000}">
      <text>
        <r>
          <rPr>
            <sz val="10"/>
            <color rgb="FF000000"/>
            <rFont val="Arial"/>
            <scheme val="minor"/>
          </rPr>
          <t>Updated on 02-Jun-2025 10:14 AM by bpsdemak3321@gmail.com</t>
        </r>
      </text>
    </comment>
    <comment ref="G1332" authorId="0" shapeId="0" xr:uid="{00000000-0006-0000-0000-000002080000}">
      <text>
        <r>
          <rPr>
            <sz val="10"/>
            <color rgb="FF000000"/>
            <rFont val="Arial"/>
            <scheme val="minor"/>
          </rPr>
          <t>Updated on 02-Jun-2025 11:11 AM by bpsdemak3321@gmail.com</t>
        </r>
      </text>
    </comment>
    <comment ref="H1332" authorId="0" shapeId="0" xr:uid="{00000000-0006-0000-0000-000003080000}">
      <text>
        <r>
          <rPr>
            <sz val="10"/>
            <color rgb="FF000000"/>
            <rFont val="Arial"/>
            <scheme val="minor"/>
          </rPr>
          <t>Updated on 02-Jun-2025 11:11 AM by bpsdemak3321@gmail.com</t>
        </r>
      </text>
    </comment>
    <comment ref="G1333" authorId="0" shapeId="0" xr:uid="{00000000-0006-0000-0000-000004080000}">
      <text>
        <r>
          <rPr>
            <sz val="10"/>
            <color rgb="FF000000"/>
            <rFont val="Arial"/>
            <scheme val="minor"/>
          </rPr>
          <t>Updated on 02-Jun-2025 11:46 AM by bpsdemak3321@gmail.com</t>
        </r>
      </text>
    </comment>
    <comment ref="H1333" authorId="0" shapeId="0" xr:uid="{00000000-0006-0000-0000-000005080000}">
      <text>
        <r>
          <rPr>
            <sz val="10"/>
            <color rgb="FF000000"/>
            <rFont val="Arial"/>
            <scheme val="minor"/>
          </rPr>
          <t>Updated on 02-Jun-2025 11:46 AM by bpsdemak3321@gmail.com</t>
        </r>
      </text>
    </comment>
    <comment ref="G1334" authorId="0" shapeId="0" xr:uid="{00000000-0006-0000-0000-000006080000}">
      <text>
        <r>
          <rPr>
            <sz val="10"/>
            <color rgb="FF000000"/>
            <rFont val="Arial"/>
            <scheme val="minor"/>
          </rPr>
          <t>Updated on 02-Jun-2025 11:46 AM by bpsdemak3321@gmail.com</t>
        </r>
      </text>
    </comment>
    <comment ref="H1334" authorId="0" shapeId="0" xr:uid="{00000000-0006-0000-0000-000007080000}">
      <text>
        <r>
          <rPr>
            <sz val="10"/>
            <color rgb="FF000000"/>
            <rFont val="Arial"/>
            <scheme val="minor"/>
          </rPr>
          <t>Updated on 02-Jun-2025 11:46 AM by bpsdemak3321@gmail.com</t>
        </r>
      </text>
    </comment>
    <comment ref="G1335" authorId="0" shapeId="0" xr:uid="{00000000-0006-0000-0000-000008080000}">
      <text>
        <r>
          <rPr>
            <sz val="10"/>
            <color rgb="FF000000"/>
            <rFont val="Arial"/>
            <scheme val="minor"/>
          </rPr>
          <t>Updated on 02-Jun-2025 11:46 AM by bpsdemak3321@gmail.com</t>
        </r>
      </text>
    </comment>
    <comment ref="H1335" authorId="0" shapeId="0" xr:uid="{00000000-0006-0000-0000-000009080000}">
      <text>
        <r>
          <rPr>
            <sz val="10"/>
            <color rgb="FF000000"/>
            <rFont val="Arial"/>
            <scheme val="minor"/>
          </rPr>
          <t>Updated on 02-Jun-2025 11:46 AM by bpsdemak3321@gmail.com</t>
        </r>
      </text>
    </comment>
    <comment ref="G1336" authorId="0" shapeId="0" xr:uid="{00000000-0006-0000-0000-00000A080000}">
      <text>
        <r>
          <rPr>
            <sz val="10"/>
            <color rgb="FF000000"/>
            <rFont val="Arial"/>
            <scheme val="minor"/>
          </rPr>
          <t>Updated on 02-Jun-2025 01:01 PM by bpsdemak3321@gmail.com</t>
        </r>
      </text>
    </comment>
    <comment ref="H1336" authorId="0" shapeId="0" xr:uid="{00000000-0006-0000-0000-00000B080000}">
      <text>
        <r>
          <rPr>
            <sz val="10"/>
            <color rgb="FF000000"/>
            <rFont val="Arial"/>
            <scheme val="minor"/>
          </rPr>
          <t>Updated on 02-Jun-2025 01:01 PM by bpsdemak3321@gmail.com</t>
        </r>
      </text>
    </comment>
    <comment ref="G1337" authorId="0" shapeId="0" xr:uid="{00000000-0006-0000-0000-00000C080000}">
      <text>
        <r>
          <rPr>
            <sz val="10"/>
            <color rgb="FF000000"/>
            <rFont val="Arial"/>
            <scheme val="minor"/>
          </rPr>
          <t>Updated on 02-Jun-2025 01:01 PM by bpsdemak3321@gmail.com</t>
        </r>
      </text>
    </comment>
    <comment ref="H1337" authorId="0" shapeId="0" xr:uid="{00000000-0006-0000-0000-00000D080000}">
      <text>
        <r>
          <rPr>
            <sz val="10"/>
            <color rgb="FF000000"/>
            <rFont val="Arial"/>
            <scheme val="minor"/>
          </rPr>
          <t>Updated on 02-Jun-2025 01:01 PM by bpsdemak3321@gmail.com</t>
        </r>
      </text>
    </comment>
    <comment ref="G1338" authorId="0" shapeId="0" xr:uid="{00000000-0006-0000-0000-00000E080000}">
      <text>
        <r>
          <rPr>
            <sz val="10"/>
            <color rgb="FF000000"/>
            <rFont val="Arial"/>
            <scheme val="minor"/>
          </rPr>
          <t>Updated on 02-Jun-2025 01:01 PM by bpsdemak3321@gmail.com</t>
        </r>
      </text>
    </comment>
    <comment ref="H1338" authorId="0" shapeId="0" xr:uid="{00000000-0006-0000-0000-00000F080000}">
      <text>
        <r>
          <rPr>
            <sz val="10"/>
            <color rgb="FF000000"/>
            <rFont val="Arial"/>
            <scheme val="minor"/>
          </rPr>
          <t>Updated on 02-Jun-2025 01:01 PM by bpsdemak3321@gmail.com</t>
        </r>
      </text>
    </comment>
    <comment ref="G1339" authorId="0" shapeId="0" xr:uid="{00000000-0006-0000-0000-000010080000}">
      <text>
        <r>
          <rPr>
            <sz val="10"/>
            <color rgb="FF000000"/>
            <rFont val="Arial"/>
            <scheme val="minor"/>
          </rPr>
          <t>Updated on 02-Jun-2025 01:02 PM by bpsdemak3321@gmail.com</t>
        </r>
      </text>
    </comment>
    <comment ref="H1339" authorId="0" shapeId="0" xr:uid="{00000000-0006-0000-0000-000011080000}">
      <text>
        <r>
          <rPr>
            <sz val="10"/>
            <color rgb="FF000000"/>
            <rFont val="Arial"/>
            <scheme val="minor"/>
          </rPr>
          <t>Updated on 02-Jun-2025 01:02 PM by bpsdemak3321@gmail.com</t>
        </r>
      </text>
    </comment>
    <comment ref="G1340" authorId="0" shapeId="0" xr:uid="{00000000-0006-0000-0000-000012080000}">
      <text>
        <r>
          <rPr>
            <sz val="10"/>
            <color rgb="FF000000"/>
            <rFont val="Arial"/>
            <scheme val="minor"/>
          </rPr>
          <t>Updated on 02-Jun-2025 01:35 PM by bpsdemak3321@gmail.com</t>
        </r>
      </text>
    </comment>
    <comment ref="H1340" authorId="0" shapeId="0" xr:uid="{00000000-0006-0000-0000-000013080000}">
      <text>
        <r>
          <rPr>
            <sz val="10"/>
            <color rgb="FF000000"/>
            <rFont val="Arial"/>
            <scheme val="minor"/>
          </rPr>
          <t>Updated on 02-Jun-2025 01:35 PM by bpsdemak3321@gmail.com</t>
        </r>
      </text>
    </comment>
    <comment ref="G1341" authorId="0" shapeId="0" xr:uid="{00000000-0006-0000-0000-000014080000}">
      <text>
        <r>
          <rPr>
            <sz val="10"/>
            <color rgb="FF000000"/>
            <rFont val="Arial"/>
            <scheme val="minor"/>
          </rPr>
          <t>Updated on 02-Jun-2025 01:35 PM by bpsdemak3321@gmail.com</t>
        </r>
      </text>
    </comment>
    <comment ref="H1341" authorId="0" shapeId="0" xr:uid="{00000000-0006-0000-0000-000015080000}">
      <text>
        <r>
          <rPr>
            <sz val="10"/>
            <color rgb="FF000000"/>
            <rFont val="Arial"/>
            <scheme val="minor"/>
          </rPr>
          <t>Updated on 02-Jun-2025 01:35 PM by bpsdemak3321@gmail.com</t>
        </r>
      </text>
    </comment>
    <comment ref="G1342" authorId="0" shapeId="0" xr:uid="{00000000-0006-0000-0000-000016080000}">
      <text>
        <r>
          <rPr>
            <sz val="10"/>
            <color rgb="FF000000"/>
            <rFont val="Arial"/>
            <scheme val="minor"/>
          </rPr>
          <t>Updated on 02-Jun-2025 01:36 PM by bpsdemak3321@gmail.com</t>
        </r>
      </text>
    </comment>
    <comment ref="H1342" authorId="0" shapeId="0" xr:uid="{00000000-0006-0000-0000-000017080000}">
      <text>
        <r>
          <rPr>
            <sz val="10"/>
            <color rgb="FF000000"/>
            <rFont val="Arial"/>
            <scheme val="minor"/>
          </rPr>
          <t>Updated on 02-Jun-2025 01:36 PM by bpsdemak3321@gmail.com</t>
        </r>
      </text>
    </comment>
    <comment ref="G1343" authorId="0" shapeId="0" xr:uid="{00000000-0006-0000-0000-000018080000}">
      <text>
        <r>
          <rPr>
            <sz val="10"/>
            <color rgb="FF000000"/>
            <rFont val="Arial"/>
            <scheme val="minor"/>
          </rPr>
          <t>Updated on 02-Jun-2025 01:36 PM by bpsdemak3321@gmail.com</t>
        </r>
      </text>
    </comment>
    <comment ref="H1343" authorId="0" shapeId="0" xr:uid="{00000000-0006-0000-0000-000019080000}">
      <text>
        <r>
          <rPr>
            <sz val="10"/>
            <color rgb="FF000000"/>
            <rFont val="Arial"/>
            <scheme val="minor"/>
          </rPr>
          <t>Updated on 02-Jun-2025 01:36 PM by bpsdemak3321@gmail.com</t>
        </r>
      </text>
    </comment>
    <comment ref="G1344" authorId="0" shapeId="0" xr:uid="{00000000-0006-0000-0000-00001A080000}">
      <text>
        <r>
          <rPr>
            <sz val="10"/>
            <color rgb="FF000000"/>
            <rFont val="Arial"/>
            <scheme val="minor"/>
          </rPr>
          <t>Updated on 02-Jun-2025 01:37 PM by bpsdemak3321@gmail.com</t>
        </r>
      </text>
    </comment>
    <comment ref="H1344" authorId="0" shapeId="0" xr:uid="{00000000-0006-0000-0000-00001B080000}">
      <text>
        <r>
          <rPr>
            <sz val="10"/>
            <color rgb="FF000000"/>
            <rFont val="Arial"/>
            <scheme val="minor"/>
          </rPr>
          <t>Updated on 02-Jun-2025 01:37 PM by bpsdemak3321@gmail.com</t>
        </r>
      </text>
    </comment>
    <comment ref="G1345" authorId="0" shapeId="0" xr:uid="{00000000-0006-0000-0000-00001C080000}">
      <text>
        <r>
          <rPr>
            <sz val="10"/>
            <color rgb="FF000000"/>
            <rFont val="Arial"/>
            <scheme val="minor"/>
          </rPr>
          <t>Updated on 02-Jun-2025 01:38 PM by bpsdemak3321@gmail.com</t>
        </r>
      </text>
    </comment>
    <comment ref="H1345" authorId="0" shapeId="0" xr:uid="{00000000-0006-0000-0000-00001D080000}">
      <text>
        <r>
          <rPr>
            <sz val="10"/>
            <color rgb="FF000000"/>
            <rFont val="Arial"/>
            <scheme val="minor"/>
          </rPr>
          <t>Updated on 02-Jun-2025 01:38 PM by bpsdemak3321@gmail.com</t>
        </r>
      </text>
    </comment>
    <comment ref="G1346" authorId="0" shapeId="0" xr:uid="{00000000-0006-0000-0000-00001E080000}">
      <text>
        <r>
          <rPr>
            <sz val="10"/>
            <color rgb="FF000000"/>
            <rFont val="Arial"/>
            <scheme val="minor"/>
          </rPr>
          <t>Updated on 02-Jun-2025 01:38 PM by bpsdemak3321@gmail.com</t>
        </r>
      </text>
    </comment>
    <comment ref="H1346" authorId="0" shapeId="0" xr:uid="{00000000-0006-0000-0000-00001F080000}">
      <text>
        <r>
          <rPr>
            <sz val="10"/>
            <color rgb="FF000000"/>
            <rFont val="Arial"/>
            <scheme val="minor"/>
          </rPr>
          <t>Updated on 02-Jun-2025 01:38 PM by bpsdemak3321@gmail.com</t>
        </r>
      </text>
    </comment>
    <comment ref="G1347" authorId="0" shapeId="0" xr:uid="{00000000-0006-0000-0000-000020080000}">
      <text>
        <r>
          <rPr>
            <sz val="10"/>
            <color rgb="FF000000"/>
            <rFont val="Arial"/>
            <scheme val="minor"/>
          </rPr>
          <t>Updated on 02-Jun-2025 01:43 PM by bpsdemak3321@gmail.com</t>
        </r>
      </text>
    </comment>
    <comment ref="H1347" authorId="0" shapeId="0" xr:uid="{00000000-0006-0000-0000-000021080000}">
      <text>
        <r>
          <rPr>
            <sz val="10"/>
            <color rgb="FF000000"/>
            <rFont val="Arial"/>
            <scheme val="minor"/>
          </rPr>
          <t>Updated on 02-Jun-2025 01:43 PM by bpsdemak3321@gmail.com</t>
        </r>
      </text>
    </comment>
    <comment ref="G1348" authorId="0" shapeId="0" xr:uid="{00000000-0006-0000-0000-000022080000}">
      <text>
        <r>
          <rPr>
            <sz val="10"/>
            <color rgb="FF000000"/>
            <rFont val="Arial"/>
            <scheme val="minor"/>
          </rPr>
          <t>Updated on 02-Jun-2025 01:44 PM by bpsdemak3321@gmail.com</t>
        </r>
      </text>
    </comment>
    <comment ref="H1348" authorId="0" shapeId="0" xr:uid="{00000000-0006-0000-0000-000023080000}">
      <text>
        <r>
          <rPr>
            <sz val="10"/>
            <color rgb="FF000000"/>
            <rFont val="Arial"/>
            <scheme val="minor"/>
          </rPr>
          <t>Updated on 02-Jun-2025 01:44 PM by bpsdemak3321@gmail.com</t>
        </r>
      </text>
    </comment>
    <comment ref="G1349" authorId="0" shapeId="0" xr:uid="{00000000-0006-0000-0000-000024080000}">
      <text>
        <r>
          <rPr>
            <sz val="10"/>
            <color rgb="FF000000"/>
            <rFont val="Arial"/>
            <scheme val="minor"/>
          </rPr>
          <t>Updated on 02-Jun-2025 01:44 PM by bpsdemak3321@gmail.com</t>
        </r>
      </text>
    </comment>
    <comment ref="H1349" authorId="0" shapeId="0" xr:uid="{00000000-0006-0000-0000-000025080000}">
      <text>
        <r>
          <rPr>
            <sz val="10"/>
            <color rgb="FF000000"/>
            <rFont val="Arial"/>
            <scheme val="minor"/>
          </rPr>
          <t>Updated on 02-Jun-2025 01:44 PM by bpsdemak3321@gmail.com</t>
        </r>
      </text>
    </comment>
    <comment ref="G1350" authorId="0" shapeId="0" xr:uid="{00000000-0006-0000-0000-000026080000}">
      <text>
        <r>
          <rPr>
            <sz val="10"/>
            <color rgb="FF000000"/>
            <rFont val="Arial"/>
            <scheme val="minor"/>
          </rPr>
          <t>Updated on 02-Jun-2025 01:44 PM by bpsdemak3321@gmail.com</t>
        </r>
      </text>
    </comment>
    <comment ref="H1350" authorId="0" shapeId="0" xr:uid="{00000000-0006-0000-0000-000027080000}">
      <text>
        <r>
          <rPr>
            <sz val="10"/>
            <color rgb="FF000000"/>
            <rFont val="Arial"/>
            <scheme val="minor"/>
          </rPr>
          <t>Updated on 02-Jun-2025 01:44 PM by bpsdemak3321@gmail.com</t>
        </r>
      </text>
    </comment>
    <comment ref="G1351" authorId="0" shapeId="0" xr:uid="{00000000-0006-0000-0000-000028080000}">
      <text>
        <r>
          <rPr>
            <sz val="10"/>
            <color rgb="FF000000"/>
            <rFont val="Arial"/>
            <scheme val="minor"/>
          </rPr>
          <t>Updated on 02-Jun-2025 02:39 PM by bpsdemak3321@gmail.com</t>
        </r>
      </text>
    </comment>
    <comment ref="H1351" authorId="0" shapeId="0" xr:uid="{00000000-0006-0000-0000-000029080000}">
      <text>
        <r>
          <rPr>
            <sz val="10"/>
            <color rgb="FF000000"/>
            <rFont val="Arial"/>
            <scheme val="minor"/>
          </rPr>
          <t>Updated on 02-Jun-2025 02:39 PM by bpsdemak3321@gmail.com</t>
        </r>
      </text>
    </comment>
    <comment ref="G1352" authorId="0" shapeId="0" xr:uid="{00000000-0006-0000-0000-00002A080000}">
      <text>
        <r>
          <rPr>
            <sz val="10"/>
            <color rgb="FF000000"/>
            <rFont val="Arial"/>
            <scheme val="minor"/>
          </rPr>
          <t>Updated on 02-Jun-2025 02:40 PM by bpsdemak3321@gmail.com</t>
        </r>
      </text>
    </comment>
    <comment ref="H1352" authorId="0" shapeId="0" xr:uid="{00000000-0006-0000-0000-00002B080000}">
      <text>
        <r>
          <rPr>
            <sz val="10"/>
            <color rgb="FF000000"/>
            <rFont val="Arial"/>
            <scheme val="minor"/>
          </rPr>
          <t>Updated on 02-Jun-2025 02:40 PM by bpsdemak3321@gmail.com</t>
        </r>
      </text>
    </comment>
    <comment ref="G1353" authorId="0" shapeId="0" xr:uid="{00000000-0006-0000-0000-00002C080000}">
      <text>
        <r>
          <rPr>
            <sz val="10"/>
            <color rgb="FF000000"/>
            <rFont val="Arial"/>
            <scheme val="minor"/>
          </rPr>
          <t>Updated on 02-Jun-2025 02:40 PM by bpsdemak3321@gmail.com</t>
        </r>
      </text>
    </comment>
    <comment ref="H1353" authorId="0" shapeId="0" xr:uid="{00000000-0006-0000-0000-00002D080000}">
      <text>
        <r>
          <rPr>
            <sz val="10"/>
            <color rgb="FF000000"/>
            <rFont val="Arial"/>
            <scheme val="minor"/>
          </rPr>
          <t>Updated on 02-Jun-2025 02:40 PM by bpsdemak3321@gmail.com</t>
        </r>
      </text>
    </comment>
    <comment ref="G1354" authorId="0" shapeId="0" xr:uid="{00000000-0006-0000-0000-00002E080000}">
      <text>
        <r>
          <rPr>
            <sz val="10"/>
            <color rgb="FF000000"/>
            <rFont val="Arial"/>
            <scheme val="minor"/>
          </rPr>
          <t>Updated on 03-Jun-2025 09:18 AM by bpsdemak3321@gmail.com</t>
        </r>
      </text>
    </comment>
    <comment ref="H1354" authorId="0" shapeId="0" xr:uid="{00000000-0006-0000-0000-00002F080000}">
      <text>
        <r>
          <rPr>
            <sz val="10"/>
            <color rgb="FF000000"/>
            <rFont val="Arial"/>
            <scheme val="minor"/>
          </rPr>
          <t>Updated on 03-Jun-2025 09:18 AM by bpsdemak3321@gmail.com</t>
        </r>
      </text>
    </comment>
    <comment ref="G1355" authorId="0" shapeId="0" xr:uid="{00000000-0006-0000-0000-000030080000}">
      <text>
        <r>
          <rPr>
            <sz val="10"/>
            <color rgb="FF000000"/>
            <rFont val="Arial"/>
            <scheme val="minor"/>
          </rPr>
          <t>Updated on 03-Jun-2025 09:19 AM by bpsdemak3321@gmail.com</t>
        </r>
      </text>
    </comment>
    <comment ref="H1355" authorId="0" shapeId="0" xr:uid="{00000000-0006-0000-0000-000031080000}">
      <text>
        <r>
          <rPr>
            <sz val="10"/>
            <color rgb="FF000000"/>
            <rFont val="Arial"/>
            <scheme val="minor"/>
          </rPr>
          <t>Updated on 03-Jun-2025 09:19 AM by bpsdemak3321@gmail.com</t>
        </r>
      </text>
    </comment>
    <comment ref="G1356" authorId="0" shapeId="0" xr:uid="{00000000-0006-0000-0000-000032080000}">
      <text>
        <r>
          <rPr>
            <sz val="10"/>
            <color rgb="FF000000"/>
            <rFont val="Arial"/>
            <scheme val="minor"/>
          </rPr>
          <t>Updated on 03-Jun-2025 09:19 AM by bpsdemak3321@gmail.com</t>
        </r>
      </text>
    </comment>
    <comment ref="H1356" authorId="0" shapeId="0" xr:uid="{00000000-0006-0000-0000-000033080000}">
      <text>
        <r>
          <rPr>
            <sz val="10"/>
            <color rgb="FF000000"/>
            <rFont val="Arial"/>
            <scheme val="minor"/>
          </rPr>
          <t>Updated on 03-Jun-2025 09:19 AM by bpsdemak3321@gmail.com</t>
        </r>
      </text>
    </comment>
    <comment ref="G1357" authorId="0" shapeId="0" xr:uid="{00000000-0006-0000-0000-000034080000}">
      <text>
        <r>
          <rPr>
            <sz val="10"/>
            <color rgb="FF000000"/>
            <rFont val="Arial"/>
            <scheme val="minor"/>
          </rPr>
          <t>Updated on 03-Jun-2025 09:19 AM by bpsdemak3321@gmail.com</t>
        </r>
      </text>
    </comment>
    <comment ref="H1357" authorId="0" shapeId="0" xr:uid="{00000000-0006-0000-0000-000035080000}">
      <text>
        <r>
          <rPr>
            <sz val="10"/>
            <color rgb="FF000000"/>
            <rFont val="Arial"/>
            <scheme val="minor"/>
          </rPr>
          <t>Updated on 03-Jun-2025 09:19 AM by bpsdemak3321@gmail.com</t>
        </r>
      </text>
    </comment>
    <comment ref="G1358" authorId="0" shapeId="0" xr:uid="{00000000-0006-0000-0000-000036080000}">
      <text>
        <r>
          <rPr>
            <sz val="10"/>
            <color rgb="FF000000"/>
            <rFont val="Arial"/>
            <scheme val="minor"/>
          </rPr>
          <t>Updated on 03-Jun-2025 09:20 AM by bpsdemak3321@gmail.com</t>
        </r>
      </text>
    </comment>
    <comment ref="H1358" authorId="0" shapeId="0" xr:uid="{00000000-0006-0000-0000-000037080000}">
      <text>
        <r>
          <rPr>
            <sz val="10"/>
            <color rgb="FF000000"/>
            <rFont val="Arial"/>
            <scheme val="minor"/>
          </rPr>
          <t>Updated on 03-Jun-2025 09:20 AM by bpsdemak3321@gmail.com</t>
        </r>
      </text>
    </comment>
    <comment ref="G1359" authorId="0" shapeId="0" xr:uid="{00000000-0006-0000-0000-000038080000}">
      <text>
        <r>
          <rPr>
            <sz val="10"/>
            <color rgb="FF000000"/>
            <rFont val="Arial"/>
            <scheme val="minor"/>
          </rPr>
          <t>Updated on 03-Jun-2025 09:20 AM by bpsdemak3321@gmail.com</t>
        </r>
      </text>
    </comment>
    <comment ref="H1359" authorId="0" shapeId="0" xr:uid="{00000000-0006-0000-0000-000039080000}">
      <text>
        <r>
          <rPr>
            <sz val="10"/>
            <color rgb="FF000000"/>
            <rFont val="Arial"/>
            <scheme val="minor"/>
          </rPr>
          <t>Updated on 03-Jun-2025 09:20 AM by bpsdemak3321@gmail.com</t>
        </r>
      </text>
    </comment>
    <comment ref="G1360" authorId="0" shapeId="0" xr:uid="{00000000-0006-0000-0000-00003A080000}">
      <text>
        <r>
          <rPr>
            <sz val="10"/>
            <color rgb="FF000000"/>
            <rFont val="Arial"/>
            <scheme val="minor"/>
          </rPr>
          <t>Updated on 03-Jun-2025 09:20 AM by bpsdemak3321@gmail.com</t>
        </r>
      </text>
    </comment>
    <comment ref="H1360" authorId="0" shapeId="0" xr:uid="{00000000-0006-0000-0000-00003B080000}">
      <text>
        <r>
          <rPr>
            <sz val="10"/>
            <color rgb="FF000000"/>
            <rFont val="Arial"/>
            <scheme val="minor"/>
          </rPr>
          <t>Updated on 03-Jun-2025 09:20 AM by bpsdemak3321@gmail.com</t>
        </r>
      </text>
    </comment>
    <comment ref="G1361" authorId="0" shapeId="0" xr:uid="{00000000-0006-0000-0000-00003C080000}">
      <text>
        <r>
          <rPr>
            <sz val="10"/>
            <color rgb="FF000000"/>
            <rFont val="Arial"/>
            <scheme val="minor"/>
          </rPr>
          <t>Updated on 03-Jun-2025 09:21 AM by bpsdemak3321@gmail.com</t>
        </r>
      </text>
    </comment>
    <comment ref="H1361" authorId="0" shapeId="0" xr:uid="{00000000-0006-0000-0000-00003D080000}">
      <text>
        <r>
          <rPr>
            <sz val="10"/>
            <color rgb="FF000000"/>
            <rFont val="Arial"/>
            <scheme val="minor"/>
          </rPr>
          <t>Updated on 03-Jun-2025 09:21 AM by bpsdemak3321@gmail.com</t>
        </r>
      </text>
    </comment>
    <comment ref="G1362" authorId="0" shapeId="0" xr:uid="{00000000-0006-0000-0000-00003E080000}">
      <text>
        <r>
          <rPr>
            <sz val="10"/>
            <color rgb="FF000000"/>
            <rFont val="Arial"/>
            <scheme val="minor"/>
          </rPr>
          <t>Updated on 03-Jun-2025 09:22 AM by bpsdemak3321@gmail.com</t>
        </r>
      </text>
    </comment>
    <comment ref="H1362" authorId="0" shapeId="0" xr:uid="{00000000-0006-0000-0000-00003F080000}">
      <text>
        <r>
          <rPr>
            <sz val="10"/>
            <color rgb="FF000000"/>
            <rFont val="Arial"/>
            <scheme val="minor"/>
          </rPr>
          <t>Updated on 03-Jun-2025 09:22 AM by bpsdemak3321@gmail.com</t>
        </r>
      </text>
    </comment>
    <comment ref="G1363" authorId="0" shapeId="0" xr:uid="{00000000-0006-0000-0000-000040080000}">
      <text>
        <r>
          <rPr>
            <sz val="10"/>
            <color rgb="FF000000"/>
            <rFont val="Arial"/>
            <scheme val="minor"/>
          </rPr>
          <t>Updated on 03-Jun-2025 09:23 AM by bpsdemak3321@gmail.com</t>
        </r>
      </text>
    </comment>
    <comment ref="H1363" authorId="0" shapeId="0" xr:uid="{00000000-0006-0000-0000-000041080000}">
      <text>
        <r>
          <rPr>
            <sz val="10"/>
            <color rgb="FF000000"/>
            <rFont val="Arial"/>
            <scheme val="minor"/>
          </rPr>
          <t>Updated on 03-Jun-2025 09:23 AM by bpsdemak3321@gmail.com</t>
        </r>
      </text>
    </comment>
    <comment ref="G1364" authorId="0" shapeId="0" xr:uid="{00000000-0006-0000-0000-000042080000}">
      <text>
        <r>
          <rPr>
            <sz val="10"/>
            <color rgb="FF000000"/>
            <rFont val="Arial"/>
            <scheme val="minor"/>
          </rPr>
          <t>Updated on 03-Jun-2025 09:27 AM by bpsdemak3321@gmail.com</t>
        </r>
      </text>
    </comment>
    <comment ref="H1364" authorId="0" shapeId="0" xr:uid="{00000000-0006-0000-0000-000043080000}">
      <text>
        <r>
          <rPr>
            <sz val="10"/>
            <color rgb="FF000000"/>
            <rFont val="Arial"/>
            <scheme val="minor"/>
          </rPr>
          <t>Updated on 03-Jun-2025 09:27 AM by bpsdemak3321@gmail.com</t>
        </r>
      </text>
    </comment>
    <comment ref="G1365" authorId="0" shapeId="0" xr:uid="{00000000-0006-0000-0000-000044080000}">
      <text>
        <r>
          <rPr>
            <sz val="10"/>
            <color rgb="FF000000"/>
            <rFont val="Arial"/>
            <scheme val="minor"/>
          </rPr>
          <t>Updated on 03-Jun-2025 09:32 AM by bpsdemak3321@gmail.com</t>
        </r>
      </text>
    </comment>
    <comment ref="H1365" authorId="0" shapeId="0" xr:uid="{00000000-0006-0000-0000-000045080000}">
      <text>
        <r>
          <rPr>
            <sz val="10"/>
            <color rgb="FF000000"/>
            <rFont val="Arial"/>
            <scheme val="minor"/>
          </rPr>
          <t>Updated on 03-Jun-2025 09:32 AM by bpsdemak3321@gmail.com</t>
        </r>
      </text>
    </comment>
    <comment ref="G1366" authorId="0" shapeId="0" xr:uid="{00000000-0006-0000-0000-000046080000}">
      <text>
        <r>
          <rPr>
            <sz val="10"/>
            <color rgb="FF000000"/>
            <rFont val="Arial"/>
            <scheme val="minor"/>
          </rPr>
          <t>Updated on 03-Jun-2025 09:34 AM by bpsdemak3321@gmail.com</t>
        </r>
      </text>
    </comment>
    <comment ref="H1366" authorId="0" shapeId="0" xr:uid="{00000000-0006-0000-0000-000047080000}">
      <text>
        <r>
          <rPr>
            <sz val="10"/>
            <color rgb="FF000000"/>
            <rFont val="Arial"/>
            <scheme val="minor"/>
          </rPr>
          <t>Updated on 03-Jun-2025 09:34 AM by bpsdemak3321@gmail.com</t>
        </r>
      </text>
    </comment>
    <comment ref="G1367" authorId="0" shapeId="0" xr:uid="{00000000-0006-0000-0000-000048080000}">
      <text>
        <r>
          <rPr>
            <sz val="10"/>
            <color rgb="FF000000"/>
            <rFont val="Arial"/>
            <scheme val="minor"/>
          </rPr>
          <t>Updated on 03-Jun-2025 09:34 AM by bpsdemak3321@gmail.com</t>
        </r>
      </text>
    </comment>
    <comment ref="H1367" authorId="0" shapeId="0" xr:uid="{00000000-0006-0000-0000-000049080000}">
      <text>
        <r>
          <rPr>
            <sz val="10"/>
            <color rgb="FF000000"/>
            <rFont val="Arial"/>
            <scheme val="minor"/>
          </rPr>
          <t>Updated on 03-Jun-2025 09:34 AM by bpsdemak3321@gmail.com</t>
        </r>
      </text>
    </comment>
    <comment ref="G1368" authorId="0" shapeId="0" xr:uid="{00000000-0006-0000-0000-00004A080000}">
      <text>
        <r>
          <rPr>
            <sz val="10"/>
            <color rgb="FF000000"/>
            <rFont val="Arial"/>
            <scheme val="minor"/>
          </rPr>
          <t>Updated on 03-Jun-2025 09:35 AM by bpsdemak3321@gmail.com</t>
        </r>
      </text>
    </comment>
    <comment ref="H1368" authorId="0" shapeId="0" xr:uid="{00000000-0006-0000-0000-00004B080000}">
      <text>
        <r>
          <rPr>
            <sz val="10"/>
            <color rgb="FF000000"/>
            <rFont val="Arial"/>
            <scheme val="minor"/>
          </rPr>
          <t>Updated on 03-Jun-2025 09:35 AM by bpsdemak3321@gmail.com</t>
        </r>
      </text>
    </comment>
    <comment ref="G1369" authorId="0" shapeId="0" xr:uid="{00000000-0006-0000-0000-00004C080000}">
      <text>
        <r>
          <rPr>
            <sz val="10"/>
            <color rgb="FF000000"/>
            <rFont val="Arial"/>
            <scheme val="minor"/>
          </rPr>
          <t>Updated on 03-Jun-2025 09:49 AM by bpsdemak3321@gmail.com</t>
        </r>
      </text>
    </comment>
    <comment ref="H1369" authorId="0" shapeId="0" xr:uid="{00000000-0006-0000-0000-00004D080000}">
      <text>
        <r>
          <rPr>
            <sz val="10"/>
            <color rgb="FF000000"/>
            <rFont val="Arial"/>
            <scheme val="minor"/>
          </rPr>
          <t>Updated on 03-Jun-2025 09:49 AM by bpsdemak3321@gmail.com</t>
        </r>
      </text>
    </comment>
    <comment ref="G1370" authorId="0" shapeId="0" xr:uid="{00000000-0006-0000-0000-00004E080000}">
      <text>
        <r>
          <rPr>
            <sz val="10"/>
            <color rgb="FF000000"/>
            <rFont val="Arial"/>
            <scheme val="minor"/>
          </rPr>
          <t>Updated on 03-Jun-2025 10:07 AM by bpsdemak3321@gmail.com</t>
        </r>
      </text>
    </comment>
    <comment ref="H1370" authorId="0" shapeId="0" xr:uid="{00000000-0006-0000-0000-00004F080000}">
      <text>
        <r>
          <rPr>
            <sz val="10"/>
            <color rgb="FF000000"/>
            <rFont val="Arial"/>
            <scheme val="minor"/>
          </rPr>
          <t>Updated on 03-Jun-2025 10:07 AM by bpsdemak3321@gmail.com</t>
        </r>
      </text>
    </comment>
    <comment ref="G1371" authorId="0" shapeId="0" xr:uid="{00000000-0006-0000-0000-000050080000}">
      <text>
        <r>
          <rPr>
            <sz val="10"/>
            <color rgb="FF000000"/>
            <rFont val="Arial"/>
            <scheme val="minor"/>
          </rPr>
          <t>Updated on 03-Jun-2025 10:08 AM by bpsdemak3321@gmail.com</t>
        </r>
      </text>
    </comment>
    <comment ref="H1371" authorId="0" shapeId="0" xr:uid="{00000000-0006-0000-0000-000051080000}">
      <text>
        <r>
          <rPr>
            <sz val="10"/>
            <color rgb="FF000000"/>
            <rFont val="Arial"/>
            <scheme val="minor"/>
          </rPr>
          <t>Updated on 03-Jun-2025 10:08 AM by bpsdemak3321@gmail.com</t>
        </r>
      </text>
    </comment>
    <comment ref="G1372" authorId="0" shapeId="0" xr:uid="{00000000-0006-0000-0000-000052080000}">
      <text>
        <r>
          <rPr>
            <sz val="10"/>
            <color rgb="FF000000"/>
            <rFont val="Arial"/>
            <scheme val="minor"/>
          </rPr>
          <t>Updated on 03-Jun-2025 10:09 AM by bpsdemak3321@gmail.com</t>
        </r>
      </text>
    </comment>
    <comment ref="H1372" authorId="0" shapeId="0" xr:uid="{00000000-0006-0000-0000-000053080000}">
      <text>
        <r>
          <rPr>
            <sz val="10"/>
            <color rgb="FF000000"/>
            <rFont val="Arial"/>
            <scheme val="minor"/>
          </rPr>
          <t>Updated on 03-Jun-2025 10:09 AM by bpsdemak3321@gmail.com</t>
        </r>
      </text>
    </comment>
    <comment ref="G1373" authorId="0" shapeId="0" xr:uid="{00000000-0006-0000-0000-000054080000}">
      <text>
        <r>
          <rPr>
            <sz val="10"/>
            <color rgb="FF000000"/>
            <rFont val="Arial"/>
            <scheme val="minor"/>
          </rPr>
          <t>Updated on 03-Jun-2025 10:09 AM by bpsdemak3321@gmail.com</t>
        </r>
      </text>
    </comment>
    <comment ref="H1373" authorId="0" shapeId="0" xr:uid="{00000000-0006-0000-0000-000055080000}">
      <text>
        <r>
          <rPr>
            <sz val="10"/>
            <color rgb="FF000000"/>
            <rFont val="Arial"/>
            <scheme val="minor"/>
          </rPr>
          <t>Updated on 03-Jun-2025 10:09 AM by bpsdemak3321@gmail.com</t>
        </r>
      </text>
    </comment>
    <comment ref="G1374" authorId="0" shapeId="0" xr:uid="{00000000-0006-0000-0000-000056080000}">
      <text>
        <r>
          <rPr>
            <sz val="10"/>
            <color rgb="FF000000"/>
            <rFont val="Arial"/>
            <scheme val="minor"/>
          </rPr>
          <t>Updated on 03-Jun-2025 10:10 AM by bpsdemak3321@gmail.com</t>
        </r>
      </text>
    </comment>
    <comment ref="H1374" authorId="0" shapeId="0" xr:uid="{00000000-0006-0000-0000-000057080000}">
      <text>
        <r>
          <rPr>
            <sz val="10"/>
            <color rgb="FF000000"/>
            <rFont val="Arial"/>
            <scheme val="minor"/>
          </rPr>
          <t>Updated on 03-Jun-2025 10:10 AM by bpsdemak3321@gmail.com</t>
        </r>
      </text>
    </comment>
    <comment ref="G1375" authorId="0" shapeId="0" xr:uid="{00000000-0006-0000-0000-000058080000}">
      <text>
        <r>
          <rPr>
            <sz val="10"/>
            <color rgb="FF000000"/>
            <rFont val="Arial"/>
            <scheme val="minor"/>
          </rPr>
          <t>Updated on 03-Jun-2025 10:21 AM by bpsdemak3321@gmail.com</t>
        </r>
      </text>
    </comment>
    <comment ref="H1375" authorId="0" shapeId="0" xr:uid="{00000000-0006-0000-0000-000059080000}">
      <text>
        <r>
          <rPr>
            <sz val="10"/>
            <color rgb="FF000000"/>
            <rFont val="Arial"/>
            <scheme val="minor"/>
          </rPr>
          <t>Updated on 03-Jun-2025 10:21 AM by bpsdemak3321@gmail.com</t>
        </r>
      </text>
    </comment>
    <comment ref="G1376" authorId="0" shapeId="0" xr:uid="{00000000-0006-0000-0000-00005A080000}">
      <text>
        <r>
          <rPr>
            <sz val="10"/>
            <color rgb="FF000000"/>
            <rFont val="Arial"/>
            <scheme val="minor"/>
          </rPr>
          <t>Updated on 03-Jun-2025 10:36 AM by bpsdemak3321@gmail.com</t>
        </r>
      </text>
    </comment>
    <comment ref="H1376" authorId="0" shapeId="0" xr:uid="{00000000-0006-0000-0000-00005B080000}">
      <text>
        <r>
          <rPr>
            <sz val="10"/>
            <color rgb="FF000000"/>
            <rFont val="Arial"/>
            <scheme val="minor"/>
          </rPr>
          <t>Updated on 03-Jun-2025 10:36 AM by bpsdemak3321@gmail.com</t>
        </r>
      </text>
    </comment>
    <comment ref="G1377" authorId="0" shapeId="0" xr:uid="{00000000-0006-0000-0000-00005C080000}">
      <text>
        <r>
          <rPr>
            <sz val="10"/>
            <color rgb="FF000000"/>
            <rFont val="Arial"/>
            <scheme val="minor"/>
          </rPr>
          <t>Updated on 03-Jun-2025 10:36 AM by bpsdemak3321@gmail.com</t>
        </r>
      </text>
    </comment>
    <comment ref="H1377" authorId="0" shapeId="0" xr:uid="{00000000-0006-0000-0000-00005D080000}">
      <text>
        <r>
          <rPr>
            <sz val="10"/>
            <color rgb="FF000000"/>
            <rFont val="Arial"/>
            <scheme val="minor"/>
          </rPr>
          <t>Updated on 03-Jun-2025 10:36 AM by bpsdemak3321@gmail.com</t>
        </r>
      </text>
    </comment>
    <comment ref="G1378" authorId="0" shapeId="0" xr:uid="{00000000-0006-0000-0000-00005E080000}">
      <text>
        <r>
          <rPr>
            <sz val="10"/>
            <color rgb="FF000000"/>
            <rFont val="Arial"/>
            <scheme val="minor"/>
          </rPr>
          <t>Updated on 03-Jun-2025 10:37 AM by bpsdemak3321@gmail.com</t>
        </r>
      </text>
    </comment>
    <comment ref="H1378" authorId="0" shapeId="0" xr:uid="{00000000-0006-0000-0000-00005F080000}">
      <text>
        <r>
          <rPr>
            <sz val="10"/>
            <color rgb="FF000000"/>
            <rFont val="Arial"/>
            <scheme val="minor"/>
          </rPr>
          <t>Updated on 03-Jun-2025 10:37 AM by bpsdemak3321@gmail.com</t>
        </r>
      </text>
    </comment>
    <comment ref="G1379" authorId="0" shapeId="0" xr:uid="{00000000-0006-0000-0000-000060080000}">
      <text>
        <r>
          <rPr>
            <sz val="10"/>
            <color rgb="FF000000"/>
            <rFont val="Arial"/>
            <scheme val="minor"/>
          </rPr>
          <t>Updated on 04-Jun-2025 03:01 PM by bpsdemak3321@gmail.com</t>
        </r>
      </text>
    </comment>
    <comment ref="H1379" authorId="0" shapeId="0" xr:uid="{00000000-0006-0000-0000-000061080000}">
      <text>
        <r>
          <rPr>
            <sz val="10"/>
            <color rgb="FF000000"/>
            <rFont val="Arial"/>
            <scheme val="minor"/>
          </rPr>
          <t>Updated on 04-Jun-2025 03:01 PM by bpsdemak3321@gmail.com</t>
        </r>
      </text>
    </comment>
    <comment ref="G1380" authorId="0" shapeId="0" xr:uid="{00000000-0006-0000-0000-000062080000}">
      <text>
        <r>
          <rPr>
            <sz val="10"/>
            <color rgb="FF000000"/>
            <rFont val="Arial"/>
            <scheme val="minor"/>
          </rPr>
          <t>Updated on 04-Jun-2025 03:02 PM by bpsdemak3321@gmail.com</t>
        </r>
      </text>
    </comment>
    <comment ref="H1380" authorId="0" shapeId="0" xr:uid="{00000000-0006-0000-0000-000063080000}">
      <text>
        <r>
          <rPr>
            <sz val="10"/>
            <color rgb="FF000000"/>
            <rFont val="Arial"/>
            <scheme val="minor"/>
          </rPr>
          <t>Updated on 04-Jun-2025 03:02 PM by bpsdemak3321@gmail.com</t>
        </r>
      </text>
    </comment>
    <comment ref="G1381" authorId="0" shapeId="0" xr:uid="{00000000-0006-0000-0000-000064080000}">
      <text>
        <r>
          <rPr>
            <sz val="10"/>
            <color rgb="FF000000"/>
            <rFont val="Arial"/>
            <scheme val="minor"/>
          </rPr>
          <t>Updated on 05-Jun-2025 02:39 PM by bpsdemak3321@gmail.com</t>
        </r>
      </text>
    </comment>
    <comment ref="H1381" authorId="0" shapeId="0" xr:uid="{00000000-0006-0000-0000-000065080000}">
      <text>
        <r>
          <rPr>
            <sz val="10"/>
            <color rgb="FF000000"/>
            <rFont val="Arial"/>
            <scheme val="minor"/>
          </rPr>
          <t>Updated on 05-Jun-2025 02:39 PM by bpsdemak3321@gmail.com</t>
        </r>
      </text>
    </comment>
    <comment ref="F1382" authorId="0" shapeId="0" xr:uid="{00000000-0006-0000-0000-000066080000}">
      <text>
        <r>
          <rPr>
            <sz val="10"/>
            <color rgb="FF000000"/>
            <rFont val="Arial"/>
            <scheme val="minor"/>
          </rPr>
          <t>Updated on 10-Jun-2025 08:23 AM by bpsdemak3321@gmail.com</t>
        </r>
      </text>
    </comment>
    <comment ref="G1382" authorId="0" shapeId="0" xr:uid="{00000000-0006-0000-0000-000067080000}">
      <text>
        <r>
          <rPr>
            <sz val="10"/>
            <color rgb="FF000000"/>
            <rFont val="Arial"/>
            <scheme val="minor"/>
          </rPr>
          <t>Updated on 10-Jun-2025 08:23 AM by bpsdemak3321@gmail.com</t>
        </r>
      </text>
    </comment>
    <comment ref="H1382" authorId="0" shapeId="0" xr:uid="{00000000-0006-0000-0000-000068080000}">
      <text>
        <r>
          <rPr>
            <sz val="10"/>
            <color rgb="FF000000"/>
            <rFont val="Arial"/>
            <scheme val="minor"/>
          </rPr>
          <t>Updated on 10-Jun-2025 08:23 AM by bpsdemak3321@gmail.com</t>
        </r>
      </text>
    </comment>
    <comment ref="F1383" authorId="0" shapeId="0" xr:uid="{00000000-0006-0000-0000-000069080000}">
      <text>
        <r>
          <rPr>
            <sz val="10"/>
            <color rgb="FF000000"/>
            <rFont val="Arial"/>
            <scheme val="minor"/>
          </rPr>
          <t>Updated on 10-Jun-2025 08:32 AM by bpsdemak3321@gmail.com</t>
        </r>
      </text>
    </comment>
    <comment ref="G1383" authorId="0" shapeId="0" xr:uid="{00000000-0006-0000-0000-00006A080000}">
      <text>
        <r>
          <rPr>
            <sz val="10"/>
            <color rgb="FF000000"/>
            <rFont val="Arial"/>
            <scheme val="minor"/>
          </rPr>
          <t>Updated on 10-Jun-2025 08:32 AM by bpsdemak3321@gmail.com</t>
        </r>
      </text>
    </comment>
    <comment ref="H1383" authorId="0" shapeId="0" xr:uid="{00000000-0006-0000-0000-00006B080000}">
      <text>
        <r>
          <rPr>
            <sz val="10"/>
            <color rgb="FF000000"/>
            <rFont val="Arial"/>
            <scheme val="minor"/>
          </rPr>
          <t>Updated on 10-Jun-2025 08:32 AM by bpsdemak3321@gmail.com</t>
        </r>
      </text>
    </comment>
    <comment ref="F1384" authorId="0" shapeId="0" xr:uid="{00000000-0006-0000-0000-00006C080000}">
      <text>
        <r>
          <rPr>
            <sz val="10"/>
            <color rgb="FF000000"/>
            <rFont val="Arial"/>
            <scheme val="minor"/>
          </rPr>
          <t>Updated on 10-Jun-2025 08:39 AM by bpsdemak3321@gmail.com</t>
        </r>
      </text>
    </comment>
    <comment ref="G1384" authorId="0" shapeId="0" xr:uid="{00000000-0006-0000-0000-00006D080000}">
      <text>
        <r>
          <rPr>
            <sz val="10"/>
            <color rgb="FF000000"/>
            <rFont val="Arial"/>
            <scheme val="minor"/>
          </rPr>
          <t>Updated on 10-Jun-2025 08:39 AM by bpsdemak3321@gmail.com</t>
        </r>
      </text>
    </comment>
    <comment ref="H1384" authorId="0" shapeId="0" xr:uid="{00000000-0006-0000-0000-00006E080000}">
      <text>
        <r>
          <rPr>
            <sz val="10"/>
            <color rgb="FF000000"/>
            <rFont val="Arial"/>
            <scheme val="minor"/>
          </rPr>
          <t>Updated on 10-Jun-2025 08:39 AM by bpsdemak3321@gmail.com</t>
        </r>
      </text>
    </comment>
    <comment ref="F1385" authorId="0" shapeId="0" xr:uid="{00000000-0006-0000-0000-00006F080000}">
      <text>
        <r>
          <rPr>
            <sz val="10"/>
            <color rgb="FF000000"/>
            <rFont val="Arial"/>
            <scheme val="minor"/>
          </rPr>
          <t>Updated on 10-Jun-2025 11:11 AM by bpsdemak3321@gmail.com</t>
        </r>
      </text>
    </comment>
    <comment ref="G1385" authorId="0" shapeId="0" xr:uid="{00000000-0006-0000-0000-000070080000}">
      <text>
        <r>
          <rPr>
            <sz val="10"/>
            <color rgb="FF000000"/>
            <rFont val="Arial"/>
            <scheme val="minor"/>
          </rPr>
          <t>Updated on 10-Jun-2025 11:11 AM by bpsdemak3321@gmail.com</t>
        </r>
      </text>
    </comment>
    <comment ref="H1385" authorId="0" shapeId="0" xr:uid="{00000000-0006-0000-0000-000071080000}">
      <text>
        <r>
          <rPr>
            <sz val="10"/>
            <color rgb="FF000000"/>
            <rFont val="Arial"/>
            <scheme val="minor"/>
          </rPr>
          <t>Updated on 10-Jun-2025 11:11 AM by bpsdemak3321@gmail.com</t>
        </r>
      </text>
    </comment>
    <comment ref="F1386" authorId="0" shapeId="0" xr:uid="{00000000-0006-0000-0000-000072080000}">
      <text>
        <r>
          <rPr>
            <sz val="10"/>
            <color rgb="FF000000"/>
            <rFont val="Arial"/>
            <scheme val="minor"/>
          </rPr>
          <t>Updated on 10-Jun-2025 11:14 AM by bpsdemak3321@gmail.com</t>
        </r>
      </text>
    </comment>
    <comment ref="G1386" authorId="0" shapeId="0" xr:uid="{00000000-0006-0000-0000-000073080000}">
      <text>
        <r>
          <rPr>
            <sz val="10"/>
            <color rgb="FF000000"/>
            <rFont val="Arial"/>
            <scheme val="minor"/>
          </rPr>
          <t>Updated on 10-Jun-2025 11:14 AM by bpsdemak3321@gmail.com</t>
        </r>
      </text>
    </comment>
    <comment ref="H1386" authorId="0" shapeId="0" xr:uid="{00000000-0006-0000-0000-000074080000}">
      <text>
        <r>
          <rPr>
            <sz val="10"/>
            <color rgb="FF000000"/>
            <rFont val="Arial"/>
            <scheme val="minor"/>
          </rPr>
          <t>Updated on 10-Jun-2025 11:14 AM by bpsdemak3321@gmail.com</t>
        </r>
      </text>
    </comment>
    <comment ref="F1387" authorId="0" shapeId="0" xr:uid="{00000000-0006-0000-0000-000075080000}">
      <text>
        <r>
          <rPr>
            <sz val="10"/>
            <color rgb="FF000000"/>
            <rFont val="Arial"/>
            <scheme val="minor"/>
          </rPr>
          <t>Updated on 11-Jun-2025 08:18 AM by bpsdemak3321@gmail.com</t>
        </r>
      </text>
    </comment>
    <comment ref="G1387" authorId="0" shapeId="0" xr:uid="{00000000-0006-0000-0000-000076080000}">
      <text>
        <r>
          <rPr>
            <sz val="10"/>
            <color rgb="FF000000"/>
            <rFont val="Arial"/>
            <scheme val="minor"/>
          </rPr>
          <t>Updated on 11-Jun-2025 08:18 AM by bpsdemak3321@gmail.com</t>
        </r>
      </text>
    </comment>
    <comment ref="H1387" authorId="0" shapeId="0" xr:uid="{00000000-0006-0000-0000-000077080000}">
      <text>
        <r>
          <rPr>
            <sz val="10"/>
            <color rgb="FF000000"/>
            <rFont val="Arial"/>
            <scheme val="minor"/>
          </rPr>
          <t>Updated on 11-Jun-2025 08:18 AM by bpsdemak3321@gmail.com</t>
        </r>
      </text>
    </comment>
    <comment ref="F1388" authorId="0" shapeId="0" xr:uid="{00000000-0006-0000-0000-000078080000}">
      <text>
        <r>
          <rPr>
            <sz val="10"/>
            <color rgb="FF000000"/>
            <rFont val="Arial"/>
            <scheme val="minor"/>
          </rPr>
          <t>Updated on 12-Jun-2025 02:37 PM by bpsdemak3321@gmail.com</t>
        </r>
      </text>
    </comment>
    <comment ref="G1388" authorId="0" shapeId="0" xr:uid="{00000000-0006-0000-0000-000079080000}">
      <text>
        <r>
          <rPr>
            <sz val="10"/>
            <color rgb="FF000000"/>
            <rFont val="Arial"/>
            <scheme val="minor"/>
          </rPr>
          <t>Updated on 12-Jun-2025 02:37 PM by bpsdemak3321@gmail.com</t>
        </r>
      </text>
    </comment>
    <comment ref="H1388" authorId="0" shapeId="0" xr:uid="{00000000-0006-0000-0000-00007A080000}">
      <text>
        <r>
          <rPr>
            <sz val="10"/>
            <color rgb="FF000000"/>
            <rFont val="Arial"/>
            <scheme val="minor"/>
          </rPr>
          <t>Updated on 12-Jun-2025 02:37 PM by bpsdemak3321@gmail.com</t>
        </r>
      </text>
    </comment>
    <comment ref="F1389" authorId="0" shapeId="0" xr:uid="{00000000-0006-0000-0000-00007B080000}">
      <text>
        <r>
          <rPr>
            <sz val="10"/>
            <color rgb="FF000000"/>
            <rFont val="Arial"/>
            <scheme val="minor"/>
          </rPr>
          <t>Updated on 16-Jun-2025 03:41 AM by bpsdemak3321@gmail.com</t>
        </r>
      </text>
    </comment>
    <comment ref="G1389" authorId="0" shapeId="0" xr:uid="{00000000-0006-0000-0000-00007C080000}">
      <text>
        <r>
          <rPr>
            <sz val="10"/>
            <color rgb="FF000000"/>
            <rFont val="Arial"/>
            <scheme val="minor"/>
          </rPr>
          <t>Updated on 16-Jun-2025 03:41 AM by bpsdemak3321@gmail.com</t>
        </r>
      </text>
    </comment>
    <comment ref="H1389" authorId="0" shapeId="0" xr:uid="{00000000-0006-0000-0000-00007D080000}">
      <text>
        <r>
          <rPr>
            <sz val="10"/>
            <color rgb="FF000000"/>
            <rFont val="Arial"/>
            <scheme val="minor"/>
          </rPr>
          <t>Updated on 16-Jun-2025 03:41 AM by bpsdemak3321@gmail.com</t>
        </r>
      </text>
    </comment>
    <comment ref="F1390" authorId="0" shapeId="0" xr:uid="{00000000-0006-0000-0000-00007E080000}">
      <text>
        <r>
          <rPr>
            <sz val="10"/>
            <color rgb="FF000000"/>
            <rFont val="Arial"/>
            <scheme val="minor"/>
          </rPr>
          <t>Updated on 16-Jun-2025 03:46 AM by bpsdemak3321@gmail.com</t>
        </r>
      </text>
    </comment>
    <comment ref="G1390" authorId="0" shapeId="0" xr:uid="{00000000-0006-0000-0000-00007F080000}">
      <text>
        <r>
          <rPr>
            <sz val="10"/>
            <color rgb="FF000000"/>
            <rFont val="Arial"/>
            <scheme val="minor"/>
          </rPr>
          <t>Updated on 16-Jun-2025 03:46 AM by bpsdemak3321@gmail.com</t>
        </r>
      </text>
    </comment>
    <comment ref="H1390" authorId="0" shapeId="0" xr:uid="{00000000-0006-0000-0000-000080080000}">
      <text>
        <r>
          <rPr>
            <sz val="10"/>
            <color rgb="FF000000"/>
            <rFont val="Arial"/>
            <scheme val="minor"/>
          </rPr>
          <t>Updated on 16-Jun-2025 03:46 AM by bpsdemak3321@gmail.com</t>
        </r>
      </text>
    </comment>
    <comment ref="F1391" authorId="0" shapeId="0" xr:uid="{00000000-0006-0000-0000-000081080000}">
      <text>
        <r>
          <rPr>
            <sz val="10"/>
            <color rgb="FF000000"/>
            <rFont val="Arial"/>
            <scheme val="minor"/>
          </rPr>
          <t>Updated on 17-Jun-2025 02:58 PM by bpsdemak3321@gmail.com</t>
        </r>
      </text>
    </comment>
    <comment ref="G1391" authorId="0" shapeId="0" xr:uid="{00000000-0006-0000-0000-000082080000}">
      <text>
        <r>
          <rPr>
            <sz val="10"/>
            <color rgb="FF000000"/>
            <rFont val="Arial"/>
            <scheme val="minor"/>
          </rPr>
          <t>Updated on 17-Jun-2025 02:58 PM by bpsdemak3321@gmail.com</t>
        </r>
      </text>
    </comment>
    <comment ref="H1391" authorId="0" shapeId="0" xr:uid="{00000000-0006-0000-0000-000083080000}">
      <text>
        <r>
          <rPr>
            <sz val="10"/>
            <color rgb="FF000000"/>
            <rFont val="Arial"/>
            <scheme val="minor"/>
          </rPr>
          <t>Updated on 17-Jun-2025 02:58 PM by bpsdemak3321@gmail.com</t>
        </r>
      </text>
    </comment>
    <comment ref="F1392" authorId="0" shapeId="0" xr:uid="{00000000-0006-0000-0000-000084080000}">
      <text>
        <r>
          <rPr>
            <sz val="10"/>
            <color rgb="FF000000"/>
            <rFont val="Arial"/>
            <scheme val="minor"/>
          </rPr>
          <t>Updated on 19-Jun-2025 12:20 PM by bpsdemak3321@gmail.com</t>
        </r>
      </text>
    </comment>
    <comment ref="G1392" authorId="0" shapeId="0" xr:uid="{00000000-0006-0000-0000-000085080000}">
      <text>
        <r>
          <rPr>
            <sz val="10"/>
            <color rgb="FF000000"/>
            <rFont val="Arial"/>
            <scheme val="minor"/>
          </rPr>
          <t>Updated on 19-Jun-2025 12:20 PM by bpsdemak3321@gmail.com</t>
        </r>
      </text>
    </comment>
    <comment ref="H1392" authorId="0" shapeId="0" xr:uid="{00000000-0006-0000-0000-000086080000}">
      <text>
        <r>
          <rPr>
            <sz val="10"/>
            <color rgb="FF000000"/>
            <rFont val="Arial"/>
            <scheme val="minor"/>
          </rPr>
          <t>Updated on 19-Jun-2025 12:20 PM by bpsdemak3321@gmail.com</t>
        </r>
      </text>
    </comment>
    <comment ref="F1393" authorId="0" shapeId="0" xr:uid="{00000000-0006-0000-0000-000087080000}">
      <text>
        <r>
          <rPr>
            <sz val="10"/>
            <color rgb="FF000000"/>
            <rFont val="Arial"/>
            <scheme val="minor"/>
          </rPr>
          <t>Updated on 23-Jun-2025 08:26 AM by bpsdemak3321@gmail.com</t>
        </r>
      </text>
    </comment>
    <comment ref="G1393" authorId="0" shapeId="0" xr:uid="{00000000-0006-0000-0000-000088080000}">
      <text>
        <r>
          <rPr>
            <sz val="10"/>
            <color rgb="FF000000"/>
            <rFont val="Arial"/>
            <scheme val="minor"/>
          </rPr>
          <t>Updated on 23-Jun-2025 08:25 AM by bpsdemak3321@gmail.com</t>
        </r>
      </text>
    </comment>
    <comment ref="H1393" authorId="0" shapeId="0" xr:uid="{00000000-0006-0000-0000-000089080000}">
      <text>
        <r>
          <rPr>
            <sz val="10"/>
            <color rgb="FF000000"/>
            <rFont val="Arial"/>
            <scheme val="minor"/>
          </rPr>
          <t>Updated on 23-Jun-2025 08:25 AM by bpsdemak3321@gmail.com</t>
        </r>
      </text>
    </comment>
    <comment ref="F1394" authorId="0" shapeId="0" xr:uid="{00000000-0006-0000-0000-00008A080000}">
      <text>
        <r>
          <rPr>
            <sz val="10"/>
            <color rgb="FF000000"/>
            <rFont val="Arial"/>
            <scheme val="minor"/>
          </rPr>
          <t>Updated on 23-Jun-2025 08:28 AM by bpsdemak3321@gmail.com</t>
        </r>
      </text>
    </comment>
    <comment ref="G1394" authorId="0" shapeId="0" xr:uid="{00000000-0006-0000-0000-00008B080000}">
      <text>
        <r>
          <rPr>
            <sz val="10"/>
            <color rgb="FF000000"/>
            <rFont val="Arial"/>
            <scheme val="minor"/>
          </rPr>
          <t>Updated on 23-Jun-2025 08:28 AM by bpsdemak3321@gmail.com</t>
        </r>
      </text>
    </comment>
    <comment ref="H1394" authorId="0" shapeId="0" xr:uid="{00000000-0006-0000-0000-00008C080000}">
      <text>
        <r>
          <rPr>
            <sz val="10"/>
            <color rgb="FF000000"/>
            <rFont val="Arial"/>
            <scheme val="minor"/>
          </rPr>
          <t>Updated on 23-Jun-2025 08:28 AM by bpsdemak3321@gmail.com</t>
        </r>
      </text>
    </comment>
    <comment ref="F1395" authorId="0" shapeId="0" xr:uid="{00000000-0006-0000-0000-00008D080000}">
      <text>
        <r>
          <rPr>
            <sz val="10"/>
            <color rgb="FF000000"/>
            <rFont val="Arial"/>
            <scheme val="minor"/>
          </rPr>
          <t>Updated on 23-Jun-2025 08:43 AM by bpsdemak3321@gmail.com</t>
        </r>
      </text>
    </comment>
    <comment ref="G1395" authorId="0" shapeId="0" xr:uid="{00000000-0006-0000-0000-00008E080000}">
      <text>
        <r>
          <rPr>
            <sz val="10"/>
            <color rgb="FF000000"/>
            <rFont val="Arial"/>
            <scheme val="minor"/>
          </rPr>
          <t>Updated on 23-Jun-2025 08:42 AM by bpsdemak3321@gmail.com</t>
        </r>
      </text>
    </comment>
    <comment ref="H1395" authorId="0" shapeId="0" xr:uid="{00000000-0006-0000-0000-00008F080000}">
      <text>
        <r>
          <rPr>
            <sz val="10"/>
            <color rgb="FF000000"/>
            <rFont val="Arial"/>
            <scheme val="minor"/>
          </rPr>
          <t>Updated on 23-Jun-2025 08:42 AM by bpsdemak3321@gmail.com</t>
        </r>
      </text>
    </comment>
    <comment ref="F1396" authorId="0" shapeId="0" xr:uid="{00000000-0006-0000-0000-000090080000}">
      <text>
        <r>
          <rPr>
            <sz val="10"/>
            <color rgb="FF000000"/>
            <rFont val="Arial"/>
            <scheme val="minor"/>
          </rPr>
          <t>Updated on 23-Jun-2025 12:56 PM by bpsdemak3321@gmail.com</t>
        </r>
      </text>
    </comment>
    <comment ref="G1396" authorId="0" shapeId="0" xr:uid="{00000000-0006-0000-0000-000091080000}">
      <text>
        <r>
          <rPr>
            <sz val="10"/>
            <color rgb="FF000000"/>
            <rFont val="Arial"/>
            <scheme val="minor"/>
          </rPr>
          <t>Updated on 23-Jun-2025 12:56 PM by bpsdemak3321@gmail.com</t>
        </r>
      </text>
    </comment>
    <comment ref="H1396" authorId="0" shapeId="0" xr:uid="{00000000-0006-0000-0000-000092080000}">
      <text>
        <r>
          <rPr>
            <sz val="10"/>
            <color rgb="FF000000"/>
            <rFont val="Arial"/>
            <scheme val="minor"/>
          </rPr>
          <t>Updated on 23-Jun-2025 12:56 PM by bpsdemak3321@gmail.com</t>
        </r>
      </text>
    </comment>
    <comment ref="F1397" authorId="0" shapeId="0" xr:uid="{00000000-0006-0000-0000-000093080000}">
      <text>
        <r>
          <rPr>
            <sz val="10"/>
            <color rgb="FF000000"/>
            <rFont val="Arial"/>
            <scheme val="minor"/>
          </rPr>
          <t>Updated on 23-Jun-2025 02:28 PM by bpsdemak3321@gmail.com</t>
        </r>
      </text>
    </comment>
    <comment ref="G1397" authorId="0" shapeId="0" xr:uid="{00000000-0006-0000-0000-000094080000}">
      <text>
        <r>
          <rPr>
            <sz val="10"/>
            <color rgb="FF000000"/>
            <rFont val="Arial"/>
            <scheme val="minor"/>
          </rPr>
          <t>Updated on 23-Jun-2025 02:28 PM by bpsdemak3321@gmail.com</t>
        </r>
      </text>
    </comment>
    <comment ref="H1397" authorId="0" shapeId="0" xr:uid="{00000000-0006-0000-0000-000095080000}">
      <text>
        <r>
          <rPr>
            <sz val="10"/>
            <color rgb="FF000000"/>
            <rFont val="Arial"/>
            <scheme val="minor"/>
          </rPr>
          <t>Updated on 23-Jun-2025 02:28 PM by bpsdemak3321@gmail.com</t>
        </r>
      </text>
    </comment>
    <comment ref="F1398" authorId="0" shapeId="0" xr:uid="{00000000-0006-0000-0000-000096080000}">
      <text>
        <r>
          <rPr>
            <sz val="10"/>
            <color rgb="FF000000"/>
            <rFont val="Arial"/>
            <scheme val="minor"/>
          </rPr>
          <t>Updated on 23-Jun-2025 04:36 PM by bpsdemak3321@gmail.com</t>
        </r>
      </text>
    </comment>
    <comment ref="G1398" authorId="0" shapeId="0" xr:uid="{00000000-0006-0000-0000-000097080000}">
      <text>
        <r>
          <rPr>
            <sz val="10"/>
            <color rgb="FF000000"/>
            <rFont val="Arial"/>
            <scheme val="minor"/>
          </rPr>
          <t>Updated on 23-Jun-2025 04:36 PM by bpsdemak3321@gmail.com</t>
        </r>
      </text>
    </comment>
    <comment ref="H1398" authorId="0" shapeId="0" xr:uid="{00000000-0006-0000-0000-000098080000}">
      <text>
        <r>
          <rPr>
            <sz val="10"/>
            <color rgb="FF000000"/>
            <rFont val="Arial"/>
            <scheme val="minor"/>
          </rPr>
          <t>Updated on 23-Jun-2025 04:36 PM by bpsdemak3321@gmail.com</t>
        </r>
      </text>
    </comment>
    <comment ref="F1399" authorId="0" shapeId="0" xr:uid="{00000000-0006-0000-0000-000099080000}">
      <text>
        <r>
          <rPr>
            <sz val="10"/>
            <color rgb="FF000000"/>
            <rFont val="Arial"/>
            <scheme val="minor"/>
          </rPr>
          <t>Updated on 24-Jun-2025 06:46 AM by bpsdemak3321@gmail.com</t>
        </r>
      </text>
    </comment>
    <comment ref="G1399" authorId="0" shapeId="0" xr:uid="{00000000-0006-0000-0000-00009A080000}">
      <text>
        <r>
          <rPr>
            <sz val="10"/>
            <color rgb="FF000000"/>
            <rFont val="Arial"/>
            <scheme val="minor"/>
          </rPr>
          <t>Updated on 24-Jun-2025 06:46 AM by bpsdemak3321@gmail.com</t>
        </r>
      </text>
    </comment>
    <comment ref="H1399" authorId="0" shapeId="0" xr:uid="{00000000-0006-0000-0000-00009B080000}">
      <text>
        <r>
          <rPr>
            <sz val="10"/>
            <color rgb="FF000000"/>
            <rFont val="Arial"/>
            <scheme val="minor"/>
          </rPr>
          <t>Updated on 24-Jun-2025 06:46 AM by bpsdemak3321@gmail.com</t>
        </r>
      </text>
    </comment>
    <comment ref="F1400" authorId="0" shapeId="0" xr:uid="{00000000-0006-0000-0000-00009C080000}">
      <text>
        <r>
          <rPr>
            <sz val="10"/>
            <color rgb="FF000000"/>
            <rFont val="Arial"/>
            <scheme val="minor"/>
          </rPr>
          <t>Updated on 24-Jun-2025 08:38 AM by bpsdemak3321@gmail.com</t>
        </r>
      </text>
    </comment>
    <comment ref="G1400" authorId="0" shapeId="0" xr:uid="{00000000-0006-0000-0000-00009D080000}">
      <text>
        <r>
          <rPr>
            <sz val="10"/>
            <color rgb="FF000000"/>
            <rFont val="Arial"/>
            <scheme val="minor"/>
          </rPr>
          <t>Updated on 24-Jun-2025 08:38 AM by bpsdemak3321@gmail.com</t>
        </r>
      </text>
    </comment>
    <comment ref="H1400" authorId="0" shapeId="0" xr:uid="{00000000-0006-0000-0000-00009E080000}">
      <text>
        <r>
          <rPr>
            <sz val="10"/>
            <color rgb="FF000000"/>
            <rFont val="Arial"/>
            <scheme val="minor"/>
          </rPr>
          <t>Updated on 24-Jun-2025 08:38 AM by bpsdemak3321@gmail.com</t>
        </r>
      </text>
    </comment>
    <comment ref="F1401" authorId="0" shapeId="0" xr:uid="{00000000-0006-0000-0000-00009F080000}">
      <text>
        <r>
          <rPr>
            <sz val="10"/>
            <color rgb="FF000000"/>
            <rFont val="Arial"/>
            <scheme val="minor"/>
          </rPr>
          <t>Updated on 24-Jun-2025 08:38 AM by bpsdemak3321@gmail.com</t>
        </r>
      </text>
    </comment>
    <comment ref="G1401" authorId="0" shapeId="0" xr:uid="{00000000-0006-0000-0000-0000A0080000}">
      <text>
        <r>
          <rPr>
            <sz val="10"/>
            <color rgb="FF000000"/>
            <rFont val="Arial"/>
            <scheme val="minor"/>
          </rPr>
          <t>Updated on 24-Jun-2025 08:38 AM by bpsdemak3321@gmail.com</t>
        </r>
      </text>
    </comment>
    <comment ref="H1401" authorId="0" shapeId="0" xr:uid="{00000000-0006-0000-0000-0000A1080000}">
      <text>
        <r>
          <rPr>
            <sz val="10"/>
            <color rgb="FF000000"/>
            <rFont val="Arial"/>
            <scheme val="minor"/>
          </rPr>
          <t>Updated on 24-Jun-2025 08:38 AM by bpsdemak3321@gmail.com</t>
        </r>
      </text>
    </comment>
    <comment ref="F1402" authorId="0" shapeId="0" xr:uid="{00000000-0006-0000-0000-0000A2080000}">
      <text>
        <r>
          <rPr>
            <sz val="10"/>
            <color rgb="FF000000"/>
            <rFont val="Arial"/>
            <scheme val="minor"/>
          </rPr>
          <t>Updated on 24-Jun-2025 02:19 PM by bpsdemak3321@gmail.com</t>
        </r>
      </text>
    </comment>
    <comment ref="G1402" authorId="0" shapeId="0" xr:uid="{00000000-0006-0000-0000-0000A3080000}">
      <text>
        <r>
          <rPr>
            <sz val="10"/>
            <color rgb="FF000000"/>
            <rFont val="Arial"/>
            <scheme val="minor"/>
          </rPr>
          <t>Updated on 24-Jun-2025 02:19 PM by bpsdemak3321@gmail.com</t>
        </r>
      </text>
    </comment>
    <comment ref="H1402" authorId="0" shapeId="0" xr:uid="{00000000-0006-0000-0000-0000A4080000}">
      <text>
        <r>
          <rPr>
            <sz val="10"/>
            <color rgb="FF000000"/>
            <rFont val="Arial"/>
            <scheme val="minor"/>
          </rPr>
          <t>Updated on 24-Jun-2025 02:19 PM by bpsdemak3321@gmail.com</t>
        </r>
      </text>
    </comment>
    <comment ref="F1403" authorId="0" shapeId="0" xr:uid="{00000000-0006-0000-0000-0000A5080000}">
      <text>
        <r>
          <rPr>
            <sz val="10"/>
            <color rgb="FF000000"/>
            <rFont val="Arial"/>
            <scheme val="minor"/>
          </rPr>
          <t>Updated on 24-Jun-2025 03:34 PM by bpsdemak3321@gmail.com</t>
        </r>
      </text>
    </comment>
    <comment ref="G1403" authorId="0" shapeId="0" xr:uid="{00000000-0006-0000-0000-0000A6080000}">
      <text>
        <r>
          <rPr>
            <sz val="10"/>
            <color rgb="FF000000"/>
            <rFont val="Arial"/>
            <scheme val="minor"/>
          </rPr>
          <t>Updated on 24-Jun-2025 03:34 PM by bpsdemak3321@gmail.com</t>
        </r>
      </text>
    </comment>
    <comment ref="H1403" authorId="0" shapeId="0" xr:uid="{00000000-0006-0000-0000-0000A7080000}">
      <text>
        <r>
          <rPr>
            <sz val="10"/>
            <color rgb="FF000000"/>
            <rFont val="Arial"/>
            <scheme val="minor"/>
          </rPr>
          <t>Updated on 24-Jun-2025 03:34 PM by bpsdemak3321@gmail.com</t>
        </r>
      </text>
    </comment>
    <comment ref="F1404" authorId="0" shapeId="0" xr:uid="{00000000-0006-0000-0000-0000A8080000}">
      <text>
        <r>
          <rPr>
            <sz val="10"/>
            <color rgb="FF000000"/>
            <rFont val="Arial"/>
            <scheme val="minor"/>
          </rPr>
          <t>Updated on 25-Jun-2025 08:23 AM by bpsdemak3321@gmail.com</t>
        </r>
      </text>
    </comment>
    <comment ref="G1404" authorId="0" shapeId="0" xr:uid="{00000000-0006-0000-0000-0000A9080000}">
      <text>
        <r>
          <rPr>
            <sz val="10"/>
            <color rgb="FF000000"/>
            <rFont val="Arial"/>
            <scheme val="minor"/>
          </rPr>
          <t>Updated on 25-Jun-2025 08:23 AM by bpsdemak3321@gmail.com</t>
        </r>
      </text>
    </comment>
    <comment ref="H1404" authorId="0" shapeId="0" xr:uid="{00000000-0006-0000-0000-0000AA080000}">
      <text>
        <r>
          <rPr>
            <sz val="10"/>
            <color rgb="FF000000"/>
            <rFont val="Arial"/>
            <scheme val="minor"/>
          </rPr>
          <t>Updated on 25-Jun-2025 08:23 AM by bpsdemak3321@gmail.com</t>
        </r>
      </text>
    </comment>
    <comment ref="F1405" authorId="0" shapeId="0" xr:uid="{00000000-0006-0000-0000-0000AB080000}">
      <text>
        <r>
          <rPr>
            <sz val="10"/>
            <color rgb="FF000000"/>
            <rFont val="Arial"/>
            <scheme val="minor"/>
          </rPr>
          <t>Updated on 26-Jun-2025 08:16 AM by bpsdemak3321@gmail.com</t>
        </r>
      </text>
    </comment>
    <comment ref="G1405" authorId="0" shapeId="0" xr:uid="{00000000-0006-0000-0000-0000AC080000}">
      <text>
        <r>
          <rPr>
            <sz val="10"/>
            <color rgb="FF000000"/>
            <rFont val="Arial"/>
            <scheme val="minor"/>
          </rPr>
          <t>Updated on 26-Jun-2025 08:16 AM by bpsdemak3321@gmail.com</t>
        </r>
      </text>
    </comment>
    <comment ref="H1405" authorId="0" shapeId="0" xr:uid="{00000000-0006-0000-0000-0000AD080000}">
      <text>
        <r>
          <rPr>
            <sz val="10"/>
            <color rgb="FF000000"/>
            <rFont val="Arial"/>
            <scheme val="minor"/>
          </rPr>
          <t>Updated on 26-Jun-2025 08:16 AM by bpsdemak3321@gmail.com</t>
        </r>
      </text>
    </comment>
    <comment ref="F1406" authorId="0" shapeId="0" xr:uid="{00000000-0006-0000-0000-0000AE080000}">
      <text>
        <r>
          <rPr>
            <sz val="10"/>
            <color rgb="FF000000"/>
            <rFont val="Arial"/>
            <scheme val="minor"/>
          </rPr>
          <t>Updated on 29-Jun-2025 06:47 PM by bpsdemak3321@gmail.com</t>
        </r>
      </text>
    </comment>
    <comment ref="G1406" authorId="0" shapeId="0" xr:uid="{00000000-0006-0000-0000-0000AF080000}">
      <text>
        <r>
          <rPr>
            <sz val="10"/>
            <color rgb="FF000000"/>
            <rFont val="Arial"/>
            <scheme val="minor"/>
          </rPr>
          <t>Updated on 29-Jun-2025 06:46 PM by bpsdemak3321@gmail.com</t>
        </r>
      </text>
    </comment>
    <comment ref="H1406" authorId="0" shapeId="0" xr:uid="{00000000-0006-0000-0000-0000B0080000}">
      <text>
        <r>
          <rPr>
            <sz val="10"/>
            <color rgb="FF000000"/>
            <rFont val="Arial"/>
            <scheme val="minor"/>
          </rPr>
          <t>Updated on 29-Jun-2025 06:46 PM by bpsdemak3321@gmail.com</t>
        </r>
      </text>
    </comment>
    <comment ref="F1407" authorId="0" shapeId="0" xr:uid="{00000000-0006-0000-0000-0000B1080000}">
      <text>
        <r>
          <rPr>
            <sz val="10"/>
            <color rgb="FF000000"/>
            <rFont val="Arial"/>
            <scheme val="minor"/>
          </rPr>
          <t>Updated on 29-Jun-2025 06:52 PM by bpsdemak3321@gmail.com</t>
        </r>
      </text>
    </comment>
    <comment ref="G1407" authorId="0" shapeId="0" xr:uid="{00000000-0006-0000-0000-0000B2080000}">
      <text>
        <r>
          <rPr>
            <sz val="10"/>
            <color rgb="FF000000"/>
            <rFont val="Arial"/>
            <scheme val="minor"/>
          </rPr>
          <t>Updated on 29-Jun-2025 06:51 PM by bpsdemak3321@gmail.com</t>
        </r>
      </text>
    </comment>
    <comment ref="H1407" authorId="0" shapeId="0" xr:uid="{00000000-0006-0000-0000-0000B3080000}">
      <text>
        <r>
          <rPr>
            <sz val="10"/>
            <color rgb="FF000000"/>
            <rFont val="Arial"/>
            <scheme val="minor"/>
          </rPr>
          <t>Updated on 29-Jun-2025 06:51 PM by bpsdemak3321@gmail.com</t>
        </r>
      </text>
    </comment>
    <comment ref="F1408" authorId="0" shapeId="0" xr:uid="{00000000-0006-0000-0000-0000B4080000}">
      <text>
        <r>
          <rPr>
            <sz val="10"/>
            <color rgb="FF000000"/>
            <rFont val="Arial"/>
            <scheme val="minor"/>
          </rPr>
          <t>Updated on 29-Jun-2025 06:52 PM by bpsdemak3321@gmail.com</t>
        </r>
      </text>
    </comment>
    <comment ref="G1408" authorId="0" shapeId="0" xr:uid="{00000000-0006-0000-0000-0000B5080000}">
      <text>
        <r>
          <rPr>
            <sz val="10"/>
            <color rgb="FF000000"/>
            <rFont val="Arial"/>
            <scheme val="minor"/>
          </rPr>
          <t>Updated on 29-Jun-2025 06:52 PM by bpsdemak3321@gmail.com</t>
        </r>
      </text>
    </comment>
    <comment ref="H1408" authorId="0" shapeId="0" xr:uid="{00000000-0006-0000-0000-0000B6080000}">
      <text>
        <r>
          <rPr>
            <sz val="10"/>
            <color rgb="FF000000"/>
            <rFont val="Arial"/>
            <scheme val="minor"/>
          </rPr>
          <t>Updated on 29-Jun-2025 06:52 PM by bpsdemak3321@gmail.com</t>
        </r>
      </text>
    </comment>
    <comment ref="F1409" authorId="0" shapeId="0" xr:uid="{00000000-0006-0000-0000-0000B7080000}">
      <text>
        <r>
          <rPr>
            <sz val="10"/>
            <color rgb="FF000000"/>
            <rFont val="Arial"/>
            <scheme val="minor"/>
          </rPr>
          <t>Updated on 30-Jun-2025 04:55 PM by bpsdemak3321@gmail.com</t>
        </r>
      </text>
    </comment>
    <comment ref="G1409" authorId="0" shapeId="0" xr:uid="{00000000-0006-0000-0000-0000B8080000}">
      <text>
        <r>
          <rPr>
            <sz val="10"/>
            <color rgb="FF000000"/>
            <rFont val="Arial"/>
            <scheme val="minor"/>
          </rPr>
          <t>Updated on 30-Jun-2025 04:55 PM by bpsdemak3321@gmail.com</t>
        </r>
      </text>
    </comment>
    <comment ref="H1409" authorId="0" shapeId="0" xr:uid="{00000000-0006-0000-0000-0000B9080000}">
      <text>
        <r>
          <rPr>
            <sz val="10"/>
            <color rgb="FF000000"/>
            <rFont val="Arial"/>
            <scheme val="minor"/>
          </rPr>
          <t>Updated on 30-Jun-2025 04:55 PM by bpsdemak3321@gmail.com</t>
        </r>
      </text>
    </comment>
    <comment ref="F1410" authorId="0" shapeId="0" xr:uid="{00000000-0006-0000-0000-0000BA080000}">
      <text>
        <r>
          <rPr>
            <sz val="10"/>
            <color rgb="FF000000"/>
            <rFont val="Arial"/>
            <scheme val="minor"/>
          </rPr>
          <t>Updated on 01-Jul-2025 09:32 AM by bpsdemak3321@gmail.com</t>
        </r>
      </text>
    </comment>
    <comment ref="G1410" authorId="0" shapeId="0" xr:uid="{00000000-0006-0000-0000-0000BB080000}">
      <text>
        <r>
          <rPr>
            <sz val="10"/>
            <color rgb="FF000000"/>
            <rFont val="Arial"/>
            <scheme val="minor"/>
          </rPr>
          <t>Updated on 01-Jul-2025 09:32 AM by bpsdemak3321@gmail.com</t>
        </r>
      </text>
    </comment>
    <comment ref="H1410" authorId="0" shapeId="0" xr:uid="{00000000-0006-0000-0000-0000BC080000}">
      <text>
        <r>
          <rPr>
            <sz val="10"/>
            <color rgb="FF000000"/>
            <rFont val="Arial"/>
            <scheme val="minor"/>
          </rPr>
          <t>Updated on 01-Jul-2025 09:32 AM by bpsdemak3321@gmail.com</t>
        </r>
      </text>
    </comment>
    <comment ref="F1411" authorId="0" shapeId="0" xr:uid="{00000000-0006-0000-0000-0000BD080000}">
      <text>
        <r>
          <rPr>
            <sz val="10"/>
            <color rgb="FF000000"/>
            <rFont val="Arial"/>
            <scheme val="minor"/>
          </rPr>
          <t>Updated on 01-Jul-2025 09:33 AM by bpsdemak3321@gmail.com</t>
        </r>
      </text>
    </comment>
    <comment ref="G1411" authorId="0" shapeId="0" xr:uid="{00000000-0006-0000-0000-0000BE080000}">
      <text>
        <r>
          <rPr>
            <sz val="10"/>
            <color rgb="FF000000"/>
            <rFont val="Arial"/>
            <scheme val="minor"/>
          </rPr>
          <t>Updated on 01-Jul-2025 09:33 AM by bpsdemak3321@gmail.com</t>
        </r>
      </text>
    </comment>
    <comment ref="H1411" authorId="0" shapeId="0" xr:uid="{00000000-0006-0000-0000-0000BF080000}">
      <text>
        <r>
          <rPr>
            <sz val="10"/>
            <color rgb="FF000000"/>
            <rFont val="Arial"/>
            <scheme val="minor"/>
          </rPr>
          <t>Updated on 01-Jul-2025 09:33 AM by bpsdemak3321@gmail.com</t>
        </r>
      </text>
    </comment>
    <comment ref="F1412" authorId="0" shapeId="0" xr:uid="{00000000-0006-0000-0000-0000C0080000}">
      <text>
        <r>
          <rPr>
            <sz val="10"/>
            <color rgb="FF000000"/>
            <rFont val="Arial"/>
            <scheme val="minor"/>
          </rPr>
          <t>Updated on 01-Jul-2025 09:34 AM by bpsdemak3321@gmail.com</t>
        </r>
      </text>
    </comment>
    <comment ref="G1412" authorId="0" shapeId="0" xr:uid="{00000000-0006-0000-0000-0000C1080000}">
      <text>
        <r>
          <rPr>
            <sz val="10"/>
            <color rgb="FF000000"/>
            <rFont val="Arial"/>
            <scheme val="minor"/>
          </rPr>
          <t>Updated on 01-Jul-2025 09:34 AM by bpsdemak3321@gmail.com</t>
        </r>
      </text>
    </comment>
    <comment ref="H1412" authorId="0" shapeId="0" xr:uid="{00000000-0006-0000-0000-0000C2080000}">
      <text>
        <r>
          <rPr>
            <sz val="10"/>
            <color rgb="FF000000"/>
            <rFont val="Arial"/>
            <scheme val="minor"/>
          </rPr>
          <t>Updated on 01-Jul-2025 09:34 AM by bpsdemak3321@gmail.com</t>
        </r>
      </text>
    </comment>
    <comment ref="F1413" authorId="0" shapeId="0" xr:uid="{00000000-0006-0000-0000-0000C3080000}">
      <text>
        <r>
          <rPr>
            <sz val="10"/>
            <color rgb="FF000000"/>
            <rFont val="Arial"/>
            <scheme val="minor"/>
          </rPr>
          <t>Updated on 01-Jul-2025 09:35 AM by bpsdemak3321@gmail.com</t>
        </r>
      </text>
    </comment>
    <comment ref="G1413" authorId="0" shapeId="0" xr:uid="{00000000-0006-0000-0000-0000C4080000}">
      <text>
        <r>
          <rPr>
            <sz val="10"/>
            <color rgb="FF000000"/>
            <rFont val="Arial"/>
            <scheme val="minor"/>
          </rPr>
          <t>Updated on 01-Jul-2025 09:35 AM by bpsdemak3321@gmail.com</t>
        </r>
      </text>
    </comment>
    <comment ref="H1413" authorId="0" shapeId="0" xr:uid="{00000000-0006-0000-0000-0000C5080000}">
      <text>
        <r>
          <rPr>
            <sz val="10"/>
            <color rgb="FF000000"/>
            <rFont val="Arial"/>
            <scheme val="minor"/>
          </rPr>
          <t>Updated on 01-Jul-2025 09:35 AM by bpsdemak3321@gmail.com</t>
        </r>
      </text>
    </comment>
    <comment ref="F1414" authorId="0" shapeId="0" xr:uid="{00000000-0006-0000-0000-0000C6080000}">
      <text>
        <r>
          <rPr>
            <sz val="10"/>
            <color rgb="FF000000"/>
            <rFont val="Arial"/>
            <scheme val="minor"/>
          </rPr>
          <t>Updated on 09-Jul-2025 01:41 PM by bpsdemak3321@gmail.com</t>
        </r>
      </text>
    </comment>
    <comment ref="G1414" authorId="0" shapeId="0" xr:uid="{00000000-0006-0000-0000-0000C7080000}">
      <text>
        <r>
          <rPr>
            <sz val="10"/>
            <color rgb="FF000000"/>
            <rFont val="Arial"/>
            <scheme val="minor"/>
          </rPr>
          <t>Updated on 09-Jul-2025 01:41 PM by bpsdemak3321@gmail.com</t>
        </r>
      </text>
    </comment>
    <comment ref="H1414" authorId="0" shapeId="0" xr:uid="{00000000-0006-0000-0000-0000C8080000}">
      <text>
        <r>
          <rPr>
            <sz val="10"/>
            <color rgb="FF000000"/>
            <rFont val="Arial"/>
            <scheme val="minor"/>
          </rPr>
          <t>Updated on 09-Jul-2025 01:41 PM by bpsdemak3321@gmail.com</t>
        </r>
      </text>
    </comment>
    <comment ref="F1415" authorId="0" shapeId="0" xr:uid="{00000000-0006-0000-0000-0000C9080000}">
      <text>
        <r>
          <rPr>
            <sz val="10"/>
            <color rgb="FF000000"/>
            <rFont val="Arial"/>
            <scheme val="minor"/>
          </rPr>
          <t>Updated on 10-Jul-2025 01:02 PM by bpsdemak3321@gmail.com</t>
        </r>
      </text>
    </comment>
    <comment ref="G1415" authorId="0" shapeId="0" xr:uid="{00000000-0006-0000-0000-0000CA080000}">
      <text>
        <r>
          <rPr>
            <sz val="10"/>
            <color rgb="FF000000"/>
            <rFont val="Arial"/>
            <scheme val="minor"/>
          </rPr>
          <t>Updated on 10-Jul-2025 01:02 PM by bpsdemak3321@gmail.com</t>
        </r>
      </text>
    </comment>
    <comment ref="H1415" authorId="0" shapeId="0" xr:uid="{00000000-0006-0000-0000-0000CB080000}">
      <text>
        <r>
          <rPr>
            <sz val="10"/>
            <color rgb="FF000000"/>
            <rFont val="Arial"/>
            <scheme val="minor"/>
          </rPr>
          <t>Updated on 10-Jul-2025 01:02 PM by bpsdemak3321@gmail.com</t>
        </r>
      </text>
    </comment>
    <comment ref="F1416" authorId="0" shapeId="0" xr:uid="{00000000-0006-0000-0000-0000CC080000}">
      <text>
        <r>
          <rPr>
            <sz val="10"/>
            <color rgb="FF000000"/>
            <rFont val="Arial"/>
            <scheme val="minor"/>
          </rPr>
          <t>Updated on 10-Jul-2025 03:09 PM by bpsdemak3321@gmail.com</t>
        </r>
      </text>
    </comment>
    <comment ref="G1416" authorId="0" shapeId="0" xr:uid="{00000000-0006-0000-0000-0000CD080000}">
      <text>
        <r>
          <rPr>
            <sz val="10"/>
            <color rgb="FF000000"/>
            <rFont val="Arial"/>
            <scheme val="minor"/>
          </rPr>
          <t>Updated on 10-Jul-2025 03:09 PM by bpsdemak3321@gmail.com</t>
        </r>
      </text>
    </comment>
    <comment ref="H1416" authorId="0" shapeId="0" xr:uid="{00000000-0006-0000-0000-0000CE080000}">
      <text>
        <r>
          <rPr>
            <sz val="10"/>
            <color rgb="FF000000"/>
            <rFont val="Arial"/>
            <scheme val="minor"/>
          </rPr>
          <t>Updated on 10-Jul-2025 03:09 PM by bpsdemak3321@gmail.com</t>
        </r>
      </text>
    </comment>
    <comment ref="F1417" authorId="0" shapeId="0" xr:uid="{00000000-0006-0000-0000-0000CF080000}">
      <text>
        <r>
          <rPr>
            <sz val="10"/>
            <color rgb="FF000000"/>
            <rFont val="Arial"/>
            <scheme val="minor"/>
          </rPr>
          <t>Updated on 11-Jul-2025 07:20 AM by bpsdemak3321@gmail.com</t>
        </r>
      </text>
    </comment>
    <comment ref="G1417" authorId="0" shapeId="0" xr:uid="{00000000-0006-0000-0000-0000D0080000}">
      <text>
        <r>
          <rPr>
            <sz val="10"/>
            <color rgb="FF000000"/>
            <rFont val="Arial"/>
            <scheme val="minor"/>
          </rPr>
          <t>Updated on 11-Jul-2025 07:20 AM by bpsdemak3321@gmail.com</t>
        </r>
      </text>
    </comment>
    <comment ref="H1417" authorId="0" shapeId="0" xr:uid="{00000000-0006-0000-0000-0000D1080000}">
      <text>
        <r>
          <rPr>
            <sz val="10"/>
            <color rgb="FF000000"/>
            <rFont val="Arial"/>
            <scheme val="minor"/>
          </rPr>
          <t>Updated on 11-Jul-2025 07:20 AM by bpsdemak3321@gmail.com</t>
        </r>
      </text>
    </comment>
    <comment ref="F1418" authorId="0" shapeId="0" xr:uid="{00000000-0006-0000-0000-0000D2080000}">
      <text>
        <r>
          <rPr>
            <sz val="10"/>
            <color rgb="FF000000"/>
            <rFont val="Arial"/>
            <scheme val="minor"/>
          </rPr>
          <t>Updated on 12-Jul-2025 10:00 AM by bpsdemak3321@gmail.com</t>
        </r>
      </text>
    </comment>
    <comment ref="G1418" authorId="0" shapeId="0" xr:uid="{00000000-0006-0000-0000-0000D3080000}">
      <text>
        <r>
          <rPr>
            <sz val="10"/>
            <color rgb="FF000000"/>
            <rFont val="Arial"/>
            <scheme val="minor"/>
          </rPr>
          <t>Updated on 12-Jul-2025 10:00 AM by bpsdemak3321@gmail.com</t>
        </r>
      </text>
    </comment>
    <comment ref="H1418" authorId="0" shapeId="0" xr:uid="{00000000-0006-0000-0000-0000D4080000}">
      <text>
        <r>
          <rPr>
            <sz val="10"/>
            <color rgb="FF000000"/>
            <rFont val="Arial"/>
            <scheme val="minor"/>
          </rPr>
          <t>Updated on 12-Jul-2025 10:00 AM by bpsdemak3321@gmail.com</t>
        </r>
      </text>
    </comment>
    <comment ref="F1419" authorId="0" shapeId="0" xr:uid="{00000000-0006-0000-0000-0000D5080000}">
      <text>
        <r>
          <rPr>
            <sz val="10"/>
            <color rgb="FF000000"/>
            <rFont val="Arial"/>
            <scheme val="minor"/>
          </rPr>
          <t>Updated on 15-Jul-2025 04:54 AM by bpsdemak3321@gmail.com</t>
        </r>
      </text>
    </comment>
    <comment ref="G1419" authorId="0" shapeId="0" xr:uid="{00000000-0006-0000-0000-0000D6080000}">
      <text>
        <r>
          <rPr>
            <sz val="10"/>
            <color rgb="FF000000"/>
            <rFont val="Arial"/>
            <scheme val="minor"/>
          </rPr>
          <t>Updated on 15-Jul-2025 04:54 AM by bpsdemak3321@gmail.com</t>
        </r>
      </text>
    </comment>
    <comment ref="H1419" authorId="0" shapeId="0" xr:uid="{00000000-0006-0000-0000-0000D7080000}">
      <text>
        <r>
          <rPr>
            <sz val="10"/>
            <color rgb="FF000000"/>
            <rFont val="Arial"/>
            <scheme val="minor"/>
          </rPr>
          <t>Updated on 15-Jul-2025 04:54 AM by bpsdemak3321@gmail.com</t>
        </r>
      </text>
    </comment>
    <comment ref="F1420" authorId="0" shapeId="0" xr:uid="{00000000-0006-0000-0000-0000D8080000}">
      <text>
        <r>
          <rPr>
            <sz val="10"/>
            <color rgb="FF000000"/>
            <rFont val="Arial"/>
            <scheme val="minor"/>
          </rPr>
          <t>Updated on 15-Jul-2025 04:57 AM by bpsdemak3321@gmail.com</t>
        </r>
      </text>
    </comment>
    <comment ref="G1420" authorId="0" shapeId="0" xr:uid="{00000000-0006-0000-0000-0000D9080000}">
      <text>
        <r>
          <rPr>
            <sz val="10"/>
            <color rgb="FF000000"/>
            <rFont val="Arial"/>
            <scheme val="minor"/>
          </rPr>
          <t>Updated on 15-Jul-2025 04:57 AM by bpsdemak3321@gmail.com</t>
        </r>
      </text>
    </comment>
    <comment ref="H1420" authorId="0" shapeId="0" xr:uid="{00000000-0006-0000-0000-0000DA080000}">
      <text>
        <r>
          <rPr>
            <sz val="10"/>
            <color rgb="FF000000"/>
            <rFont val="Arial"/>
            <scheme val="minor"/>
          </rPr>
          <t>Updated on 15-Jul-2025 04:57 AM by bpsdemak3321@gmail.com</t>
        </r>
      </text>
    </comment>
    <comment ref="F1421" authorId="0" shapeId="0" xr:uid="{00000000-0006-0000-0000-0000DB080000}">
      <text>
        <r>
          <rPr>
            <sz val="10"/>
            <color rgb="FF000000"/>
            <rFont val="Arial"/>
            <scheme val="minor"/>
          </rPr>
          <t>Updated on 16-Jul-2025 11:12 AM by bpsdemak3321@gmail.com</t>
        </r>
      </text>
    </comment>
    <comment ref="G1421" authorId="0" shapeId="0" xr:uid="{00000000-0006-0000-0000-0000DC080000}">
      <text>
        <r>
          <rPr>
            <sz val="10"/>
            <color rgb="FF000000"/>
            <rFont val="Arial"/>
            <scheme val="minor"/>
          </rPr>
          <t>Updated on 16-Jul-2025 11:12 AM by bpsdemak3321@gmail.com</t>
        </r>
      </text>
    </comment>
    <comment ref="H1421" authorId="0" shapeId="0" xr:uid="{00000000-0006-0000-0000-0000DD080000}">
      <text>
        <r>
          <rPr>
            <sz val="10"/>
            <color rgb="FF000000"/>
            <rFont val="Arial"/>
            <scheme val="minor"/>
          </rPr>
          <t>Updated on 16-Jul-2025 11:12 AM by bpsdemak3321@gmail.com</t>
        </r>
      </text>
    </comment>
    <comment ref="F1422" authorId="0" shapeId="0" xr:uid="{00000000-0006-0000-0000-0000DE080000}">
      <text>
        <r>
          <rPr>
            <sz val="10"/>
            <color rgb="FF000000"/>
            <rFont val="Arial"/>
            <scheme val="minor"/>
          </rPr>
          <t>Updated on 16-Jul-2025 03:52 PM by bpsdemak3321@gmail.com</t>
        </r>
      </text>
    </comment>
    <comment ref="G1422" authorId="0" shapeId="0" xr:uid="{00000000-0006-0000-0000-0000DF080000}">
      <text>
        <r>
          <rPr>
            <sz val="10"/>
            <color rgb="FF000000"/>
            <rFont val="Arial"/>
            <scheme val="minor"/>
          </rPr>
          <t>Updated on 16-Jul-2025 03:52 PM by bpsdemak3321@gmail.com</t>
        </r>
      </text>
    </comment>
    <comment ref="H1422" authorId="0" shapeId="0" xr:uid="{00000000-0006-0000-0000-0000E0080000}">
      <text>
        <r>
          <rPr>
            <sz val="10"/>
            <color rgb="FF000000"/>
            <rFont val="Arial"/>
            <scheme val="minor"/>
          </rPr>
          <t>Updated on 16-Jul-2025 03:52 PM by bpsdemak3321@gmail.com</t>
        </r>
      </text>
    </comment>
    <comment ref="F1423" authorId="0" shapeId="0" xr:uid="{00000000-0006-0000-0000-0000E1080000}">
      <text>
        <r>
          <rPr>
            <sz val="10"/>
            <color rgb="FF000000"/>
            <rFont val="Arial"/>
            <scheme val="minor"/>
          </rPr>
          <t>Updated on 26-Jul-2025 05:32 PM by bpsdemak3321@gmail.com</t>
        </r>
      </text>
    </comment>
    <comment ref="G1423" authorId="0" shapeId="0" xr:uid="{00000000-0006-0000-0000-0000E2080000}">
      <text>
        <r>
          <rPr>
            <sz val="10"/>
            <color rgb="FF000000"/>
            <rFont val="Arial"/>
            <scheme val="minor"/>
          </rPr>
          <t>Updated on 26-Jul-2025 05:32 PM by bpsdemak3321@gmail.com</t>
        </r>
      </text>
    </comment>
    <comment ref="H1423" authorId="0" shapeId="0" xr:uid="{00000000-0006-0000-0000-0000E3080000}">
      <text>
        <r>
          <rPr>
            <sz val="10"/>
            <color rgb="FF000000"/>
            <rFont val="Arial"/>
            <scheme val="minor"/>
          </rPr>
          <t>Updated on 26-Jul-2025 05:32 PM by bpsdemak3321@gmail.com</t>
        </r>
      </text>
    </comment>
    <comment ref="F1424" authorId="0" shapeId="0" xr:uid="{00000000-0006-0000-0000-0000E4080000}">
      <text>
        <r>
          <rPr>
            <sz val="10"/>
            <color rgb="FF000000"/>
            <rFont val="Arial"/>
            <scheme val="minor"/>
          </rPr>
          <t>Updated on 29-Jul-2025 08:47 AM by bpsdemak3321@gmail.com</t>
        </r>
      </text>
    </comment>
    <comment ref="G1424" authorId="0" shapeId="0" xr:uid="{00000000-0006-0000-0000-0000E5080000}">
      <text>
        <r>
          <rPr>
            <sz val="10"/>
            <color rgb="FF000000"/>
            <rFont val="Arial"/>
            <scheme val="minor"/>
          </rPr>
          <t>Updated on 29-Jul-2025 08:47 AM by bpsdemak3321@gmail.com</t>
        </r>
      </text>
    </comment>
    <comment ref="H1424" authorId="0" shapeId="0" xr:uid="{00000000-0006-0000-0000-0000E6080000}">
      <text>
        <r>
          <rPr>
            <sz val="10"/>
            <color rgb="FF000000"/>
            <rFont val="Arial"/>
            <scheme val="minor"/>
          </rPr>
          <t>Updated on 29-Jul-2025 08:47 AM by bpsdemak3321@gmail.com</t>
        </r>
      </text>
    </comment>
    <comment ref="F1425" authorId="0" shapeId="0" xr:uid="{00000000-0006-0000-0000-0000E7080000}">
      <text>
        <r>
          <rPr>
            <sz val="10"/>
            <color rgb="FF000000"/>
            <rFont val="Arial"/>
            <scheme val="minor"/>
          </rPr>
          <t>Updated on 31-Jul-2025 07:10 AM by bpsdemak3321@gmail.com</t>
        </r>
      </text>
    </comment>
    <comment ref="G1425" authorId="0" shapeId="0" xr:uid="{00000000-0006-0000-0000-0000E8080000}">
      <text>
        <r>
          <rPr>
            <sz val="10"/>
            <color rgb="FF000000"/>
            <rFont val="Arial"/>
            <scheme val="minor"/>
          </rPr>
          <t>Updated on 31-Jul-2025 07:10 AM by bpsdemak3321@gmail.com</t>
        </r>
      </text>
    </comment>
    <comment ref="H1425" authorId="0" shapeId="0" xr:uid="{00000000-0006-0000-0000-0000E9080000}">
      <text>
        <r>
          <rPr>
            <sz val="10"/>
            <color rgb="FF000000"/>
            <rFont val="Arial"/>
            <scheme val="minor"/>
          </rPr>
          <t>Updated on 31-Jul-2025 07:10 AM by bpsdemak3321@gmail.com</t>
        </r>
      </text>
    </comment>
    <comment ref="F1426" authorId="0" shapeId="0" xr:uid="{00000000-0006-0000-0000-0000EA080000}">
      <text>
        <r>
          <rPr>
            <sz val="10"/>
            <color rgb="FF000000"/>
            <rFont val="Arial"/>
            <scheme val="minor"/>
          </rPr>
          <t>Updated on 07-Aug-2025 08:34 AM by bpsdemak3321@gmail.com</t>
        </r>
      </text>
    </comment>
    <comment ref="G1426" authorId="0" shapeId="0" xr:uid="{00000000-0006-0000-0000-0000EB080000}">
      <text>
        <r>
          <rPr>
            <sz val="10"/>
            <color rgb="FF000000"/>
            <rFont val="Arial"/>
            <scheme val="minor"/>
          </rPr>
          <t>Updated on 07-Aug-2025 08:34 AM by bpsdemak3321@gmail.com</t>
        </r>
      </text>
    </comment>
    <comment ref="H1426" authorId="0" shapeId="0" xr:uid="{00000000-0006-0000-0000-0000EC080000}">
      <text>
        <r>
          <rPr>
            <sz val="10"/>
            <color rgb="FF000000"/>
            <rFont val="Arial"/>
            <scheme val="minor"/>
          </rPr>
          <t>Updated on 07-Aug-2025 08:34 AM by bpsdemak3321@gmail.com</t>
        </r>
      </text>
    </comment>
    <comment ref="F1427" authorId="0" shapeId="0" xr:uid="{00000000-0006-0000-0000-0000ED080000}">
      <text>
        <r>
          <rPr>
            <sz val="10"/>
            <color rgb="FF000000"/>
            <rFont val="Arial"/>
            <scheme val="minor"/>
          </rPr>
          <t>Updated on 12-Aug-2025 05:16 PM by bpsdemak3321@gmail.com</t>
        </r>
      </text>
    </comment>
    <comment ref="G1427" authorId="0" shapeId="0" xr:uid="{00000000-0006-0000-0000-0000EE080000}">
      <text>
        <r>
          <rPr>
            <sz val="10"/>
            <color rgb="FF000000"/>
            <rFont val="Arial"/>
            <scheme val="minor"/>
          </rPr>
          <t>Updated on 12-Aug-2025 05:16 PM by bpsdemak3321@gmail.com</t>
        </r>
      </text>
    </comment>
    <comment ref="H1427" authorId="0" shapeId="0" xr:uid="{00000000-0006-0000-0000-0000EF080000}">
      <text>
        <r>
          <rPr>
            <sz val="10"/>
            <color rgb="FF000000"/>
            <rFont val="Arial"/>
            <scheme val="minor"/>
          </rPr>
          <t>Updated on 12-Aug-2025 05:16 PM by bpsdemak3321@gmail.com</t>
        </r>
      </text>
    </comment>
    <comment ref="F1428" authorId="0" shapeId="0" xr:uid="{00000000-0006-0000-0000-0000F0080000}">
      <text>
        <r>
          <rPr>
            <sz val="10"/>
            <color rgb="FF000000"/>
            <rFont val="Arial"/>
            <scheme val="minor"/>
          </rPr>
          <t>Updated on 20-Aug-2025 02:59 PM by bpsdemak3321@gmail.com</t>
        </r>
      </text>
    </comment>
    <comment ref="G1428" authorId="0" shapeId="0" xr:uid="{00000000-0006-0000-0000-0000F1080000}">
      <text>
        <r>
          <rPr>
            <sz val="10"/>
            <color rgb="FF000000"/>
            <rFont val="Arial"/>
            <scheme val="minor"/>
          </rPr>
          <t>Updated on 20-Aug-2025 02:59 PM by bpsdemak3321@gmail.com</t>
        </r>
      </text>
    </comment>
    <comment ref="H1428" authorId="0" shapeId="0" xr:uid="{00000000-0006-0000-0000-0000F2080000}">
      <text>
        <r>
          <rPr>
            <sz val="10"/>
            <color rgb="FF000000"/>
            <rFont val="Arial"/>
            <scheme val="minor"/>
          </rPr>
          <t>Updated on 20-Aug-2025 02:59 PM by bpsdemak3321@gmail.com</t>
        </r>
      </text>
    </comment>
    <comment ref="F1429" authorId="0" shapeId="0" xr:uid="{00000000-0006-0000-0000-0000F3080000}">
      <text>
        <r>
          <rPr>
            <sz val="10"/>
            <color rgb="FF000000"/>
            <rFont val="Arial"/>
            <scheme val="minor"/>
          </rPr>
          <t>Updated on 29-Aug-2025 08:53 AM by bpsdemak3321@gmail.com</t>
        </r>
      </text>
    </comment>
    <comment ref="G1429" authorId="0" shapeId="0" xr:uid="{00000000-0006-0000-0000-0000F4080000}">
      <text>
        <r>
          <rPr>
            <sz val="10"/>
            <color rgb="FF000000"/>
            <rFont val="Arial"/>
            <scheme val="minor"/>
          </rPr>
          <t>Updated on 29-Aug-2025 08:53 AM by bpsdemak3321@gmail.com</t>
        </r>
      </text>
    </comment>
    <comment ref="H1429" authorId="0" shapeId="0" xr:uid="{00000000-0006-0000-0000-0000F5080000}">
      <text>
        <r>
          <rPr>
            <sz val="10"/>
            <color rgb="FF000000"/>
            <rFont val="Arial"/>
            <scheme val="minor"/>
          </rPr>
          <t>Updated on 29-Aug-2025 08:53 AM by bpsdemak3321@gmail.com</t>
        </r>
      </text>
    </comment>
    <comment ref="F1430" authorId="0" shapeId="0" xr:uid="{00000000-0006-0000-0000-0000F6080000}">
      <text>
        <r>
          <rPr>
            <sz val="10"/>
            <color rgb="FF000000"/>
            <rFont val="Arial"/>
            <scheme val="minor"/>
          </rPr>
          <t>Updated on 29-Aug-2025 08:53 AM by bpsdemak3321@gmail.com</t>
        </r>
      </text>
    </comment>
    <comment ref="G1430" authorId="0" shapeId="0" xr:uid="{00000000-0006-0000-0000-0000F7080000}">
      <text>
        <r>
          <rPr>
            <sz val="10"/>
            <color rgb="FF000000"/>
            <rFont val="Arial"/>
            <scheme val="minor"/>
          </rPr>
          <t>Updated on 29-Aug-2025 08:53 AM by bpsdemak3321@gmail.com</t>
        </r>
      </text>
    </comment>
    <comment ref="H1430" authorId="0" shapeId="0" xr:uid="{00000000-0006-0000-0000-0000F8080000}">
      <text>
        <r>
          <rPr>
            <sz val="10"/>
            <color rgb="FF000000"/>
            <rFont val="Arial"/>
            <scheme val="minor"/>
          </rPr>
          <t>Updated on 29-Aug-2025 08:53 AM by bpsdemak3321@gmail.com</t>
        </r>
      </text>
    </comment>
    <comment ref="F1431" authorId="0" shapeId="0" xr:uid="{00000000-0006-0000-0000-0000F9080000}">
      <text>
        <r>
          <rPr>
            <sz val="10"/>
            <color rgb="FF000000"/>
            <rFont val="Arial"/>
            <scheme val="minor"/>
          </rPr>
          <t>Updated on 29-Aug-2025 03:37 PM by bpsdemak3321@gmail.com</t>
        </r>
      </text>
    </comment>
    <comment ref="G1431" authorId="0" shapeId="0" xr:uid="{00000000-0006-0000-0000-0000FA080000}">
      <text>
        <r>
          <rPr>
            <sz val="10"/>
            <color rgb="FF000000"/>
            <rFont val="Arial"/>
            <scheme val="minor"/>
          </rPr>
          <t>Updated on 29-Aug-2025 03:37 PM by bpsdemak3321@gmail.com</t>
        </r>
      </text>
    </comment>
    <comment ref="H1431" authorId="0" shapeId="0" xr:uid="{00000000-0006-0000-0000-0000FB080000}">
      <text>
        <r>
          <rPr>
            <sz val="10"/>
            <color rgb="FF000000"/>
            <rFont val="Arial"/>
            <scheme val="minor"/>
          </rPr>
          <t>Updated on 29-Aug-2025 03:37 PM by bpsdemak3321@gmail.com</t>
        </r>
      </text>
    </comment>
    <comment ref="F1432" authorId="0" shapeId="0" xr:uid="{00000000-0006-0000-0000-0000FC080000}">
      <text>
        <r>
          <rPr>
            <sz val="10"/>
            <color rgb="FF000000"/>
            <rFont val="Arial"/>
            <scheme val="minor"/>
          </rPr>
          <t>Updated on 02-Sep-2025 09:43 AM by bpsdemak3321@gmail.com</t>
        </r>
      </text>
    </comment>
    <comment ref="G1432" authorId="0" shapeId="0" xr:uid="{00000000-0006-0000-0000-0000FD080000}">
      <text>
        <r>
          <rPr>
            <sz val="10"/>
            <color rgb="FF000000"/>
            <rFont val="Arial"/>
            <scheme val="minor"/>
          </rPr>
          <t>Updated on 02-Sep-2025 09:43 AM by bpsdemak3321@gmail.com</t>
        </r>
      </text>
    </comment>
    <comment ref="H1432" authorId="0" shapeId="0" xr:uid="{00000000-0006-0000-0000-0000FE080000}">
      <text>
        <r>
          <rPr>
            <sz val="10"/>
            <color rgb="FF000000"/>
            <rFont val="Arial"/>
            <scheme val="minor"/>
          </rPr>
          <t>Updated on 02-Sep-2025 09:43 AM by bpsdemak3321@gmail.com</t>
        </r>
      </text>
    </comment>
    <comment ref="F1433" authorId="0" shapeId="0" xr:uid="{00000000-0006-0000-0000-0000FF080000}">
      <text>
        <r>
          <rPr>
            <sz val="10"/>
            <color rgb="FF000000"/>
            <rFont val="Arial"/>
            <scheme val="minor"/>
          </rPr>
          <t>Updated on 02-Sep-2025 03:10 PM by bpsdemak3321@gmail.com</t>
        </r>
      </text>
    </comment>
    <comment ref="G1433" authorId="0" shapeId="0" xr:uid="{00000000-0006-0000-0000-000000090000}">
      <text>
        <r>
          <rPr>
            <sz val="10"/>
            <color rgb="FF000000"/>
            <rFont val="Arial"/>
            <scheme val="minor"/>
          </rPr>
          <t>Updated on 02-Sep-2025 03:10 PM by bpsdemak3321@gmail.com</t>
        </r>
      </text>
    </comment>
    <comment ref="H1433" authorId="0" shapeId="0" xr:uid="{00000000-0006-0000-0000-000001090000}">
      <text>
        <r>
          <rPr>
            <sz val="10"/>
            <color rgb="FF000000"/>
            <rFont val="Arial"/>
            <scheme val="minor"/>
          </rPr>
          <t>Updated on 02-Sep-2025 03:10 PM by bpsdemak3321@gmail.com</t>
        </r>
      </text>
    </comment>
    <comment ref="F1434" authorId="0" shapeId="0" xr:uid="{00000000-0006-0000-0000-000002090000}">
      <text>
        <r>
          <rPr>
            <sz val="10"/>
            <color rgb="FF000000"/>
            <rFont val="Arial"/>
            <scheme val="minor"/>
          </rPr>
          <t>Updated on 04-Sep-2025 09:04 AM by bpsdemak3321@gmail.com</t>
        </r>
      </text>
    </comment>
    <comment ref="G1434" authorId="0" shapeId="0" xr:uid="{00000000-0006-0000-0000-000003090000}">
      <text>
        <r>
          <rPr>
            <sz val="10"/>
            <color rgb="FF000000"/>
            <rFont val="Arial"/>
            <scheme val="minor"/>
          </rPr>
          <t>Updated on 04-Sep-2025 09:04 AM by bpsdemak3321@gmail.com</t>
        </r>
      </text>
    </comment>
    <comment ref="H1434" authorId="0" shapeId="0" xr:uid="{00000000-0006-0000-0000-000004090000}">
      <text>
        <r>
          <rPr>
            <sz val="10"/>
            <color rgb="FF000000"/>
            <rFont val="Arial"/>
            <scheme val="minor"/>
          </rPr>
          <t>Updated on 04-Sep-2025 09:04 AM by bpsdemak3321@gmail.com</t>
        </r>
      </text>
    </comment>
    <comment ref="F1435" authorId="0" shapeId="0" xr:uid="{00000000-0006-0000-0000-000005090000}">
      <text>
        <r>
          <rPr>
            <sz val="10"/>
            <color rgb="FF000000"/>
            <rFont val="Arial"/>
            <scheme val="minor"/>
          </rPr>
          <t>Updated on 08-Sep-2025 09:34 AM by bpsdemak3321@gmail.com</t>
        </r>
      </text>
    </comment>
    <comment ref="G1435" authorId="0" shapeId="0" xr:uid="{00000000-0006-0000-0000-000006090000}">
      <text>
        <r>
          <rPr>
            <sz val="10"/>
            <color rgb="FF000000"/>
            <rFont val="Arial"/>
            <scheme val="minor"/>
          </rPr>
          <t>Updated on 08-Sep-2025 09:33 AM by bpsdemak3321@gmail.com</t>
        </r>
      </text>
    </comment>
    <comment ref="H1435" authorId="0" shapeId="0" xr:uid="{00000000-0006-0000-0000-000007090000}">
      <text>
        <r>
          <rPr>
            <sz val="10"/>
            <color rgb="FF000000"/>
            <rFont val="Arial"/>
            <scheme val="minor"/>
          </rPr>
          <t>Updated on 08-Sep-2025 09:33 AM by bpsdemak3321@gmail.com</t>
        </r>
      </text>
    </comment>
    <comment ref="F1436" authorId="0" shapeId="0" xr:uid="{00000000-0006-0000-0000-000008090000}">
      <text>
        <r>
          <rPr>
            <sz val="10"/>
            <color rgb="FF000000"/>
            <rFont val="Arial"/>
            <scheme val="minor"/>
          </rPr>
          <t>Updated on 09-Sep-2025 01:39 PM by bpsdemak3321@gmail.com</t>
        </r>
      </text>
    </comment>
    <comment ref="G1436" authorId="0" shapeId="0" xr:uid="{00000000-0006-0000-0000-000009090000}">
      <text>
        <r>
          <rPr>
            <sz val="10"/>
            <color rgb="FF000000"/>
            <rFont val="Arial"/>
            <scheme val="minor"/>
          </rPr>
          <t>Updated on 09-Sep-2025 01:39 PM by bpsdemak3321@gmail.com</t>
        </r>
      </text>
    </comment>
    <comment ref="H1436" authorId="0" shapeId="0" xr:uid="{00000000-0006-0000-0000-00000A090000}">
      <text>
        <r>
          <rPr>
            <sz val="10"/>
            <color rgb="FF000000"/>
            <rFont val="Arial"/>
            <scheme val="minor"/>
          </rPr>
          <t>Updated on 09-Sep-2025 01:39 PM by bpsdemak3321@gmail.com</t>
        </r>
      </text>
    </comment>
    <comment ref="F1437" authorId="0" shapeId="0" xr:uid="{00000000-0006-0000-0000-00000B090000}">
      <text>
        <r>
          <rPr>
            <sz val="10"/>
            <color rgb="FF000000"/>
            <rFont val="Arial"/>
            <scheme val="minor"/>
          </rPr>
          <t>Updated on 09-Sep-2025 01:40 PM by bpsdemak3321@gmail.com</t>
        </r>
      </text>
    </comment>
    <comment ref="G1437" authorId="0" shapeId="0" xr:uid="{00000000-0006-0000-0000-00000C090000}">
      <text>
        <r>
          <rPr>
            <sz val="10"/>
            <color rgb="FF000000"/>
            <rFont val="Arial"/>
            <scheme val="minor"/>
          </rPr>
          <t>Updated on 09-Sep-2025 01:40 PM by bpsdemak3321@gmail.com</t>
        </r>
      </text>
    </comment>
    <comment ref="H1437" authorId="0" shapeId="0" xr:uid="{00000000-0006-0000-0000-00000D090000}">
      <text>
        <r>
          <rPr>
            <sz val="10"/>
            <color rgb="FF000000"/>
            <rFont val="Arial"/>
            <scheme val="minor"/>
          </rPr>
          <t>Updated on 09-Sep-2025 01:40 PM by bpsdemak3321@gmail.com</t>
        </r>
      </text>
    </comment>
    <comment ref="F1438" authorId="0" shapeId="0" xr:uid="{00000000-0006-0000-0000-00000E090000}">
      <text>
        <r>
          <rPr>
            <sz val="10"/>
            <color rgb="FF000000"/>
            <rFont val="Arial"/>
            <scheme val="minor"/>
          </rPr>
          <t>Updated on 09-Sep-2025 01:40 PM by bpsdemak3321@gmail.com</t>
        </r>
      </text>
    </comment>
    <comment ref="G1438" authorId="0" shapeId="0" xr:uid="{00000000-0006-0000-0000-00000F090000}">
      <text>
        <r>
          <rPr>
            <sz val="10"/>
            <color rgb="FF000000"/>
            <rFont val="Arial"/>
            <scheme val="minor"/>
          </rPr>
          <t>Updated on 09-Sep-2025 01:40 PM by bpsdemak3321@gmail.com</t>
        </r>
      </text>
    </comment>
    <comment ref="H1438" authorId="0" shapeId="0" xr:uid="{00000000-0006-0000-0000-000010090000}">
      <text>
        <r>
          <rPr>
            <sz val="10"/>
            <color rgb="FF000000"/>
            <rFont val="Arial"/>
            <scheme val="minor"/>
          </rPr>
          <t>Updated on 09-Sep-2025 01:40 PM by bpsdemak3321@gmail.com</t>
        </r>
      </text>
    </comment>
    <comment ref="F1439" authorId="0" shapeId="0" xr:uid="{00000000-0006-0000-0000-000011090000}">
      <text>
        <r>
          <rPr>
            <sz val="10"/>
            <color rgb="FF000000"/>
            <rFont val="Arial"/>
            <scheme val="minor"/>
          </rPr>
          <t>Updated on 09-Sep-2025 02:09 PM by bpsdemak3321@gmail.com</t>
        </r>
      </text>
    </comment>
    <comment ref="G1439" authorId="0" shapeId="0" xr:uid="{00000000-0006-0000-0000-000012090000}">
      <text>
        <r>
          <rPr>
            <sz val="10"/>
            <color rgb="FF000000"/>
            <rFont val="Arial"/>
            <scheme val="minor"/>
          </rPr>
          <t>Updated on 09-Sep-2025 02:09 PM by bpsdemak3321@gmail.com</t>
        </r>
      </text>
    </comment>
    <comment ref="H1439" authorId="0" shapeId="0" xr:uid="{00000000-0006-0000-0000-000013090000}">
      <text>
        <r>
          <rPr>
            <sz val="10"/>
            <color rgb="FF000000"/>
            <rFont val="Arial"/>
            <scheme val="minor"/>
          </rPr>
          <t>Updated on 09-Sep-2025 02:09 PM by bpsdemak3321@gmail.com</t>
        </r>
      </text>
    </comment>
    <comment ref="F1440" authorId="0" shapeId="0" xr:uid="{00000000-0006-0000-0000-000014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G1440" authorId="0" shapeId="0" xr:uid="{00000000-0006-0000-0000-000015090000}">
      <text>
        <r>
          <rPr>
            <sz val="10"/>
            <color rgb="FF000000"/>
            <rFont val="Arial"/>
            <scheme val="minor"/>
          </rPr>
          <t>Updated on 09-Sep-2025 02:09 PM by bpsdemak3321@gmail.com</t>
        </r>
      </text>
    </comment>
    <comment ref="H1440" authorId="0" shapeId="0" xr:uid="{00000000-0006-0000-0000-000016090000}">
      <text>
        <r>
          <rPr>
            <sz val="10"/>
            <color rgb="FF000000"/>
            <rFont val="Arial"/>
            <scheme val="minor"/>
          </rPr>
          <t>Updated on 09-Sep-2025 02:09 PM by bpsdemak3321@gmail.com</t>
        </r>
      </text>
    </comment>
    <comment ref="F1441" authorId="0" shapeId="0" xr:uid="{00000000-0006-0000-0000-000017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G1441" authorId="0" shapeId="0" xr:uid="{00000000-0006-0000-0000-000018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H1441" authorId="0" shapeId="0" xr:uid="{00000000-0006-0000-0000-000019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F1442" authorId="0" shapeId="0" xr:uid="{00000000-0006-0000-0000-00001A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G1442" authorId="0" shapeId="0" xr:uid="{00000000-0006-0000-0000-00001B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H1442" authorId="0" shapeId="0" xr:uid="{00000000-0006-0000-0000-00001C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F1443" authorId="0" shapeId="0" xr:uid="{00000000-0006-0000-0000-00001D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G1443" authorId="0" shapeId="0" xr:uid="{00000000-0006-0000-0000-00001E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H1443" authorId="0" shapeId="0" xr:uid="{00000000-0006-0000-0000-00001F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F1444" authorId="0" shapeId="0" xr:uid="{00000000-0006-0000-0000-000020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G1444" authorId="0" shapeId="0" xr:uid="{00000000-0006-0000-0000-000021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H1444" authorId="0" shapeId="0" xr:uid="{00000000-0006-0000-0000-000022090000}">
      <text>
        <r>
          <rPr>
            <sz val="10"/>
            <color rgb="FF000000"/>
            <rFont val="Arial"/>
            <scheme val="minor"/>
          </rPr>
          <t>Updated on 09-Sep-2025 02:10 PM by bpsdemak3321@gmail.com</t>
        </r>
      </text>
    </comment>
    <comment ref="F1445" authorId="0" shapeId="0" xr:uid="{00000000-0006-0000-0000-000023090000}">
      <text>
        <r>
          <rPr>
            <sz val="10"/>
            <color rgb="FF000000"/>
            <rFont val="Arial"/>
            <scheme val="minor"/>
          </rPr>
          <t>Updated on 09-Sep-2025 02:11 PM by bpsdemak3321@gmail.com</t>
        </r>
      </text>
    </comment>
    <comment ref="G1445" authorId="0" shapeId="0" xr:uid="{00000000-0006-0000-0000-000024090000}">
      <text>
        <r>
          <rPr>
            <sz val="10"/>
            <color rgb="FF000000"/>
            <rFont val="Arial"/>
            <scheme val="minor"/>
          </rPr>
          <t>Updated on 09-Sep-2025 02:11 PM by bpsdemak3321@gmail.com</t>
        </r>
      </text>
    </comment>
    <comment ref="H1445" authorId="0" shapeId="0" xr:uid="{00000000-0006-0000-0000-000025090000}">
      <text>
        <r>
          <rPr>
            <sz val="10"/>
            <color rgb="FF000000"/>
            <rFont val="Arial"/>
            <scheme val="minor"/>
          </rPr>
          <t>Updated on 09-Sep-2025 02:11 PM by bpsdemak3321@gmail.com</t>
        </r>
      </text>
    </comment>
    <comment ref="F1446" authorId="0" shapeId="0" xr:uid="{00000000-0006-0000-0000-000026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G1446" authorId="0" shapeId="0" xr:uid="{00000000-0006-0000-0000-000027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H1446" authorId="0" shapeId="0" xr:uid="{00000000-0006-0000-0000-000028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F1447" authorId="0" shapeId="0" xr:uid="{00000000-0006-0000-0000-000029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G1447" authorId="0" shapeId="0" xr:uid="{00000000-0006-0000-0000-00002A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H1447" authorId="0" shapeId="0" xr:uid="{00000000-0006-0000-0000-00002B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F1448" authorId="0" shapeId="0" xr:uid="{00000000-0006-0000-0000-00002C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G1448" authorId="0" shapeId="0" xr:uid="{00000000-0006-0000-0000-00002D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H1448" authorId="0" shapeId="0" xr:uid="{00000000-0006-0000-0000-00002E090000}">
      <text>
        <r>
          <rPr>
            <sz val="10"/>
            <color rgb="FF000000"/>
            <rFont val="Arial"/>
            <scheme val="minor"/>
          </rPr>
          <t>Updated on 09-Sep-2025 02:13 PM by bpsdemak3321@gmail.com</t>
        </r>
      </text>
    </comment>
    <comment ref="F1449" authorId="0" shapeId="0" xr:uid="{00000000-0006-0000-0000-00002F090000}">
      <text>
        <r>
          <rPr>
            <sz val="10"/>
            <color rgb="FF000000"/>
            <rFont val="Arial"/>
            <scheme val="minor"/>
          </rPr>
          <t>Updated on 09-Sep-2025 02:58 PM by bpsdemak3321@gmail.com</t>
        </r>
      </text>
    </comment>
    <comment ref="G1449" authorId="0" shapeId="0" xr:uid="{00000000-0006-0000-0000-000030090000}">
      <text>
        <r>
          <rPr>
            <sz val="10"/>
            <color rgb="FF000000"/>
            <rFont val="Arial"/>
            <scheme val="minor"/>
          </rPr>
          <t>Updated on 09-Sep-2025 02:58 PM by bpsdemak3321@gmail.com</t>
        </r>
      </text>
    </comment>
    <comment ref="H1449" authorId="0" shapeId="0" xr:uid="{00000000-0006-0000-0000-000031090000}">
      <text>
        <r>
          <rPr>
            <sz val="10"/>
            <color rgb="FF000000"/>
            <rFont val="Arial"/>
            <scheme val="minor"/>
          </rPr>
          <t>Updated on 09-Sep-2025 02:58 PM by bpsdemak3321@gmail.com</t>
        </r>
      </text>
    </comment>
    <comment ref="F1450" authorId="0" shapeId="0" xr:uid="{00000000-0006-0000-0000-000032090000}">
      <text>
        <r>
          <rPr>
            <sz val="10"/>
            <color rgb="FF000000"/>
            <rFont val="Arial"/>
            <scheme val="minor"/>
          </rPr>
          <t>Updated on 10-Sep-2025 10:43 AM by bpsdemak3321@gmail.com</t>
        </r>
      </text>
    </comment>
    <comment ref="G1450" authorId="0" shapeId="0" xr:uid="{00000000-0006-0000-0000-000033090000}">
      <text>
        <r>
          <rPr>
            <sz val="10"/>
            <color rgb="FF000000"/>
            <rFont val="Arial"/>
            <scheme val="minor"/>
          </rPr>
          <t>Updated on 10-Sep-2025 10:43 AM by bpsdemak3321@gmail.com</t>
        </r>
      </text>
    </comment>
    <comment ref="H1450" authorId="0" shapeId="0" xr:uid="{00000000-0006-0000-0000-000034090000}">
      <text>
        <r>
          <rPr>
            <sz val="10"/>
            <color rgb="FF000000"/>
            <rFont val="Arial"/>
            <scheme val="minor"/>
          </rPr>
          <t>Updated on 10-Sep-2025 10:43 AM by bpsdemak3321@gmail.com</t>
        </r>
      </text>
    </comment>
    <comment ref="F1451" authorId="0" shapeId="0" xr:uid="{00000000-0006-0000-0000-000035090000}">
      <text>
        <r>
          <rPr>
            <sz val="10"/>
            <color rgb="FF000000"/>
            <rFont val="Arial"/>
            <scheme val="minor"/>
          </rPr>
          <t>Updated on 12-Sep-2025 09:56 AM by bpsdemak3321@gmail.com</t>
        </r>
      </text>
    </comment>
    <comment ref="G1451" authorId="0" shapeId="0" xr:uid="{00000000-0006-0000-0000-000036090000}">
      <text>
        <r>
          <rPr>
            <sz val="10"/>
            <color rgb="FF000000"/>
            <rFont val="Arial"/>
            <scheme val="minor"/>
          </rPr>
          <t>Updated on 12-Sep-2025 09:56 AM by bpsdemak3321@gmail.com</t>
        </r>
      </text>
    </comment>
    <comment ref="H1451" authorId="0" shapeId="0" xr:uid="{00000000-0006-0000-0000-000037090000}">
      <text>
        <r>
          <rPr>
            <sz val="10"/>
            <color rgb="FF000000"/>
            <rFont val="Arial"/>
            <scheme val="minor"/>
          </rPr>
          <t>Updated on 12-Sep-2025 09:56 AM by bpsdemak3321@gmail.com</t>
        </r>
      </text>
    </comment>
    <comment ref="F1452" authorId="0" shapeId="0" xr:uid="{00000000-0006-0000-0000-000038090000}">
      <text>
        <r>
          <rPr>
            <sz val="10"/>
            <color rgb="FF000000"/>
            <rFont val="Arial"/>
            <scheme val="minor"/>
          </rPr>
          <t>Updated on 12-Sep-2025 09:58 AM by bpsdemak3321@gmail.com</t>
        </r>
      </text>
    </comment>
    <comment ref="G1452" authorId="0" shapeId="0" xr:uid="{00000000-0006-0000-0000-000039090000}">
      <text>
        <r>
          <rPr>
            <sz val="10"/>
            <color rgb="FF000000"/>
            <rFont val="Arial"/>
            <scheme val="minor"/>
          </rPr>
          <t>Updated on 12-Sep-2025 09:58 AM by bpsdemak3321@gmail.com</t>
        </r>
      </text>
    </comment>
    <comment ref="H1452" authorId="0" shapeId="0" xr:uid="{00000000-0006-0000-0000-00003A090000}">
      <text>
        <r>
          <rPr>
            <sz val="10"/>
            <color rgb="FF000000"/>
            <rFont val="Arial"/>
            <scheme val="minor"/>
          </rPr>
          <t>Updated on 12-Sep-2025 09:58 AM by bpsdemak3321@gmail.com</t>
        </r>
      </text>
    </comment>
    <comment ref="F1453" authorId="0" shapeId="0" xr:uid="{00000000-0006-0000-0000-00003B090000}">
      <text>
        <r>
          <rPr>
            <sz val="10"/>
            <color rgb="FF000000"/>
            <rFont val="Arial"/>
            <scheme val="minor"/>
          </rPr>
          <t>Updated on 12-Sep-2025 03:34 PM by bpsdemak3321@gmail.com</t>
        </r>
      </text>
    </comment>
    <comment ref="G1453" authorId="0" shapeId="0" xr:uid="{00000000-0006-0000-0000-00003C090000}">
      <text>
        <r>
          <rPr>
            <sz val="10"/>
            <color rgb="FF000000"/>
            <rFont val="Arial"/>
            <scheme val="minor"/>
          </rPr>
          <t>Updated on 12-Sep-2025 03:34 PM by bpsdemak3321@gmail.com</t>
        </r>
      </text>
    </comment>
    <comment ref="H1453" authorId="0" shapeId="0" xr:uid="{00000000-0006-0000-0000-00003D090000}">
      <text>
        <r>
          <rPr>
            <sz val="10"/>
            <color rgb="FF000000"/>
            <rFont val="Arial"/>
            <scheme val="minor"/>
          </rPr>
          <t>Updated on 12-Sep-2025 03:34 PM by bpsdemak3321@gmail.com</t>
        </r>
      </text>
    </comment>
    <comment ref="F1454" authorId="0" shapeId="0" xr:uid="{00000000-0006-0000-0000-00003E090000}">
      <text>
        <r>
          <rPr>
            <sz val="10"/>
            <color rgb="FF000000"/>
            <rFont val="Arial"/>
            <scheme val="minor"/>
          </rPr>
          <t>Updated on 02-Oct-2025 07:03 AM by bpsdemak3321@gmail.com</t>
        </r>
      </text>
    </comment>
    <comment ref="G1454" authorId="0" shapeId="0" xr:uid="{00000000-0006-0000-0000-00003F090000}">
      <text>
        <r>
          <rPr>
            <sz val="10"/>
            <color rgb="FF000000"/>
            <rFont val="Arial"/>
            <scheme val="minor"/>
          </rPr>
          <t>Updated on 02-Oct-2025 07:03 AM by bpsdemak3321@gmail.com</t>
        </r>
      </text>
    </comment>
    <comment ref="H1454" authorId="0" shapeId="0" xr:uid="{00000000-0006-0000-0000-000040090000}">
      <text>
        <r>
          <rPr>
            <sz val="10"/>
            <color rgb="FF000000"/>
            <rFont val="Arial"/>
            <scheme val="minor"/>
          </rPr>
          <t>Updated on 02-Oct-2025 07:03 AM by bpsdemak3321@gmail.com</t>
        </r>
      </text>
    </comment>
    <comment ref="F1455" authorId="0" shapeId="0" xr:uid="{00000000-0006-0000-0000-000041090000}">
      <text>
        <r>
          <rPr>
            <sz val="10"/>
            <color rgb="FF000000"/>
            <rFont val="Arial"/>
            <scheme val="minor"/>
          </rPr>
          <t>Updated on 06-Oct-2025 04:45 PM by bpsdemak3321@gmail.com</t>
        </r>
      </text>
    </comment>
    <comment ref="G1455" authorId="0" shapeId="0" xr:uid="{00000000-0006-0000-0000-000042090000}">
      <text>
        <r>
          <rPr>
            <sz val="10"/>
            <color rgb="FF000000"/>
            <rFont val="Arial"/>
            <scheme val="minor"/>
          </rPr>
          <t>Updated on 06-Oct-2025 04:45 PM by bpsdemak3321@gmail.com</t>
        </r>
      </text>
    </comment>
    <comment ref="H1455" authorId="0" shapeId="0" xr:uid="{00000000-0006-0000-0000-000043090000}">
      <text>
        <r>
          <rPr>
            <sz val="10"/>
            <color rgb="FF000000"/>
            <rFont val="Arial"/>
            <scheme val="minor"/>
          </rPr>
          <t>Updated on 06-Oct-2025 04:45 PM by bpsdemak3321@gmail.com</t>
        </r>
      </text>
    </comment>
    <comment ref="F1456" authorId="0" shapeId="0" xr:uid="{00000000-0006-0000-0000-000044090000}">
      <text>
        <r>
          <rPr>
            <sz val="10"/>
            <color rgb="FF000000"/>
            <rFont val="Arial"/>
            <scheme val="minor"/>
          </rPr>
          <t>Updated on 07-Oct-2025 10:57 AM by bpsdemak3321@gmail.com</t>
        </r>
      </text>
    </comment>
    <comment ref="G1456" authorId="0" shapeId="0" xr:uid="{00000000-0006-0000-0000-000045090000}">
      <text>
        <r>
          <rPr>
            <sz val="10"/>
            <color rgb="FF000000"/>
            <rFont val="Arial"/>
            <scheme val="minor"/>
          </rPr>
          <t>Updated on 07-Oct-2025 10:57 AM by bpsdemak3321@gmail.com</t>
        </r>
      </text>
    </comment>
    <comment ref="H1456" authorId="0" shapeId="0" xr:uid="{00000000-0006-0000-0000-000046090000}">
      <text>
        <r>
          <rPr>
            <sz val="10"/>
            <color rgb="FF000000"/>
            <rFont val="Arial"/>
            <scheme val="minor"/>
          </rPr>
          <t>Updated on 07-Oct-2025 10:57 AM by bpsdemak3321@gmail.com</t>
        </r>
      </text>
    </comment>
    <comment ref="F1457" authorId="0" shapeId="0" xr:uid="{00000000-0006-0000-0000-000047090000}">
      <text>
        <r>
          <rPr>
            <sz val="10"/>
            <color rgb="FF000000"/>
            <rFont val="Arial"/>
            <scheme val="minor"/>
          </rPr>
          <t>Updated on 09-Oct-2025 03:16 PM by bpsdemak3321@gmail.com</t>
        </r>
      </text>
    </comment>
    <comment ref="G1457" authorId="0" shapeId="0" xr:uid="{00000000-0006-0000-0000-000048090000}">
      <text>
        <r>
          <rPr>
            <sz val="10"/>
            <color rgb="FF000000"/>
            <rFont val="Arial"/>
            <scheme val="minor"/>
          </rPr>
          <t>Updated on 09-Oct-2025 03:16 PM by bpsdemak3321@gmail.com</t>
        </r>
      </text>
    </comment>
    <comment ref="H1457" authorId="0" shapeId="0" xr:uid="{00000000-0006-0000-0000-000049090000}">
      <text>
        <r>
          <rPr>
            <sz val="10"/>
            <color rgb="FF000000"/>
            <rFont val="Arial"/>
            <scheme val="minor"/>
          </rPr>
          <t>Updated on 09-Oct-2025 03:16 PM by bpsdemak3321@gmail.com</t>
        </r>
      </text>
    </comment>
    <comment ref="F1458" authorId="0" shapeId="0" xr:uid="{00000000-0006-0000-0000-00004A090000}">
      <text>
        <r>
          <rPr>
            <sz val="10"/>
            <color rgb="FF000000"/>
            <rFont val="Arial"/>
            <scheme val="minor"/>
          </rPr>
          <t>Updated on 09-Oct-2025 03:18 PM by bpsdemak3321@gmail.com</t>
        </r>
      </text>
    </comment>
    <comment ref="G1458" authorId="0" shapeId="0" xr:uid="{00000000-0006-0000-0000-00004B090000}">
      <text>
        <r>
          <rPr>
            <sz val="10"/>
            <color rgb="FF000000"/>
            <rFont val="Arial"/>
            <scheme val="minor"/>
          </rPr>
          <t>Updated on 09-Oct-2025 03:18 PM by bpsdemak3321@gmail.com</t>
        </r>
      </text>
    </comment>
    <comment ref="H1458" authorId="0" shapeId="0" xr:uid="{00000000-0006-0000-0000-00004C090000}">
      <text>
        <r>
          <rPr>
            <sz val="10"/>
            <color rgb="FF000000"/>
            <rFont val="Arial"/>
            <scheme val="minor"/>
          </rPr>
          <t>Updated on 09-Oct-2025 03:18 PM by bpsdemak3321@gmail.com</t>
        </r>
      </text>
    </comment>
    <comment ref="F1459" authorId="0" shapeId="0" xr:uid="{00000000-0006-0000-0000-00004D090000}">
      <text>
        <r>
          <rPr>
            <sz val="10"/>
            <color rgb="FF000000"/>
            <rFont val="Arial"/>
            <scheme val="minor"/>
          </rPr>
          <t>Updated on 09-Oct-2025 03:26 PM by bpsdemak3321@gmail.com</t>
        </r>
      </text>
    </comment>
    <comment ref="G1459" authorId="0" shapeId="0" xr:uid="{00000000-0006-0000-0000-00004E090000}">
      <text>
        <r>
          <rPr>
            <sz val="10"/>
            <color rgb="FF000000"/>
            <rFont val="Arial"/>
            <scheme val="minor"/>
          </rPr>
          <t>Updated on 09-Oct-2025 03:26 PM by bpsdemak3321@gmail.com</t>
        </r>
      </text>
    </comment>
    <comment ref="H1459" authorId="0" shapeId="0" xr:uid="{00000000-0006-0000-0000-00004F090000}">
      <text>
        <r>
          <rPr>
            <sz val="10"/>
            <color rgb="FF000000"/>
            <rFont val="Arial"/>
            <scheme val="minor"/>
          </rPr>
          <t>Updated on 09-Oct-2025 03:26 PM by bpsdemak3321@gmail.com</t>
        </r>
      </text>
    </comment>
    <comment ref="F1460" authorId="0" shapeId="0" xr:uid="{00000000-0006-0000-0000-000050090000}">
      <text>
        <r>
          <rPr>
            <sz val="10"/>
            <color rgb="FF000000"/>
            <rFont val="Arial"/>
            <scheme val="minor"/>
          </rPr>
          <t>Updated on 09-Oct-2025 03:28 PM by bpsdemak3321@gmail.com</t>
        </r>
      </text>
    </comment>
    <comment ref="G1460" authorId="0" shapeId="0" xr:uid="{00000000-0006-0000-0000-000051090000}">
      <text>
        <r>
          <rPr>
            <sz val="10"/>
            <color rgb="FF000000"/>
            <rFont val="Arial"/>
            <scheme val="minor"/>
          </rPr>
          <t>Updated on 09-Oct-2025 03:28 PM by bpsdemak3321@gmail.com</t>
        </r>
      </text>
    </comment>
    <comment ref="H1460" authorId="0" shapeId="0" xr:uid="{00000000-0006-0000-0000-000052090000}">
      <text>
        <r>
          <rPr>
            <sz val="10"/>
            <color rgb="FF000000"/>
            <rFont val="Arial"/>
            <scheme val="minor"/>
          </rPr>
          <t>Updated on 09-Oct-2025 03:28 PM by bpsdemak3321@gmail.com</t>
        </r>
      </text>
    </comment>
    <comment ref="F1461" authorId="0" shapeId="0" xr:uid="{00000000-0006-0000-0000-000053090000}">
      <text>
        <r>
          <rPr>
            <sz val="10"/>
            <color rgb="FF000000"/>
            <rFont val="Arial"/>
            <scheme val="minor"/>
          </rPr>
          <t>Updated on 13-Oct-2025 08:57 AM by bpsdemak3321@gmail.com</t>
        </r>
      </text>
    </comment>
    <comment ref="G1461" authorId="0" shapeId="0" xr:uid="{00000000-0006-0000-0000-000054090000}">
      <text>
        <r>
          <rPr>
            <sz val="10"/>
            <color rgb="FF000000"/>
            <rFont val="Arial"/>
            <scheme val="minor"/>
          </rPr>
          <t>Updated on 13-Oct-2025 08:57 AM by bpsdemak3321@gmail.com</t>
        </r>
      </text>
    </comment>
    <comment ref="H1461" authorId="0" shapeId="0" xr:uid="{00000000-0006-0000-0000-000055090000}">
      <text>
        <r>
          <rPr>
            <sz val="10"/>
            <color rgb="FF000000"/>
            <rFont val="Arial"/>
            <scheme val="minor"/>
          </rPr>
          <t>Updated on 13-Oct-2025 08:57 AM by bpsdemak3321@gmail.com</t>
        </r>
      </text>
    </comment>
    <comment ref="F1462" authorId="0" shapeId="0" xr:uid="{00000000-0006-0000-0000-000056090000}">
      <text>
        <r>
          <rPr>
            <sz val="10"/>
            <color rgb="FF000000"/>
            <rFont val="Arial"/>
            <scheme val="minor"/>
          </rPr>
          <t>Updated on 14-Oct-2025 09:56 AM by bpsdemak3321@gmail.com</t>
        </r>
      </text>
    </comment>
    <comment ref="G1462" authorId="0" shapeId="0" xr:uid="{00000000-0006-0000-0000-000057090000}">
      <text>
        <r>
          <rPr>
            <sz val="10"/>
            <color rgb="FF000000"/>
            <rFont val="Arial"/>
            <scheme val="minor"/>
          </rPr>
          <t>Updated on 14-Oct-2025 09:56 AM by bpsdemak3321@gmail.com</t>
        </r>
      </text>
    </comment>
    <comment ref="H1462" authorId="0" shapeId="0" xr:uid="{00000000-0006-0000-0000-000058090000}">
      <text>
        <r>
          <rPr>
            <sz val="10"/>
            <color rgb="FF000000"/>
            <rFont val="Arial"/>
            <scheme val="minor"/>
          </rPr>
          <t>Updated on 14-Oct-2025 09:56 AM by bpsdemak3321@gmail.com</t>
        </r>
      </text>
    </comment>
    <comment ref="F1463" authorId="0" shapeId="0" xr:uid="{00000000-0006-0000-0000-000059090000}">
      <text>
        <r>
          <rPr>
            <sz val="10"/>
            <color rgb="FF000000"/>
            <rFont val="Arial"/>
            <scheme val="minor"/>
          </rPr>
          <t>Updated on 14-Oct-2025 11:04 AM by bpsdemak3321@gmail.com</t>
        </r>
      </text>
    </comment>
    <comment ref="G1463" authorId="0" shapeId="0" xr:uid="{00000000-0006-0000-0000-00005A090000}">
      <text>
        <r>
          <rPr>
            <sz val="10"/>
            <color rgb="FF000000"/>
            <rFont val="Arial"/>
            <scheme val="minor"/>
          </rPr>
          <t>Updated on 14-Oct-2025 11:04 AM by bpsdemak3321@gmail.com</t>
        </r>
      </text>
    </comment>
    <comment ref="H1463" authorId="0" shapeId="0" xr:uid="{00000000-0006-0000-0000-00005B090000}">
      <text>
        <r>
          <rPr>
            <sz val="10"/>
            <color rgb="FF000000"/>
            <rFont val="Arial"/>
            <scheme val="minor"/>
          </rPr>
          <t>Updated on 14-Oct-2025 11:04 AM by bpsdemak3321@gmail.com</t>
        </r>
      </text>
    </comment>
    <comment ref="F1464" authorId="0" shapeId="0" xr:uid="{00000000-0006-0000-0000-00005C090000}">
      <text>
        <r>
          <rPr>
            <sz val="10"/>
            <color rgb="FF000000"/>
            <rFont val="Arial"/>
            <scheme val="minor"/>
          </rPr>
          <t>Updated on 14-Oct-2025 11:04 AM by bpsdemak3321@gmail.com</t>
        </r>
      </text>
    </comment>
    <comment ref="G1464" authorId="0" shapeId="0" xr:uid="{00000000-0006-0000-0000-00005D090000}">
      <text>
        <r>
          <rPr>
            <sz val="10"/>
            <color rgb="FF000000"/>
            <rFont val="Arial"/>
            <scheme val="minor"/>
          </rPr>
          <t>Updated on 14-Oct-2025 11:04 AM by bpsdemak3321@gmail.com</t>
        </r>
      </text>
    </comment>
    <comment ref="H1464" authorId="0" shapeId="0" xr:uid="{00000000-0006-0000-0000-00005E090000}">
      <text>
        <r>
          <rPr>
            <sz val="10"/>
            <color rgb="FF000000"/>
            <rFont val="Arial"/>
            <scheme val="minor"/>
          </rPr>
          <t>Updated on 14-Oct-2025 11:04 AM by bpsdemak3321@gmail.com</t>
        </r>
      </text>
    </comment>
    <comment ref="F1465" authorId="0" shapeId="0" xr:uid="{00000000-0006-0000-0000-00005F090000}">
      <text>
        <r>
          <rPr>
            <sz val="10"/>
            <color rgb="FF000000"/>
            <rFont val="Arial"/>
            <scheme val="minor"/>
          </rPr>
          <t>Updated on 14-Oct-2025 11:05 AM by bpsdemak3321@gmail.com</t>
        </r>
      </text>
    </comment>
    <comment ref="G1465" authorId="0" shapeId="0" xr:uid="{00000000-0006-0000-0000-000060090000}">
      <text>
        <r>
          <rPr>
            <sz val="10"/>
            <color rgb="FF000000"/>
            <rFont val="Arial"/>
            <scheme val="minor"/>
          </rPr>
          <t>Updated on 14-Oct-2025 11:05 AM by bpsdemak3321@gmail.com</t>
        </r>
      </text>
    </comment>
    <comment ref="H1465" authorId="0" shapeId="0" xr:uid="{00000000-0006-0000-0000-000061090000}">
      <text>
        <r>
          <rPr>
            <sz val="10"/>
            <color rgb="FF000000"/>
            <rFont val="Arial"/>
            <scheme val="minor"/>
          </rPr>
          <t>Updated on 14-Oct-2025 11:05 AM by bpsdemak3321@gmail.com</t>
        </r>
      </text>
    </comment>
    <comment ref="F1466" authorId="0" shapeId="0" xr:uid="{00000000-0006-0000-0000-000062090000}">
      <text>
        <r>
          <rPr>
            <sz val="10"/>
            <color rgb="FF000000"/>
            <rFont val="Arial"/>
            <scheme val="minor"/>
          </rPr>
          <t>Updated on 15-Oct-2025 08:45 AM by bpsdemak3321@gmail.com</t>
        </r>
      </text>
    </comment>
    <comment ref="G1466" authorId="0" shapeId="0" xr:uid="{00000000-0006-0000-0000-000063090000}">
      <text>
        <r>
          <rPr>
            <sz val="10"/>
            <color rgb="FF000000"/>
            <rFont val="Arial"/>
            <scheme val="minor"/>
          </rPr>
          <t>Updated on 15-Oct-2025 08:44 AM by bpsdemak3321@gmail.com</t>
        </r>
      </text>
    </comment>
    <comment ref="H1466" authorId="0" shapeId="0" xr:uid="{00000000-0006-0000-0000-000064090000}">
      <text>
        <r>
          <rPr>
            <sz val="10"/>
            <color rgb="FF000000"/>
            <rFont val="Arial"/>
            <scheme val="minor"/>
          </rPr>
          <t>Updated on 15-Oct-2025 08:44 AM by bpsdemak3321@gmail.com</t>
        </r>
      </text>
    </comment>
    <comment ref="F1467" authorId="0" shapeId="0" xr:uid="{00000000-0006-0000-0000-000065090000}">
      <text>
        <r>
          <rPr>
            <sz val="10"/>
            <color rgb="FF000000"/>
            <rFont val="Arial"/>
            <scheme val="minor"/>
          </rPr>
          <t>Updated on 15-Oct-2025 03:48 PM by bpsdemak3321@gmail.com</t>
        </r>
      </text>
    </comment>
    <comment ref="G1467" authorId="0" shapeId="0" xr:uid="{00000000-0006-0000-0000-000066090000}">
      <text>
        <r>
          <rPr>
            <sz val="10"/>
            <color rgb="FF000000"/>
            <rFont val="Arial"/>
            <scheme val="minor"/>
          </rPr>
          <t>Updated on 15-Oct-2025 03:48 PM by bpsdemak3321@gmail.com</t>
        </r>
      </text>
    </comment>
    <comment ref="H1467" authorId="0" shapeId="0" xr:uid="{00000000-0006-0000-0000-000067090000}">
      <text>
        <r>
          <rPr>
            <sz val="10"/>
            <color rgb="FF000000"/>
            <rFont val="Arial"/>
            <scheme val="minor"/>
          </rPr>
          <t>Updated on 15-Oct-2025 03:48 PM by bpsdemak3321@gmail.com</t>
        </r>
      </text>
    </comment>
    <comment ref="F1468" authorId="0" shapeId="0" xr:uid="{00000000-0006-0000-0000-000068090000}">
      <text>
        <r>
          <rPr>
            <sz val="10"/>
            <color rgb="FF000000"/>
            <rFont val="Arial"/>
            <scheme val="minor"/>
          </rPr>
          <t>Updated on 16-Oct-2025 09:20 AM by bpsdemak3321@gmail.com</t>
        </r>
      </text>
    </comment>
    <comment ref="G1468" authorId="0" shapeId="0" xr:uid="{00000000-0006-0000-0000-000069090000}">
      <text>
        <r>
          <rPr>
            <sz val="10"/>
            <color rgb="FF000000"/>
            <rFont val="Arial"/>
            <scheme val="minor"/>
          </rPr>
          <t>Updated on 16-Oct-2025 09:20 AM by bpsdemak3321@gmail.com</t>
        </r>
      </text>
    </comment>
    <comment ref="H1468" authorId="0" shapeId="0" xr:uid="{00000000-0006-0000-0000-00006A090000}">
      <text>
        <r>
          <rPr>
            <sz val="10"/>
            <color rgb="FF000000"/>
            <rFont val="Arial"/>
            <scheme val="minor"/>
          </rPr>
          <t>Updated on 16-Oct-2025 09:20 AM by bpsdemak3321@gmail.com</t>
        </r>
      </text>
    </comment>
    <comment ref="F1469" authorId="0" shapeId="0" xr:uid="{00000000-0006-0000-0000-00006B090000}">
      <text>
        <r>
          <rPr>
            <sz val="10"/>
            <color rgb="FF000000"/>
            <rFont val="Arial"/>
            <scheme val="minor"/>
          </rPr>
          <t>Updated on 24-Oct-2025 08:39 AM by bpsdemak3321@gmail.com</t>
        </r>
      </text>
    </comment>
    <comment ref="G1469" authorId="0" shapeId="0" xr:uid="{00000000-0006-0000-0000-00006C090000}">
      <text>
        <r>
          <rPr>
            <sz val="10"/>
            <color rgb="FF000000"/>
            <rFont val="Arial"/>
            <scheme val="minor"/>
          </rPr>
          <t>Updated on 24-Oct-2025 08:39 AM by bpsdemak3321@gmail.com</t>
        </r>
      </text>
    </comment>
    <comment ref="H1469" authorId="0" shapeId="0" xr:uid="{00000000-0006-0000-0000-00006D090000}">
      <text>
        <r>
          <rPr>
            <sz val="10"/>
            <color rgb="FF000000"/>
            <rFont val="Arial"/>
            <scheme val="minor"/>
          </rPr>
          <t>Updated on 24-Oct-2025 08:39 AM by bpsdemak3321@gmail.com</t>
        </r>
      </text>
    </comment>
    <comment ref="F1470" authorId="0" shapeId="0" xr:uid="{00000000-0006-0000-0000-00006E090000}">
      <text>
        <r>
          <rPr>
            <sz val="10"/>
            <color rgb="FF000000"/>
            <rFont val="Arial"/>
            <scheme val="minor"/>
          </rPr>
          <t>Updated on 24-Oct-2025 08:39 AM by bpsdemak3321@gmail.com</t>
        </r>
      </text>
    </comment>
    <comment ref="G1470" authorId="0" shapeId="0" xr:uid="{00000000-0006-0000-0000-00006F090000}">
      <text>
        <r>
          <rPr>
            <sz val="10"/>
            <color rgb="FF000000"/>
            <rFont val="Arial"/>
            <scheme val="minor"/>
          </rPr>
          <t>Updated on 24-Oct-2025 08:39 AM by bpsdemak3321@gmail.com</t>
        </r>
      </text>
    </comment>
    <comment ref="H1470" authorId="0" shapeId="0" xr:uid="{00000000-0006-0000-0000-000070090000}">
      <text>
        <r>
          <rPr>
            <sz val="10"/>
            <color rgb="FF000000"/>
            <rFont val="Arial"/>
            <scheme val="minor"/>
          </rPr>
          <t>Updated on 24-Oct-2025 08:39 AM by bpsdemak3321@gmail.com</t>
        </r>
      </text>
    </comment>
    <comment ref="F1471" authorId="0" shapeId="0" xr:uid="{00000000-0006-0000-0000-000071090000}">
      <text>
        <r>
          <rPr>
            <sz val="10"/>
            <color rgb="FF000000"/>
            <rFont val="Arial"/>
            <scheme val="minor"/>
          </rPr>
          <t>Updated on 03-Nov-2025 09:24 AM by bpsdemak3321@gmail.com</t>
        </r>
      </text>
    </comment>
    <comment ref="G1471" authorId="0" shapeId="0" xr:uid="{00000000-0006-0000-0000-000072090000}">
      <text>
        <r>
          <rPr>
            <sz val="10"/>
            <color rgb="FF000000"/>
            <rFont val="Arial"/>
            <scheme val="minor"/>
          </rPr>
          <t>Updated on 03-Nov-2025 09:24 AM by bpsdemak3321@gmail.com</t>
        </r>
      </text>
    </comment>
    <comment ref="H1471" authorId="0" shapeId="0" xr:uid="{00000000-0006-0000-0000-000073090000}">
      <text>
        <r>
          <rPr>
            <sz val="10"/>
            <color rgb="FF000000"/>
            <rFont val="Arial"/>
            <scheme val="minor"/>
          </rPr>
          <t>Updated on 03-Nov-2025 09:24 AM by bpsdemak3321@gmail.com</t>
        </r>
      </text>
    </comment>
    <comment ref="F1472" authorId="0" shapeId="0" xr:uid="{00000000-0006-0000-0000-000074090000}">
      <text>
        <r>
          <rPr>
            <sz val="10"/>
            <color rgb="FF000000"/>
            <rFont val="Arial"/>
            <scheme val="minor"/>
          </rPr>
          <t>Updated on 03-Nov-2025 09:24 AM by bpsdemak3321@gmail.com</t>
        </r>
      </text>
    </comment>
    <comment ref="G1472" authorId="0" shapeId="0" xr:uid="{00000000-0006-0000-0000-000075090000}">
      <text>
        <r>
          <rPr>
            <sz val="10"/>
            <color rgb="FF000000"/>
            <rFont val="Arial"/>
            <scheme val="minor"/>
          </rPr>
          <t>Updated on 03-Nov-2025 09:24 AM by bpsdemak3321@gmail.com</t>
        </r>
      </text>
    </comment>
    <comment ref="H1472" authorId="0" shapeId="0" xr:uid="{00000000-0006-0000-0000-000076090000}">
      <text>
        <r>
          <rPr>
            <sz val="10"/>
            <color rgb="FF000000"/>
            <rFont val="Arial"/>
            <scheme val="minor"/>
          </rPr>
          <t>Updated on 03-Nov-2025 09:24 AM by bpsdemak3321@gmail.com</t>
        </r>
      </text>
    </comment>
    <comment ref="F1473" authorId="0" shapeId="0" xr:uid="{00000000-0006-0000-0000-000077090000}">
      <text>
        <r>
          <rPr>
            <sz val="10"/>
            <color rgb="FF000000"/>
            <rFont val="Arial"/>
            <scheme val="minor"/>
          </rPr>
          <t>Updated on 01-Dec-2025 09:47 AM by bpsdemak3321@gmail.com</t>
        </r>
      </text>
    </comment>
    <comment ref="G1473" authorId="0" shapeId="0" xr:uid="{00000000-0006-0000-0000-000078090000}">
      <text>
        <r>
          <rPr>
            <sz val="10"/>
            <color rgb="FF000000"/>
            <rFont val="Arial"/>
            <scheme val="minor"/>
          </rPr>
          <t>Updated on 01-Dec-2025 09:47 AM by bpsdemak3321@gmail.com</t>
        </r>
      </text>
    </comment>
    <comment ref="H1473" authorId="0" shapeId="0" xr:uid="{00000000-0006-0000-0000-000079090000}">
      <text>
        <r>
          <rPr>
            <sz val="10"/>
            <color rgb="FF000000"/>
            <rFont val="Arial"/>
            <scheme val="minor"/>
          </rPr>
          <t>Updated on 01-Dec-2025 09:47 AM by bpsdemak3321@gmail.com</t>
        </r>
      </text>
    </comment>
    <comment ref="F1474" authorId="0" shapeId="0" xr:uid="{00000000-0006-0000-0000-00007A090000}">
      <text>
        <r>
          <rPr>
            <sz val="10"/>
            <color rgb="FF000000"/>
            <rFont val="Arial"/>
            <scheme val="minor"/>
          </rPr>
          <t>Updated on 01-Dec-2025 09:49 AM by bpsdemak3321@gmail.com</t>
        </r>
      </text>
    </comment>
    <comment ref="G1474" authorId="0" shapeId="0" xr:uid="{00000000-0006-0000-0000-00007B090000}">
      <text>
        <r>
          <rPr>
            <sz val="10"/>
            <color rgb="FF000000"/>
            <rFont val="Arial"/>
            <scheme val="minor"/>
          </rPr>
          <t>Updated on 01-Dec-2025 09:49 AM by bpsdemak3321@gmail.com</t>
        </r>
      </text>
    </comment>
    <comment ref="H1474" authorId="0" shapeId="0" xr:uid="{00000000-0006-0000-0000-00007C090000}">
      <text>
        <r>
          <rPr>
            <sz val="10"/>
            <color rgb="FF000000"/>
            <rFont val="Arial"/>
            <scheme val="minor"/>
          </rPr>
          <t>Updated on 01-Dec-2025 09:49 AM by bpsdemak3321@gmail.com</t>
        </r>
      </text>
    </comment>
    <comment ref="F1475" authorId="0" shapeId="0" xr:uid="{00000000-0006-0000-0000-00007D090000}">
      <text>
        <r>
          <rPr>
            <sz val="10"/>
            <color rgb="FF000000"/>
            <rFont val="Arial"/>
            <scheme val="minor"/>
          </rPr>
          <t>Updated on 01-Dec-2025 09:54 AM by bpsdemak3321@gmail.com</t>
        </r>
      </text>
    </comment>
    <comment ref="G1475" authorId="0" shapeId="0" xr:uid="{00000000-0006-0000-0000-00007E090000}">
      <text>
        <r>
          <rPr>
            <sz val="10"/>
            <color rgb="FF000000"/>
            <rFont val="Arial"/>
            <scheme val="minor"/>
          </rPr>
          <t>Updated on 01-Dec-2025 09:54 AM by bpsdemak3321@gmail.com</t>
        </r>
      </text>
    </comment>
    <comment ref="H1475" authorId="0" shapeId="0" xr:uid="{00000000-0006-0000-0000-00007F090000}">
      <text>
        <r>
          <rPr>
            <sz val="10"/>
            <color rgb="FF000000"/>
            <rFont val="Arial"/>
            <scheme val="minor"/>
          </rPr>
          <t>Updated on 01-Dec-2025 09:54 AM by bpsdemak3321@gmail.com</t>
        </r>
      </text>
    </comment>
    <comment ref="F1476" authorId="0" shapeId="0" xr:uid="{00000000-0006-0000-0000-000080090000}">
      <text>
        <r>
          <rPr>
            <sz val="10"/>
            <color rgb="FF000000"/>
            <rFont val="Arial"/>
            <scheme val="minor"/>
          </rPr>
          <t>Updated on 01-Dec-2025 01:05 PM by bpsdemak3321@gmail.com</t>
        </r>
      </text>
    </comment>
    <comment ref="G1476" authorId="0" shapeId="0" xr:uid="{00000000-0006-0000-0000-000081090000}">
      <text>
        <r>
          <rPr>
            <sz val="10"/>
            <color rgb="FF000000"/>
            <rFont val="Arial"/>
            <scheme val="minor"/>
          </rPr>
          <t>Updated on 01-Dec-2025 01:05 PM by bpsdemak3321@gmail.com</t>
        </r>
      </text>
    </comment>
    <comment ref="H1476" authorId="0" shapeId="0" xr:uid="{00000000-0006-0000-0000-000082090000}">
      <text>
        <r>
          <rPr>
            <sz val="10"/>
            <color rgb="FF000000"/>
            <rFont val="Arial"/>
            <scheme val="minor"/>
          </rPr>
          <t>Updated on 01-Dec-2025 01:05 PM by bpsdemak3321@gmail.com</t>
        </r>
      </text>
    </comment>
    <comment ref="F1477" authorId="0" shapeId="0" xr:uid="{00000000-0006-0000-0000-000083090000}">
      <text>
        <r>
          <rPr>
            <sz val="10"/>
            <color rgb="FF000000"/>
            <rFont val="Arial"/>
            <scheme val="minor"/>
          </rPr>
          <t>Updated on 04-Dec-2025 01:40 PM by bpsdemak3321@gmail.com</t>
        </r>
      </text>
    </comment>
    <comment ref="G1477" authorId="0" shapeId="0" xr:uid="{00000000-0006-0000-0000-000084090000}">
      <text>
        <r>
          <rPr>
            <sz val="10"/>
            <color rgb="FF000000"/>
            <rFont val="Arial"/>
            <scheme val="minor"/>
          </rPr>
          <t>Updated on 04-Dec-2025 01:40 PM by bpsdemak3321@gmail.com</t>
        </r>
      </text>
    </comment>
    <comment ref="H1477" authorId="0" shapeId="0" xr:uid="{00000000-0006-0000-0000-000085090000}">
      <text>
        <r>
          <rPr>
            <sz val="10"/>
            <color rgb="FF000000"/>
            <rFont val="Arial"/>
            <scheme val="minor"/>
          </rPr>
          <t>Updated on 04-Dec-2025 01:40 PM by bpsdemak3321@gmail.com</t>
        </r>
      </text>
    </comment>
    <comment ref="F1478" authorId="0" shapeId="0" xr:uid="{00000000-0006-0000-0000-000086090000}">
      <text>
        <r>
          <rPr>
            <sz val="10"/>
            <color rgb="FF000000"/>
            <rFont val="Arial"/>
            <scheme val="minor"/>
          </rPr>
          <t>Updated on 04-Dec-2025 01:41 PM by bpsdemak3321@gmail.com</t>
        </r>
      </text>
    </comment>
    <comment ref="G1478" authorId="0" shapeId="0" xr:uid="{00000000-0006-0000-0000-000087090000}">
      <text>
        <r>
          <rPr>
            <sz val="10"/>
            <color rgb="FF000000"/>
            <rFont val="Arial"/>
            <scheme val="minor"/>
          </rPr>
          <t>Updated on 04-Dec-2025 01:41 PM by bpsdemak3321@gmail.com</t>
        </r>
      </text>
    </comment>
    <comment ref="H1478" authorId="0" shapeId="0" xr:uid="{00000000-0006-0000-0000-000088090000}">
      <text>
        <r>
          <rPr>
            <sz val="10"/>
            <color rgb="FF000000"/>
            <rFont val="Arial"/>
            <scheme val="minor"/>
          </rPr>
          <t>Updated on 04-Dec-2025 01:41 PM by bpsdemak3321@gmail.com</t>
        </r>
      </text>
    </comment>
    <comment ref="F1479" authorId="0" shapeId="0" xr:uid="{00000000-0006-0000-0000-000089090000}">
      <text>
        <r>
          <rPr>
            <sz val="10"/>
            <color rgb="FF000000"/>
            <rFont val="Arial"/>
            <scheme val="minor"/>
          </rPr>
          <t>Updated on 04-Dec-2025 01:43 PM by bpsdemak3321@gmail.com</t>
        </r>
      </text>
    </comment>
    <comment ref="G1479" authorId="0" shapeId="0" xr:uid="{00000000-0006-0000-0000-00008A090000}">
      <text>
        <r>
          <rPr>
            <sz val="10"/>
            <color rgb="FF000000"/>
            <rFont val="Arial"/>
            <scheme val="minor"/>
          </rPr>
          <t>Updated on 04-Dec-2025 01:43 PM by bpsdemak3321@gmail.com</t>
        </r>
      </text>
    </comment>
    <comment ref="H1479" authorId="0" shapeId="0" xr:uid="{00000000-0006-0000-0000-00008B090000}">
      <text>
        <r>
          <rPr>
            <sz val="10"/>
            <color rgb="FF000000"/>
            <rFont val="Arial"/>
            <scheme val="minor"/>
          </rPr>
          <t>Updated on 04-Dec-2025 01:43 PM by bpsdemak3321@gmail.com</t>
        </r>
      </text>
    </comment>
    <comment ref="F1480" authorId="0" shapeId="0" xr:uid="{00000000-0006-0000-0000-00008C090000}">
      <text>
        <r>
          <rPr>
            <sz val="10"/>
            <color rgb="FF000000"/>
            <rFont val="Arial"/>
            <scheme val="minor"/>
          </rPr>
          <t>Updated on 14-Jan-2026 08:18 AM by bpsdemak3321@gmail.com</t>
        </r>
      </text>
    </comment>
    <comment ref="G1480" authorId="0" shapeId="0" xr:uid="{00000000-0006-0000-0000-00008D090000}">
      <text>
        <r>
          <rPr>
            <sz val="10"/>
            <color rgb="FF000000"/>
            <rFont val="Arial"/>
            <scheme val="minor"/>
          </rPr>
          <t>Updated on 14-Jan-2026 08:18 AM by bpsdemak3321@gmail.com</t>
        </r>
      </text>
    </comment>
    <comment ref="H1480" authorId="0" shapeId="0" xr:uid="{00000000-0006-0000-0000-00008E090000}">
      <text>
        <r>
          <rPr>
            <sz val="10"/>
            <color rgb="FF000000"/>
            <rFont val="Arial"/>
            <scheme val="minor"/>
          </rPr>
          <t>Updated on 14-Jan-2026 08:18 AM by bpsdemak3321@gmail.com</t>
        </r>
      </text>
    </comment>
    <comment ref="F1481" authorId="0" shapeId="0" xr:uid="{00000000-0006-0000-0000-00008F090000}">
      <text>
        <r>
          <rPr>
            <sz val="10"/>
            <color rgb="FF000000"/>
            <rFont val="Arial"/>
            <scheme val="minor"/>
          </rPr>
          <t>Updated on 14-Jan-2026 08:22 AM by bpsdemak3321@gmail.com</t>
        </r>
      </text>
    </comment>
    <comment ref="G1481" authorId="0" shapeId="0" xr:uid="{00000000-0006-0000-0000-000090090000}">
      <text>
        <r>
          <rPr>
            <sz val="10"/>
            <color rgb="FF000000"/>
            <rFont val="Arial"/>
            <scheme val="minor"/>
          </rPr>
          <t>Updated on 14-Jan-2026 08:22 AM by bpsdemak3321@gmail.com</t>
        </r>
      </text>
    </comment>
    <comment ref="H1481" authorId="0" shapeId="0" xr:uid="{00000000-0006-0000-0000-000091090000}">
      <text>
        <r>
          <rPr>
            <sz val="10"/>
            <color rgb="FF000000"/>
            <rFont val="Arial"/>
            <scheme val="minor"/>
          </rPr>
          <t>Updated on 14-Jan-2026 08:22 AM by bpsdemak3321@gmail.com</t>
        </r>
      </text>
    </comment>
    <comment ref="F1482" authorId="0" shapeId="0" xr:uid="{00000000-0006-0000-0000-000092090000}">
      <text>
        <r>
          <rPr>
            <sz val="10"/>
            <color rgb="FF000000"/>
            <rFont val="Arial"/>
            <scheme val="minor"/>
          </rPr>
          <t>Updated on 14-Jan-2026 10:52 AM by bpsdemak3321@gmail.com</t>
        </r>
      </text>
    </comment>
    <comment ref="G1482" authorId="0" shapeId="0" xr:uid="{00000000-0006-0000-0000-000093090000}">
      <text>
        <r>
          <rPr>
            <sz val="10"/>
            <color rgb="FF000000"/>
            <rFont val="Arial"/>
            <scheme val="minor"/>
          </rPr>
          <t>Updated on 14-Jan-2026 10:52 AM by bpsdemak3321@gmail.com</t>
        </r>
      </text>
    </comment>
    <comment ref="H1482" authorId="0" shapeId="0" xr:uid="{00000000-0006-0000-0000-000094090000}">
      <text>
        <r>
          <rPr>
            <sz val="10"/>
            <color rgb="FF000000"/>
            <rFont val="Arial"/>
            <scheme val="minor"/>
          </rPr>
          <t>Updated on 14-Jan-2026 10:52 AM by bpsdemak3321@gmail.com</t>
        </r>
      </text>
    </comment>
    <comment ref="F1483" authorId="0" shapeId="0" xr:uid="{00000000-0006-0000-0000-000095090000}">
      <text>
        <r>
          <rPr>
            <sz val="10"/>
            <color rgb="FF000000"/>
            <rFont val="Arial"/>
            <scheme val="minor"/>
          </rPr>
          <t>Updated on 14-Jan-2026 10:52 AM by bpsdemak3321@gmail.com</t>
        </r>
      </text>
    </comment>
    <comment ref="G1483" authorId="0" shapeId="0" xr:uid="{00000000-0006-0000-0000-000096090000}">
      <text>
        <r>
          <rPr>
            <sz val="10"/>
            <color rgb="FF000000"/>
            <rFont val="Arial"/>
            <scheme val="minor"/>
          </rPr>
          <t>Updated on 14-Jan-2026 10:52 AM by bpsdemak3321@gmail.com</t>
        </r>
      </text>
    </comment>
    <comment ref="H1483" authorId="0" shapeId="0" xr:uid="{00000000-0006-0000-0000-000097090000}">
      <text>
        <r>
          <rPr>
            <sz val="10"/>
            <color rgb="FF000000"/>
            <rFont val="Arial"/>
            <scheme val="minor"/>
          </rPr>
          <t>Updated on 14-Jan-2026 10:52 AM by bpsdemak3321@gmail.com</t>
        </r>
      </text>
    </comment>
    <comment ref="F1484" authorId="0" shapeId="0" xr:uid="{00000000-0006-0000-0000-000098090000}">
      <text>
        <r>
          <rPr>
            <sz val="10"/>
            <color rgb="FF000000"/>
            <rFont val="Arial"/>
            <scheme val="minor"/>
          </rPr>
          <t>Updated on 14-Jan-2026 10:53 AM by bpsdemak3321@gmail.com</t>
        </r>
      </text>
    </comment>
    <comment ref="G1484" authorId="0" shapeId="0" xr:uid="{00000000-0006-0000-0000-000099090000}">
      <text>
        <r>
          <rPr>
            <sz val="10"/>
            <color rgb="FF000000"/>
            <rFont val="Arial"/>
            <scheme val="minor"/>
          </rPr>
          <t>Updated on 14-Jan-2026 10:53 AM by bpsdemak3321@gmail.com</t>
        </r>
      </text>
    </comment>
    <comment ref="H1484" authorId="0" shapeId="0" xr:uid="{00000000-0006-0000-0000-00009A090000}">
      <text>
        <r>
          <rPr>
            <sz val="10"/>
            <color rgb="FF000000"/>
            <rFont val="Arial"/>
            <scheme val="minor"/>
          </rPr>
          <t>Updated on 14-Jan-2026 10:53 AM by bpsdemak3321@gmail.com</t>
        </r>
      </text>
    </comment>
    <comment ref="F1485" authorId="0" shapeId="0" xr:uid="{00000000-0006-0000-0000-00009B090000}">
      <text>
        <r>
          <rPr>
            <sz val="10"/>
            <color rgb="FF000000"/>
            <rFont val="Arial"/>
            <scheme val="minor"/>
          </rPr>
          <t>Updated on 14-Jan-2026 12:33 PM by bpsdemak3321@gmail.com</t>
        </r>
      </text>
    </comment>
    <comment ref="G1485" authorId="0" shapeId="0" xr:uid="{00000000-0006-0000-0000-00009C090000}">
      <text>
        <r>
          <rPr>
            <sz val="10"/>
            <color rgb="FF000000"/>
            <rFont val="Arial"/>
            <scheme val="minor"/>
          </rPr>
          <t>Updated on 14-Jan-2026 12:33 PM by bpsdemak3321@gmail.com</t>
        </r>
      </text>
    </comment>
    <comment ref="H1485" authorId="0" shapeId="0" xr:uid="{00000000-0006-0000-0000-00009D090000}">
      <text>
        <r>
          <rPr>
            <sz val="10"/>
            <color rgb="FF000000"/>
            <rFont val="Arial"/>
            <scheme val="minor"/>
          </rPr>
          <t>Updated on 14-Jan-2026 12:33 PM by bpsdemak3321@gmail.com</t>
        </r>
      </text>
    </comment>
    <comment ref="F1486" authorId="0" shapeId="0" xr:uid="{00000000-0006-0000-0000-00009E090000}">
      <text>
        <r>
          <rPr>
            <sz val="10"/>
            <color rgb="FF000000"/>
            <rFont val="Arial"/>
            <scheme val="minor"/>
          </rPr>
          <t>Updated on 14-Jan-2026 03:12 PM by bpsdemak3321@gmail.com</t>
        </r>
      </text>
    </comment>
    <comment ref="G1486" authorId="0" shapeId="0" xr:uid="{00000000-0006-0000-0000-00009F090000}">
      <text>
        <r>
          <rPr>
            <sz val="10"/>
            <color rgb="FF000000"/>
            <rFont val="Arial"/>
            <scheme val="minor"/>
          </rPr>
          <t>Updated on 14-Jan-2026 03:12 PM by bpsdemak3321@gmail.com</t>
        </r>
      </text>
    </comment>
    <comment ref="H1486" authorId="0" shapeId="0" xr:uid="{00000000-0006-0000-0000-0000A0090000}">
      <text>
        <r>
          <rPr>
            <sz val="10"/>
            <color rgb="FF000000"/>
            <rFont val="Arial"/>
            <scheme val="minor"/>
          </rPr>
          <t>Updated on 14-Jan-2026 03:12 PM by bpsdemak3321@gmail.com</t>
        </r>
      </text>
    </comment>
    <comment ref="F1487" authorId="0" shapeId="0" xr:uid="{00000000-0006-0000-0000-0000A1090000}">
      <text>
        <r>
          <rPr>
            <sz val="10"/>
            <color rgb="FF000000"/>
            <rFont val="Arial"/>
            <scheme val="minor"/>
          </rPr>
          <t>Updated on 14-Jan-2026 03:13 PM by bpsdemak3321@gmail.com</t>
        </r>
      </text>
    </comment>
    <comment ref="G1487" authorId="0" shapeId="0" xr:uid="{00000000-0006-0000-0000-0000A2090000}">
      <text>
        <r>
          <rPr>
            <sz val="10"/>
            <color rgb="FF000000"/>
            <rFont val="Arial"/>
            <scheme val="minor"/>
          </rPr>
          <t>Updated on 14-Jan-2026 03:13 PM by bpsdemak3321@gmail.com</t>
        </r>
      </text>
    </comment>
    <comment ref="H1487" authorId="0" shapeId="0" xr:uid="{00000000-0006-0000-0000-0000A3090000}">
      <text>
        <r>
          <rPr>
            <sz val="10"/>
            <color rgb="FF000000"/>
            <rFont val="Arial"/>
            <scheme val="minor"/>
          </rPr>
          <t>Updated on 14-Jan-2026 03:13 PM by bpsdemak3321@gmail.com</t>
        </r>
      </text>
    </comment>
    <comment ref="F1488" authorId="0" shapeId="0" xr:uid="{00000000-0006-0000-0000-0000A4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G1488" authorId="0" shapeId="0" xr:uid="{00000000-0006-0000-0000-0000A5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H1488" authorId="0" shapeId="0" xr:uid="{00000000-0006-0000-0000-0000A6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F1489" authorId="0" shapeId="0" xr:uid="{00000000-0006-0000-0000-0000A7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G1489" authorId="0" shapeId="0" xr:uid="{00000000-0006-0000-0000-0000A8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H1489" authorId="0" shapeId="0" xr:uid="{00000000-0006-0000-0000-0000A9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F1490" authorId="0" shapeId="0" xr:uid="{00000000-0006-0000-0000-0000AA090000}">
      <text>
        <r>
          <rPr>
            <sz val="10"/>
            <color rgb="FF000000"/>
            <rFont val="Arial"/>
            <scheme val="minor"/>
          </rPr>
          <t>Updated on 14-Jan-2026 03:15 PM by bpsdemak3321@gmail.com</t>
        </r>
      </text>
    </comment>
    <comment ref="G1490" authorId="0" shapeId="0" xr:uid="{00000000-0006-0000-0000-0000AB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H1490" authorId="0" shapeId="0" xr:uid="{00000000-0006-0000-0000-0000AC090000}">
      <text>
        <r>
          <rPr>
            <sz val="10"/>
            <color rgb="FF000000"/>
            <rFont val="Arial"/>
            <scheme val="minor"/>
          </rPr>
          <t>Updated on 14-Jan-2026 03:14 PM by bpsdemak3321@gmail.com</t>
        </r>
      </text>
    </comment>
    <comment ref="F1491" authorId="0" shapeId="0" xr:uid="{00000000-0006-0000-0000-0000AD090000}">
      <text>
        <r>
          <rPr>
            <sz val="10"/>
            <color rgb="FF000000"/>
            <rFont val="Arial"/>
            <scheme val="minor"/>
          </rPr>
          <t>Updated on 14-Jan-2026 03:35 PM by bpsdemak3321@gmail.com</t>
        </r>
      </text>
    </comment>
    <comment ref="G1491" authorId="0" shapeId="0" xr:uid="{00000000-0006-0000-0000-0000AE090000}">
      <text>
        <r>
          <rPr>
            <sz val="10"/>
            <color rgb="FF000000"/>
            <rFont val="Arial"/>
            <scheme val="minor"/>
          </rPr>
          <t>Updated on 14-Jan-2026 03:35 PM by bpsdemak3321@gmail.com</t>
        </r>
      </text>
    </comment>
    <comment ref="H1491" authorId="0" shapeId="0" xr:uid="{00000000-0006-0000-0000-0000AF090000}">
      <text>
        <r>
          <rPr>
            <sz val="10"/>
            <color rgb="FF000000"/>
            <rFont val="Arial"/>
            <scheme val="minor"/>
          </rPr>
          <t>Updated on 14-Jan-2026 03:35 PM by bpsdemak3321@gmail.com</t>
        </r>
      </text>
    </comment>
    <comment ref="F1492" authorId="0" shapeId="0" xr:uid="{00000000-0006-0000-0000-0000B0090000}">
      <text>
        <r>
          <rPr>
            <sz val="10"/>
            <color rgb="FF000000"/>
            <rFont val="Arial"/>
            <scheme val="minor"/>
          </rPr>
          <t>Updated on 14-Jan-2026 03:35 PM by bpsdemak3321@gmail.com</t>
        </r>
      </text>
    </comment>
    <comment ref="G1492" authorId="0" shapeId="0" xr:uid="{00000000-0006-0000-0000-0000B1090000}">
      <text>
        <r>
          <rPr>
            <sz val="10"/>
            <color rgb="FF000000"/>
            <rFont val="Arial"/>
            <scheme val="minor"/>
          </rPr>
          <t>Updated on 14-Jan-2026 03:35 PM by bpsdemak3321@gmail.com</t>
        </r>
      </text>
    </comment>
    <comment ref="H1492" authorId="0" shapeId="0" xr:uid="{00000000-0006-0000-0000-0000B2090000}">
      <text>
        <r>
          <rPr>
            <sz val="10"/>
            <color rgb="FF000000"/>
            <rFont val="Arial"/>
            <scheme val="minor"/>
          </rPr>
          <t>Updated on 14-Jan-2026 03:35 PM by bpsdemak3321@gmail.com</t>
        </r>
      </text>
    </comment>
    <comment ref="F1493" authorId="0" shapeId="0" xr:uid="{00000000-0006-0000-0000-0000B3090000}">
      <text>
        <r>
          <rPr>
            <sz val="10"/>
            <color rgb="FF000000"/>
            <rFont val="Arial"/>
            <scheme val="minor"/>
          </rPr>
          <t>Updated on 14-Jan-2026 03:36 PM by bpsdemak3321@gmail.com</t>
        </r>
      </text>
    </comment>
    <comment ref="G1493" authorId="0" shapeId="0" xr:uid="{00000000-0006-0000-0000-0000B4090000}">
      <text>
        <r>
          <rPr>
            <sz val="10"/>
            <color rgb="FF000000"/>
            <rFont val="Arial"/>
            <scheme val="minor"/>
          </rPr>
          <t>Updated on 14-Jan-2026 03:36 PM by bpsdemak3321@gmail.com</t>
        </r>
      </text>
    </comment>
    <comment ref="H1493" authorId="0" shapeId="0" xr:uid="{00000000-0006-0000-0000-0000B5090000}">
      <text>
        <r>
          <rPr>
            <sz val="10"/>
            <color rgb="FF000000"/>
            <rFont val="Arial"/>
            <scheme val="minor"/>
          </rPr>
          <t>Updated on 14-Jan-2026 03:36 PM by bpsdemak3321@gmail.com</t>
        </r>
      </text>
    </comment>
    <comment ref="F1494" authorId="0" shapeId="0" xr:uid="{00000000-0006-0000-0000-0000B6090000}">
      <text>
        <r>
          <rPr>
            <sz val="10"/>
            <color rgb="FF000000"/>
            <rFont val="Arial"/>
            <scheme val="minor"/>
          </rPr>
          <t>Updated on 14-Jan-2026 03:37 PM by bpsdemak3321@gmail.com</t>
        </r>
      </text>
    </comment>
    <comment ref="G1494" authorId="0" shapeId="0" xr:uid="{00000000-0006-0000-0000-0000B7090000}">
      <text>
        <r>
          <rPr>
            <sz val="10"/>
            <color rgb="FF000000"/>
            <rFont val="Arial"/>
            <scheme val="minor"/>
          </rPr>
          <t>Updated on 14-Jan-2026 03:37 PM by bpsdemak3321@gmail.com</t>
        </r>
      </text>
    </comment>
    <comment ref="H1494" authorId="0" shapeId="0" xr:uid="{00000000-0006-0000-0000-0000B8090000}">
      <text>
        <r>
          <rPr>
            <sz val="10"/>
            <color rgb="FF000000"/>
            <rFont val="Arial"/>
            <scheme val="minor"/>
          </rPr>
          <t>Updated on 14-Jan-2026 03:37 PM by bpsdemak3321@gmail.com</t>
        </r>
      </text>
    </comment>
    <comment ref="F1495" authorId="0" shapeId="0" xr:uid="{00000000-0006-0000-0000-0000B9090000}">
      <text>
        <r>
          <rPr>
            <sz val="10"/>
            <color rgb="FF000000"/>
            <rFont val="Arial"/>
            <scheme val="minor"/>
          </rPr>
          <t>Updated on 14-Jan-2026 03:37 PM by bpsdemak3321@gmail.com</t>
        </r>
      </text>
    </comment>
    <comment ref="G1495" authorId="0" shapeId="0" xr:uid="{00000000-0006-0000-0000-0000BA090000}">
      <text>
        <r>
          <rPr>
            <sz val="10"/>
            <color rgb="FF000000"/>
            <rFont val="Arial"/>
            <scheme val="minor"/>
          </rPr>
          <t>Updated on 14-Jan-2026 03:37 PM by bpsdemak3321@gmail.com</t>
        </r>
      </text>
    </comment>
    <comment ref="H1495" authorId="0" shapeId="0" xr:uid="{00000000-0006-0000-0000-0000BB090000}">
      <text>
        <r>
          <rPr>
            <sz val="10"/>
            <color rgb="FF000000"/>
            <rFont val="Arial"/>
            <scheme val="minor"/>
          </rPr>
          <t>Updated on 14-Jan-2026 03:37 PM by bpsdemak3321@gmail.com</t>
        </r>
      </text>
    </comment>
    <comment ref="F1496" authorId="0" shapeId="0" xr:uid="{00000000-0006-0000-0000-0000BC090000}">
      <text>
        <r>
          <rPr>
            <sz val="10"/>
            <color rgb="FF000000"/>
            <rFont val="Arial"/>
            <scheme val="minor"/>
          </rPr>
          <t>Updated on 14-Jan-2026 03:38 PM by bpsdemak3321@gmail.com</t>
        </r>
      </text>
    </comment>
    <comment ref="G1496" authorId="0" shapeId="0" xr:uid="{00000000-0006-0000-0000-0000BD090000}">
      <text>
        <r>
          <rPr>
            <sz val="10"/>
            <color rgb="FF000000"/>
            <rFont val="Arial"/>
            <scheme val="minor"/>
          </rPr>
          <t>Updated on 14-Jan-2026 03:38 PM by bpsdemak3321@gmail.com</t>
        </r>
      </text>
    </comment>
    <comment ref="H1496" authorId="0" shapeId="0" xr:uid="{00000000-0006-0000-0000-0000BE090000}">
      <text>
        <r>
          <rPr>
            <sz val="10"/>
            <color rgb="FF000000"/>
            <rFont val="Arial"/>
            <scheme val="minor"/>
          </rPr>
          <t>Updated on 14-Jan-2026 03:38 PM by bpsdemak3321@gmail.com</t>
        </r>
      </text>
    </comment>
    <comment ref="F1497" authorId="0" shapeId="0" xr:uid="{00000000-0006-0000-0000-0000BF090000}">
      <text>
        <r>
          <rPr>
            <sz val="10"/>
            <color rgb="FF000000"/>
            <rFont val="Arial"/>
            <scheme val="minor"/>
          </rPr>
          <t>Updated on 14-Jan-2026 03:38 PM by bpsdemak3321@gmail.com</t>
        </r>
      </text>
    </comment>
    <comment ref="G1497" authorId="0" shapeId="0" xr:uid="{00000000-0006-0000-0000-0000C0090000}">
      <text>
        <r>
          <rPr>
            <sz val="10"/>
            <color rgb="FF000000"/>
            <rFont val="Arial"/>
            <scheme val="minor"/>
          </rPr>
          <t>Updated on 14-Jan-2026 03:38 PM by bpsdemak3321@gmail.com</t>
        </r>
      </text>
    </comment>
    <comment ref="H1497" authorId="0" shapeId="0" xr:uid="{00000000-0006-0000-0000-0000C1090000}">
      <text>
        <r>
          <rPr>
            <sz val="10"/>
            <color rgb="FF000000"/>
            <rFont val="Arial"/>
            <scheme val="minor"/>
          </rPr>
          <t>Updated on 14-Jan-2026 03:38 PM by bpsdemak3321@gmail.com</t>
        </r>
      </text>
    </comment>
    <comment ref="F1498" authorId="0" shapeId="0" xr:uid="{00000000-0006-0000-0000-0000C2090000}">
      <text>
        <r>
          <rPr>
            <sz val="10"/>
            <color rgb="FF000000"/>
            <rFont val="Arial"/>
            <scheme val="minor"/>
          </rPr>
          <t>Updated on 15-Jan-2026 07:36 AM by bpsdemak3321@gmail.com</t>
        </r>
      </text>
    </comment>
    <comment ref="G1498" authorId="0" shapeId="0" xr:uid="{00000000-0006-0000-0000-0000C3090000}">
      <text>
        <r>
          <rPr>
            <sz val="10"/>
            <color rgb="FF000000"/>
            <rFont val="Arial"/>
            <scheme val="minor"/>
          </rPr>
          <t>Updated on 15-Jan-2026 07:36 AM by bpsdemak3321@gmail.com</t>
        </r>
      </text>
    </comment>
    <comment ref="H1498" authorId="0" shapeId="0" xr:uid="{00000000-0006-0000-0000-0000C4090000}">
      <text>
        <r>
          <rPr>
            <sz val="10"/>
            <color rgb="FF000000"/>
            <rFont val="Arial"/>
            <scheme val="minor"/>
          </rPr>
          <t>Updated on 15-Jan-2026 07:36 AM by bpsdemak3321@gmail.com</t>
        </r>
      </text>
    </comment>
    <comment ref="F1499" authorId="0" shapeId="0" xr:uid="{00000000-0006-0000-0000-0000C5090000}">
      <text>
        <r>
          <rPr>
            <sz val="10"/>
            <color rgb="FF000000"/>
            <rFont val="Arial"/>
            <scheme val="minor"/>
          </rPr>
          <t>Updated on 15-Jan-2026 07:36 AM by bpsdemak3321@gmail.com</t>
        </r>
      </text>
    </comment>
    <comment ref="G1499" authorId="0" shapeId="0" xr:uid="{00000000-0006-0000-0000-0000C6090000}">
      <text>
        <r>
          <rPr>
            <sz val="10"/>
            <color rgb="FF000000"/>
            <rFont val="Arial"/>
            <scheme val="minor"/>
          </rPr>
          <t>Updated on 15-Jan-2026 07:36 AM by bpsdemak3321@gmail.com</t>
        </r>
      </text>
    </comment>
    <comment ref="H1499" authorId="0" shapeId="0" xr:uid="{00000000-0006-0000-0000-0000C7090000}">
      <text>
        <r>
          <rPr>
            <sz val="10"/>
            <color rgb="FF000000"/>
            <rFont val="Arial"/>
            <scheme val="minor"/>
          </rPr>
          <t>Updated on 15-Jan-2026 07:36 AM by bpsdemak3321@gmail.com</t>
        </r>
      </text>
    </comment>
    <comment ref="F1500" authorId="0" shapeId="0" xr:uid="{00000000-0006-0000-0000-0000C8090000}">
      <text>
        <r>
          <rPr>
            <sz val="10"/>
            <color rgb="FF000000"/>
            <rFont val="Arial"/>
            <scheme val="minor"/>
          </rPr>
          <t>Updated on 15-Jan-2026 07:37 AM by bpsdemak3321@gmail.com</t>
        </r>
      </text>
    </comment>
    <comment ref="G1500" authorId="0" shapeId="0" xr:uid="{00000000-0006-0000-0000-0000C9090000}">
      <text>
        <r>
          <rPr>
            <sz val="10"/>
            <color rgb="FF000000"/>
            <rFont val="Arial"/>
            <scheme val="minor"/>
          </rPr>
          <t>Updated on 15-Jan-2026 07:37 AM by bpsdemak3321@gmail.com</t>
        </r>
      </text>
    </comment>
    <comment ref="H1500" authorId="0" shapeId="0" xr:uid="{00000000-0006-0000-0000-0000CA090000}">
      <text>
        <r>
          <rPr>
            <sz val="10"/>
            <color rgb="FF000000"/>
            <rFont val="Arial"/>
            <scheme val="minor"/>
          </rPr>
          <t>Updated on 15-Jan-2026 07:37 AM by bpsdemak3321@gmail.com</t>
        </r>
      </text>
    </comment>
    <comment ref="F1501" authorId="0" shapeId="0" xr:uid="{00000000-0006-0000-0000-0000CB090000}">
      <text>
        <r>
          <rPr>
            <sz val="10"/>
            <color rgb="FF000000"/>
            <rFont val="Arial"/>
            <scheme val="minor"/>
          </rPr>
          <t>Updated on 15-Jan-2026 07:41 AM by bpsdemak3321@gmail.com</t>
        </r>
      </text>
    </comment>
    <comment ref="G1501" authorId="0" shapeId="0" xr:uid="{00000000-0006-0000-0000-0000CC090000}">
      <text>
        <r>
          <rPr>
            <sz val="10"/>
            <color rgb="FF000000"/>
            <rFont val="Arial"/>
            <scheme val="minor"/>
          </rPr>
          <t>Updated on 15-Jan-2026 07:41 AM by bpsdemak3321@gmail.com</t>
        </r>
      </text>
    </comment>
    <comment ref="H1501" authorId="0" shapeId="0" xr:uid="{00000000-0006-0000-0000-0000CD090000}">
      <text>
        <r>
          <rPr>
            <sz val="10"/>
            <color rgb="FF000000"/>
            <rFont val="Arial"/>
            <scheme val="minor"/>
          </rPr>
          <t>Updated on 15-Jan-2026 07:41 AM by bpsdemak3321@gmail.com</t>
        </r>
      </text>
    </comment>
    <comment ref="F1502" authorId="0" shapeId="0" xr:uid="{00000000-0006-0000-0000-0000CE090000}">
      <text>
        <r>
          <rPr>
            <sz val="10"/>
            <color rgb="FF000000"/>
            <rFont val="Arial"/>
            <scheme val="minor"/>
          </rPr>
          <t>Updated on 15-Jan-2026 07:42 AM by bpsdemak3321@gmail.com</t>
        </r>
      </text>
    </comment>
    <comment ref="G1502" authorId="0" shapeId="0" xr:uid="{00000000-0006-0000-0000-0000CF090000}">
      <text>
        <r>
          <rPr>
            <sz val="10"/>
            <color rgb="FF000000"/>
            <rFont val="Arial"/>
            <scheme val="minor"/>
          </rPr>
          <t>Updated on 15-Jan-2026 07:41 AM by bpsdemak3321@gmail.com</t>
        </r>
      </text>
    </comment>
    <comment ref="H1502" authorId="0" shapeId="0" xr:uid="{00000000-0006-0000-0000-0000D0090000}">
      <text>
        <r>
          <rPr>
            <sz val="10"/>
            <color rgb="FF000000"/>
            <rFont val="Arial"/>
            <scheme val="minor"/>
          </rPr>
          <t>Updated on 15-Jan-2026 07:41 AM by bpsdemak3321@gmail.com</t>
        </r>
      </text>
    </comment>
    <comment ref="F1503" authorId="0" shapeId="0" xr:uid="{00000000-0006-0000-0000-0000D1090000}">
      <text>
        <r>
          <rPr>
            <sz val="10"/>
            <color rgb="FF000000"/>
            <rFont val="Arial"/>
            <scheme val="minor"/>
          </rPr>
          <t>Updated on 15-Jan-2026 07:42 AM by bpsdemak3321@gmail.com</t>
        </r>
      </text>
    </comment>
    <comment ref="G1503" authorId="0" shapeId="0" xr:uid="{00000000-0006-0000-0000-0000D2090000}">
      <text>
        <r>
          <rPr>
            <sz val="10"/>
            <color rgb="FF000000"/>
            <rFont val="Arial"/>
            <scheme val="minor"/>
          </rPr>
          <t>Updated on 15-Jan-2026 07:42 AM by bpsdemak3321@gmail.com</t>
        </r>
      </text>
    </comment>
    <comment ref="H1503" authorId="0" shapeId="0" xr:uid="{00000000-0006-0000-0000-0000D3090000}">
      <text>
        <r>
          <rPr>
            <sz val="10"/>
            <color rgb="FF000000"/>
            <rFont val="Arial"/>
            <scheme val="minor"/>
          </rPr>
          <t>Updated on 15-Jan-2026 07:42 AM by bpsdemak3321@gmail.com</t>
        </r>
      </text>
    </comment>
    <comment ref="F1504" authorId="0" shapeId="0" xr:uid="{00000000-0006-0000-0000-0000D4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G1504" authorId="0" shapeId="0" xr:uid="{00000000-0006-0000-0000-0000D5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H1504" authorId="0" shapeId="0" xr:uid="{00000000-0006-0000-0000-0000D6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G1505" authorId="0" shapeId="0" xr:uid="{00000000-0006-0000-0000-0000D7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H1505" authorId="0" shapeId="0" xr:uid="{00000000-0006-0000-0000-0000D8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G1506" authorId="0" shapeId="0" xr:uid="{00000000-0006-0000-0000-0000D9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H1506" authorId="0" shapeId="0" xr:uid="{00000000-0006-0000-0000-0000DA090000}">
      <text>
        <r>
          <rPr>
            <sz val="10"/>
            <color rgb="FF000000"/>
            <rFont val="Arial"/>
            <scheme val="minor"/>
          </rPr>
          <t>Updated on 15-Jan-2026 07:43 AM by bpsdemak3321@gmail.com</t>
        </r>
      </text>
    </comment>
    <comment ref="G1507" authorId="0" shapeId="0" xr:uid="{00000000-0006-0000-0000-0000DB090000}">
      <text>
        <r>
          <rPr>
            <sz val="10"/>
            <color rgb="FF000000"/>
            <rFont val="Arial"/>
            <scheme val="minor"/>
          </rPr>
          <t>Updated on 15-Jan-2026 07:44 AM by bpsdemak3321@gmail.com</t>
        </r>
      </text>
    </comment>
    <comment ref="H1507" authorId="0" shapeId="0" xr:uid="{00000000-0006-0000-0000-0000DC090000}">
      <text>
        <r>
          <rPr>
            <sz val="10"/>
            <color rgb="FF000000"/>
            <rFont val="Arial"/>
            <scheme val="minor"/>
          </rPr>
          <t>Updated on 15-Jan-2026 07:44 AM by bpsdemak3321@gmail.com</t>
        </r>
      </text>
    </comment>
    <comment ref="G1508" authorId="0" shapeId="0" xr:uid="{00000000-0006-0000-0000-0000DD090000}">
      <text>
        <r>
          <rPr>
            <sz val="10"/>
            <color rgb="FF000000"/>
            <rFont val="Arial"/>
            <scheme val="minor"/>
          </rPr>
          <t>Updated on 15-Jan-2026 07:47 AM by bpsdemak3321@gmail.com</t>
        </r>
      </text>
    </comment>
    <comment ref="H1508" authorId="0" shapeId="0" xr:uid="{00000000-0006-0000-0000-0000DE090000}">
      <text>
        <r>
          <rPr>
            <sz val="10"/>
            <color rgb="FF000000"/>
            <rFont val="Arial"/>
            <scheme val="minor"/>
          </rPr>
          <t>Updated on 15-Jan-2026 07:47 AM by bpsdemak3321@gmail.com</t>
        </r>
      </text>
    </comment>
    <comment ref="G1509" authorId="0" shapeId="0" xr:uid="{00000000-0006-0000-0000-0000DF090000}">
      <text>
        <r>
          <rPr>
            <sz val="10"/>
            <color rgb="FF000000"/>
            <rFont val="Arial"/>
            <scheme val="minor"/>
          </rPr>
          <t>Updated on 15-Jan-2026 07:47 AM by bpsdemak3321@gmail.com</t>
        </r>
      </text>
    </comment>
    <comment ref="H1509" authorId="0" shapeId="0" xr:uid="{00000000-0006-0000-0000-0000E0090000}">
      <text>
        <r>
          <rPr>
            <sz val="10"/>
            <color rgb="FF000000"/>
            <rFont val="Arial"/>
            <scheme val="minor"/>
          </rPr>
          <t>Updated on 15-Jan-2026 07:47 AM by bpsdemak3321@gmail.com</t>
        </r>
      </text>
    </comment>
    <comment ref="G1510" authorId="0" shapeId="0" xr:uid="{00000000-0006-0000-0000-0000E1090000}">
      <text>
        <r>
          <rPr>
            <sz val="10"/>
            <color rgb="FF000000"/>
            <rFont val="Arial"/>
            <scheme val="minor"/>
          </rPr>
          <t>Updated on 15-Jan-2026 08:08 AM by bpsdemak3321@gmail.com</t>
        </r>
      </text>
    </comment>
    <comment ref="H1510" authorId="0" shapeId="0" xr:uid="{00000000-0006-0000-0000-0000E2090000}">
      <text>
        <r>
          <rPr>
            <sz val="10"/>
            <color rgb="FF000000"/>
            <rFont val="Arial"/>
            <scheme val="minor"/>
          </rPr>
          <t>Updated on 15-Jan-2026 08:08 AM by bpsdemak3321@gmail.com</t>
        </r>
      </text>
    </comment>
    <comment ref="G1511" authorId="0" shapeId="0" xr:uid="{00000000-0006-0000-0000-0000E3090000}">
      <text>
        <r>
          <rPr>
            <sz val="10"/>
            <color rgb="FF000000"/>
            <rFont val="Arial"/>
            <scheme val="minor"/>
          </rPr>
          <t>Updated on 15-Jan-2026 08:08 AM by bpsdemak3321@gmail.com</t>
        </r>
      </text>
    </comment>
    <comment ref="H1511" authorId="0" shapeId="0" xr:uid="{00000000-0006-0000-0000-0000E4090000}">
      <text>
        <r>
          <rPr>
            <sz val="10"/>
            <color rgb="FF000000"/>
            <rFont val="Arial"/>
            <scheme val="minor"/>
          </rPr>
          <t>Updated on 15-Jan-2026 08:08 AM by bpsdemak3321@gmail.com</t>
        </r>
      </text>
    </comment>
    <comment ref="G1512" authorId="0" shapeId="0" xr:uid="{00000000-0006-0000-0000-0000E5090000}">
      <text>
        <r>
          <rPr>
            <sz val="10"/>
            <color rgb="FF000000"/>
            <rFont val="Arial"/>
            <scheme val="minor"/>
          </rPr>
          <t>Updated on 15-Jan-2026 08:09 AM by bpsdemak3321@gmail.com</t>
        </r>
      </text>
    </comment>
    <comment ref="H1512" authorId="0" shapeId="0" xr:uid="{00000000-0006-0000-0000-0000E6090000}">
      <text>
        <r>
          <rPr>
            <sz val="10"/>
            <color rgb="FF000000"/>
            <rFont val="Arial"/>
            <scheme val="minor"/>
          </rPr>
          <t>Updated on 15-Jan-2026 08:09 AM by bpsdemak3321@gmail.com</t>
        </r>
      </text>
    </comment>
    <comment ref="G1513" authorId="0" shapeId="0" xr:uid="{00000000-0006-0000-0000-0000E7090000}">
      <text>
        <r>
          <rPr>
            <sz val="10"/>
            <color rgb="FF000000"/>
            <rFont val="Arial"/>
            <scheme val="minor"/>
          </rPr>
          <t>Updated on 15-Jan-2026 08:09 AM by bpsdemak3321@gmail.com</t>
        </r>
      </text>
    </comment>
    <comment ref="H1513" authorId="0" shapeId="0" xr:uid="{00000000-0006-0000-0000-0000E8090000}">
      <text>
        <r>
          <rPr>
            <sz val="10"/>
            <color rgb="FF000000"/>
            <rFont val="Arial"/>
            <scheme val="minor"/>
          </rPr>
          <t>Updated on 15-Jan-2026 08:09 AM by bpsdemak3321@gmail.com</t>
        </r>
      </text>
    </comment>
    <comment ref="G1514" authorId="0" shapeId="0" xr:uid="{00000000-0006-0000-0000-0000E9090000}">
      <text>
        <r>
          <rPr>
            <sz val="10"/>
            <color rgb="FF000000"/>
            <rFont val="Arial"/>
            <scheme val="minor"/>
          </rPr>
          <t>Updated on 15-Jan-2026 08:10 AM by bpsdemak3321@gmail.com</t>
        </r>
      </text>
    </comment>
    <comment ref="H1514" authorId="0" shapeId="0" xr:uid="{00000000-0006-0000-0000-0000EA090000}">
      <text>
        <r>
          <rPr>
            <sz val="10"/>
            <color rgb="FF000000"/>
            <rFont val="Arial"/>
            <scheme val="minor"/>
          </rPr>
          <t>Updated on 15-Jan-2026 08:10 AM by bpsdemak3321@gmail.com</t>
        </r>
      </text>
    </comment>
    <comment ref="G1515" authorId="0" shapeId="0" xr:uid="{00000000-0006-0000-0000-0000EB090000}">
      <text>
        <r>
          <rPr>
            <sz val="10"/>
            <color rgb="FF000000"/>
            <rFont val="Arial"/>
            <scheme val="minor"/>
          </rPr>
          <t>Updated on 15-Jan-2026 08:10 AM by bpsdemak3321@gmail.com</t>
        </r>
      </text>
    </comment>
    <comment ref="H1515" authorId="0" shapeId="0" xr:uid="{00000000-0006-0000-0000-0000EC090000}">
      <text>
        <r>
          <rPr>
            <sz val="10"/>
            <color rgb="FF000000"/>
            <rFont val="Arial"/>
            <scheme val="minor"/>
          </rPr>
          <t>Updated on 15-Jan-2026 08:10 AM by bpsdemak3321@gmail.com</t>
        </r>
      </text>
    </comment>
    <comment ref="G1516" authorId="0" shapeId="0" xr:uid="{00000000-0006-0000-0000-0000ED090000}">
      <text>
        <r>
          <rPr>
            <sz val="10"/>
            <color rgb="FF000000"/>
            <rFont val="Arial"/>
            <scheme val="minor"/>
          </rPr>
          <t>Updated on 15-Jan-2026 08:11 AM by bpsdemak3321@gmail.com</t>
        </r>
      </text>
    </comment>
    <comment ref="H1516" authorId="0" shapeId="0" xr:uid="{00000000-0006-0000-0000-0000EE090000}">
      <text>
        <r>
          <rPr>
            <sz val="10"/>
            <color rgb="FF000000"/>
            <rFont val="Arial"/>
            <scheme val="minor"/>
          </rPr>
          <t>Updated on 15-Jan-2026 08:11 AM by bpsdemak3321@gmail.com</t>
        </r>
      </text>
    </comment>
    <comment ref="G1517" authorId="0" shapeId="0" xr:uid="{00000000-0006-0000-0000-0000EF090000}">
      <text>
        <r>
          <rPr>
            <sz val="10"/>
            <color rgb="FF000000"/>
            <rFont val="Arial"/>
            <scheme val="minor"/>
          </rPr>
          <t>Updated on 15-Jan-2026 08:12 AM by bpsdemak3321@gmail.com</t>
        </r>
      </text>
    </comment>
    <comment ref="H1517" authorId="0" shapeId="0" xr:uid="{00000000-0006-0000-0000-0000F0090000}">
      <text>
        <r>
          <rPr>
            <sz val="10"/>
            <color rgb="FF000000"/>
            <rFont val="Arial"/>
            <scheme val="minor"/>
          </rPr>
          <t>Updated on 15-Jan-2026 08:12 AM by bpsdemak3321@gmail.com</t>
        </r>
      </text>
    </comment>
    <comment ref="G1518" authorId="0" shapeId="0" xr:uid="{00000000-0006-0000-0000-0000F1090000}">
      <text>
        <r>
          <rPr>
            <sz val="10"/>
            <color rgb="FF000000"/>
            <rFont val="Arial"/>
            <scheme val="minor"/>
          </rPr>
          <t>Updated on 15-Jan-2026 08:12 AM by bpsdemak3321@gmail.com</t>
        </r>
      </text>
    </comment>
    <comment ref="H1518" authorId="0" shapeId="0" xr:uid="{00000000-0006-0000-0000-0000F2090000}">
      <text>
        <r>
          <rPr>
            <sz val="10"/>
            <color rgb="FF000000"/>
            <rFont val="Arial"/>
            <scheme val="minor"/>
          </rPr>
          <t>Updated on 15-Jan-2026 08:12 AM by bpsdemak3321@gmail.com</t>
        </r>
      </text>
    </comment>
    <comment ref="G1519" authorId="0" shapeId="0" xr:uid="{00000000-0006-0000-0000-0000F3090000}">
      <text>
        <r>
          <rPr>
            <sz val="10"/>
            <color rgb="FF000000"/>
            <rFont val="Arial"/>
            <scheme val="minor"/>
          </rPr>
          <t>Updated on 15-Jan-2026 08:13 AM by bpsdemak3321@gmail.com</t>
        </r>
      </text>
    </comment>
    <comment ref="H1519" authorId="0" shapeId="0" xr:uid="{00000000-0006-0000-0000-0000F4090000}">
      <text>
        <r>
          <rPr>
            <sz val="10"/>
            <color rgb="FF000000"/>
            <rFont val="Arial"/>
            <scheme val="minor"/>
          </rPr>
          <t>Updated on 15-Jan-2026 08:13 AM by bpsdemak3321@gmail.com</t>
        </r>
      </text>
    </comment>
    <comment ref="G1520" authorId="0" shapeId="0" xr:uid="{00000000-0006-0000-0000-0000F5090000}">
      <text>
        <r>
          <rPr>
            <sz val="10"/>
            <color rgb="FF000000"/>
            <rFont val="Arial"/>
            <scheme val="minor"/>
          </rPr>
          <t>Updated on 15-Jan-2026 08:13 AM by bpsdemak3321@gmail.com</t>
        </r>
      </text>
    </comment>
    <comment ref="H1520" authorId="0" shapeId="0" xr:uid="{00000000-0006-0000-0000-0000F6090000}">
      <text>
        <r>
          <rPr>
            <sz val="10"/>
            <color rgb="FF000000"/>
            <rFont val="Arial"/>
            <scheme val="minor"/>
          </rPr>
          <t>Updated on 15-Jan-2026 08:13 AM by bpsdemak3321@gmail.com</t>
        </r>
      </text>
    </comment>
    <comment ref="G1521" authorId="0" shapeId="0" xr:uid="{00000000-0006-0000-0000-0000F7090000}">
      <text>
        <r>
          <rPr>
            <sz val="10"/>
            <color rgb="FF000000"/>
            <rFont val="Arial"/>
            <scheme val="minor"/>
          </rPr>
          <t>Updated on 15-Jan-2026 08:14 AM by bpsdemak3321@gmail.com</t>
        </r>
      </text>
    </comment>
    <comment ref="H1521" authorId="0" shapeId="0" xr:uid="{00000000-0006-0000-0000-0000F8090000}">
      <text>
        <r>
          <rPr>
            <sz val="10"/>
            <color rgb="FF000000"/>
            <rFont val="Arial"/>
            <scheme val="minor"/>
          </rPr>
          <t>Updated on 15-Jan-2026 08:14 AM by bpsdemak3321@gmail.com</t>
        </r>
      </text>
    </comment>
    <comment ref="G1522" authorId="0" shapeId="0" xr:uid="{00000000-0006-0000-0000-0000F9090000}">
      <text>
        <r>
          <rPr>
            <sz val="10"/>
            <color rgb="FF000000"/>
            <rFont val="Arial"/>
            <scheme val="minor"/>
          </rPr>
          <t>Updated on 15-Jan-2026 08:14 AM by bpsdemak3321@gmail.com</t>
        </r>
      </text>
    </comment>
    <comment ref="H1522" authorId="0" shapeId="0" xr:uid="{00000000-0006-0000-0000-0000FA090000}">
      <text>
        <r>
          <rPr>
            <sz val="10"/>
            <color rgb="FF000000"/>
            <rFont val="Arial"/>
            <scheme val="minor"/>
          </rPr>
          <t>Updated on 15-Jan-2026 08:14 AM by bpsdemak3321@gmail.com</t>
        </r>
      </text>
    </comment>
    <comment ref="G1523" authorId="0" shapeId="0" xr:uid="{00000000-0006-0000-0000-0000FB090000}">
      <text>
        <r>
          <rPr>
            <sz val="10"/>
            <color rgb="FF000000"/>
            <rFont val="Arial"/>
            <scheme val="minor"/>
          </rPr>
          <t>Updated on 15-Jan-2026 08:15 AM by bpsdemak3321@gmail.com</t>
        </r>
      </text>
    </comment>
    <comment ref="H1523" authorId="0" shapeId="0" xr:uid="{00000000-0006-0000-0000-0000FC090000}">
      <text>
        <r>
          <rPr>
            <sz val="10"/>
            <color rgb="FF000000"/>
            <rFont val="Arial"/>
            <scheme val="minor"/>
          </rPr>
          <t>Updated on 15-Jan-2026 08:15 AM by bpsdemak3321@gmail.com</t>
        </r>
      </text>
    </comment>
    <comment ref="G1524" authorId="0" shapeId="0" xr:uid="{00000000-0006-0000-0000-0000FD090000}">
      <text>
        <r>
          <rPr>
            <sz val="10"/>
            <color rgb="FF000000"/>
            <rFont val="Arial"/>
            <scheme val="minor"/>
          </rPr>
          <t>Updated on 15-Jan-2026 08:15 AM by bpsdemak3321@gmail.com</t>
        </r>
      </text>
    </comment>
    <comment ref="H1524" authorId="0" shapeId="0" xr:uid="{00000000-0006-0000-0000-0000FE090000}">
      <text>
        <r>
          <rPr>
            <sz val="10"/>
            <color rgb="FF000000"/>
            <rFont val="Arial"/>
            <scheme val="minor"/>
          </rPr>
          <t>Updated on 15-Jan-2026 08:15 AM by bpsdemak3321@gmail.com</t>
        </r>
      </text>
    </comment>
    <comment ref="G1525" authorId="0" shapeId="0" xr:uid="{00000000-0006-0000-0000-0000FF090000}">
      <text>
        <r>
          <rPr>
            <sz val="10"/>
            <color rgb="FF000000"/>
            <rFont val="Arial"/>
            <scheme val="minor"/>
          </rPr>
          <t>Updated on 15-Jan-2026 08:16 AM by bpsdemak3321@gmail.com</t>
        </r>
      </text>
    </comment>
    <comment ref="H1525" authorId="0" shapeId="0" xr:uid="{00000000-0006-0000-0000-0000000A0000}">
      <text>
        <r>
          <rPr>
            <sz val="10"/>
            <color rgb="FF000000"/>
            <rFont val="Arial"/>
            <scheme val="minor"/>
          </rPr>
          <t>Updated on 15-Jan-2026 08:16 AM by bpsdemak3321@gmail.com</t>
        </r>
      </text>
    </comment>
    <comment ref="G1526" authorId="0" shapeId="0" xr:uid="{00000000-0006-0000-0000-0000010A0000}">
      <text>
        <r>
          <rPr>
            <sz val="10"/>
            <color rgb="FF000000"/>
            <rFont val="Arial"/>
            <scheme val="minor"/>
          </rPr>
          <t>Updated on 15-Jan-2026 08:44 AM by bpsdemak3321@gmail.com</t>
        </r>
      </text>
    </comment>
    <comment ref="H1526" authorId="0" shapeId="0" xr:uid="{00000000-0006-0000-0000-0000020A0000}">
      <text>
        <r>
          <rPr>
            <sz val="10"/>
            <color rgb="FF000000"/>
            <rFont val="Arial"/>
            <scheme val="minor"/>
          </rPr>
          <t>Updated on 15-Jan-2026 08:44 AM by bpsdemak3321@gmail.com</t>
        </r>
      </text>
    </comment>
    <comment ref="G1527" authorId="0" shapeId="0" xr:uid="{00000000-0006-0000-0000-0000030A0000}">
      <text>
        <r>
          <rPr>
            <sz val="10"/>
            <color rgb="FF000000"/>
            <rFont val="Arial"/>
            <scheme val="minor"/>
          </rPr>
          <t>Updated on 15-Jan-2026 08:44 AM by bpsdemak3321@gmail.com</t>
        </r>
      </text>
    </comment>
    <comment ref="H1527" authorId="0" shapeId="0" xr:uid="{00000000-0006-0000-0000-0000040A0000}">
      <text>
        <r>
          <rPr>
            <sz val="10"/>
            <color rgb="FF000000"/>
            <rFont val="Arial"/>
            <scheme val="minor"/>
          </rPr>
          <t>Updated on 15-Jan-2026 08:44 AM by bpsdemak3321@gmail.com</t>
        </r>
      </text>
    </comment>
    <comment ref="G1528" authorId="0" shapeId="0" xr:uid="{00000000-0006-0000-0000-0000050A0000}">
      <text>
        <r>
          <rPr>
            <sz val="10"/>
            <color rgb="FF000000"/>
            <rFont val="Arial"/>
            <scheme val="minor"/>
          </rPr>
          <t>Updated on 15-Jan-2026 08:44 AM by bpsdemak3321@gmail.com</t>
        </r>
      </text>
    </comment>
    <comment ref="H1528" authorId="0" shapeId="0" xr:uid="{00000000-0006-0000-0000-0000060A0000}">
      <text>
        <r>
          <rPr>
            <sz val="10"/>
            <color rgb="FF000000"/>
            <rFont val="Arial"/>
            <scheme val="minor"/>
          </rPr>
          <t>Updated on 15-Jan-2026 08:44 AM by bpsdemak3321@gmail.com</t>
        </r>
      </text>
    </comment>
    <comment ref="G1529" authorId="0" shapeId="0" xr:uid="{00000000-0006-0000-0000-0000070A0000}">
      <text>
        <r>
          <rPr>
            <sz val="10"/>
            <color rgb="FF000000"/>
            <rFont val="Arial"/>
            <scheme val="minor"/>
          </rPr>
          <t>Updated on 15-Jan-2026 08:45 AM by bpsdemak3321@gmail.com</t>
        </r>
      </text>
    </comment>
    <comment ref="H1529" authorId="0" shapeId="0" xr:uid="{00000000-0006-0000-0000-0000080A0000}">
      <text>
        <r>
          <rPr>
            <sz val="10"/>
            <color rgb="FF000000"/>
            <rFont val="Arial"/>
            <scheme val="minor"/>
          </rPr>
          <t>Updated on 15-Jan-2026 08:45 AM by bpsdemak3321@gmail.com</t>
        </r>
      </text>
    </comment>
    <comment ref="G1530" authorId="0" shapeId="0" xr:uid="{00000000-0006-0000-0000-0000090A0000}">
      <text>
        <r>
          <rPr>
            <sz val="10"/>
            <color rgb="FF000000"/>
            <rFont val="Arial"/>
            <scheme val="minor"/>
          </rPr>
          <t>Updated on 15-Jan-2026 08:46 AM by bpsdemak3321@gmail.com</t>
        </r>
      </text>
    </comment>
    <comment ref="H1530" authorId="0" shapeId="0" xr:uid="{00000000-0006-0000-0000-00000A0A0000}">
      <text>
        <r>
          <rPr>
            <sz val="10"/>
            <color rgb="FF000000"/>
            <rFont val="Arial"/>
            <scheme val="minor"/>
          </rPr>
          <t>Updated on 15-Jan-2026 08:46 AM by bpsdemak3321@gmail.com</t>
        </r>
      </text>
    </comment>
    <comment ref="G1531" authorId="0" shapeId="0" xr:uid="{00000000-0006-0000-0000-00000B0A0000}">
      <text>
        <r>
          <rPr>
            <sz val="10"/>
            <color rgb="FF000000"/>
            <rFont val="Arial"/>
            <scheme val="minor"/>
          </rPr>
          <t>Updated on 15-Jan-2026 08:47 AM by bpsdemak3321@gmail.com</t>
        </r>
      </text>
    </comment>
    <comment ref="H1531" authorId="0" shapeId="0" xr:uid="{00000000-0006-0000-0000-00000C0A0000}">
      <text>
        <r>
          <rPr>
            <sz val="10"/>
            <color rgb="FF000000"/>
            <rFont val="Arial"/>
            <scheme val="minor"/>
          </rPr>
          <t>Updated on 15-Jan-2026 08:47 AM by bpsdemak3321@gmail.com</t>
        </r>
      </text>
    </comment>
    <comment ref="G1532" authorId="0" shapeId="0" xr:uid="{00000000-0006-0000-0000-00000D0A0000}">
      <text>
        <r>
          <rPr>
            <sz val="10"/>
            <color rgb="FF000000"/>
            <rFont val="Arial"/>
            <scheme val="minor"/>
          </rPr>
          <t>Updated on 15-Jan-2026 08:47 AM by bpsdemak3321@gmail.com</t>
        </r>
      </text>
    </comment>
    <comment ref="H1532" authorId="0" shapeId="0" xr:uid="{00000000-0006-0000-0000-00000E0A0000}">
      <text>
        <r>
          <rPr>
            <sz val="10"/>
            <color rgb="FF000000"/>
            <rFont val="Arial"/>
            <scheme val="minor"/>
          </rPr>
          <t>Updated on 15-Jan-2026 08:47 AM by bpsdemak3321@gmail.com</t>
        </r>
      </text>
    </comment>
    <comment ref="G1533" authorId="0" shapeId="0" xr:uid="{00000000-0006-0000-0000-00000F0A0000}">
      <text>
        <r>
          <rPr>
            <sz val="10"/>
            <color rgb="FF000000"/>
            <rFont val="Arial"/>
            <scheme val="minor"/>
          </rPr>
          <t>Updated on 15-Jan-2026 08:47 AM by bpsdemak3321@gmail.com</t>
        </r>
      </text>
    </comment>
    <comment ref="H1533" authorId="0" shapeId="0" xr:uid="{00000000-0006-0000-0000-0000100A0000}">
      <text>
        <r>
          <rPr>
            <sz val="10"/>
            <color rgb="FF000000"/>
            <rFont val="Arial"/>
            <scheme val="minor"/>
          </rPr>
          <t>Updated on 15-Jan-2026 08:47 AM by bpsdemak3321@gmail.com</t>
        </r>
      </text>
    </comment>
    <comment ref="G1534" authorId="0" shapeId="0" xr:uid="{00000000-0006-0000-0000-0000110A0000}">
      <text>
        <r>
          <rPr>
            <sz val="10"/>
            <color rgb="FF000000"/>
            <rFont val="Arial"/>
            <scheme val="minor"/>
          </rPr>
          <t>Updated on 15-Jan-2026 08:49 AM by bpsdemak3321@gmail.com</t>
        </r>
      </text>
    </comment>
    <comment ref="H1534" authorId="0" shapeId="0" xr:uid="{00000000-0006-0000-0000-0000120A0000}">
      <text>
        <r>
          <rPr>
            <sz val="10"/>
            <color rgb="FF000000"/>
            <rFont val="Arial"/>
            <scheme val="minor"/>
          </rPr>
          <t>Updated on 15-Jan-2026 08:49 AM by bpsdemak3321@gmail.com</t>
        </r>
      </text>
    </comment>
    <comment ref="G1535" authorId="0" shapeId="0" xr:uid="{00000000-0006-0000-0000-0000130A0000}">
      <text>
        <r>
          <rPr>
            <sz val="10"/>
            <color rgb="FF000000"/>
            <rFont val="Arial"/>
            <scheme val="minor"/>
          </rPr>
          <t>Updated on 15-Jan-2026 08:51 AM by bpsdemak3321@gmail.com</t>
        </r>
      </text>
    </comment>
    <comment ref="H1535" authorId="0" shapeId="0" xr:uid="{00000000-0006-0000-0000-0000140A0000}">
      <text>
        <r>
          <rPr>
            <sz val="10"/>
            <color rgb="FF000000"/>
            <rFont val="Arial"/>
            <scheme val="minor"/>
          </rPr>
          <t>Updated on 15-Jan-2026 08:51 AM by bpsdemak3321@gmail.com</t>
        </r>
      </text>
    </comment>
    <comment ref="G1536" authorId="0" shapeId="0" xr:uid="{00000000-0006-0000-0000-0000150A0000}">
      <text>
        <r>
          <rPr>
            <sz val="10"/>
            <color rgb="FF000000"/>
            <rFont val="Arial"/>
            <scheme val="minor"/>
          </rPr>
          <t>Updated on 15-Jan-2026 08:56 AM by bpsdemak3321@gmail.com</t>
        </r>
      </text>
    </comment>
    <comment ref="H1536" authorId="0" shapeId="0" xr:uid="{00000000-0006-0000-0000-0000160A0000}">
      <text>
        <r>
          <rPr>
            <sz val="10"/>
            <color rgb="FF000000"/>
            <rFont val="Arial"/>
            <scheme val="minor"/>
          </rPr>
          <t>Updated on 15-Jan-2026 08:56 AM by bpsdemak3321@gmail.com</t>
        </r>
      </text>
    </comment>
    <comment ref="G1537" authorId="0" shapeId="0" xr:uid="{00000000-0006-0000-0000-0000170A0000}">
      <text>
        <r>
          <rPr>
            <sz val="10"/>
            <color rgb="FF000000"/>
            <rFont val="Arial"/>
            <scheme val="minor"/>
          </rPr>
          <t>Updated on 15-Jan-2026 08:57 AM by bpsdemak3321@gmail.com</t>
        </r>
      </text>
    </comment>
    <comment ref="H1537" authorId="0" shapeId="0" xr:uid="{00000000-0006-0000-0000-0000180A0000}">
      <text>
        <r>
          <rPr>
            <sz val="10"/>
            <color rgb="FF000000"/>
            <rFont val="Arial"/>
            <scheme val="minor"/>
          </rPr>
          <t>Updated on 15-Jan-2026 08:57 AM by bpsdemak3321@gmail.com</t>
        </r>
      </text>
    </comment>
    <comment ref="G1538" authorId="0" shapeId="0" xr:uid="{00000000-0006-0000-0000-0000190A0000}">
      <text>
        <r>
          <rPr>
            <sz val="10"/>
            <color rgb="FF000000"/>
            <rFont val="Arial"/>
            <scheme val="minor"/>
          </rPr>
          <t>Updated on 15-Jan-2026 08:57 AM by bpsdemak3321@gmail.com</t>
        </r>
      </text>
    </comment>
    <comment ref="H1538" authorId="0" shapeId="0" xr:uid="{00000000-0006-0000-0000-00001A0A0000}">
      <text>
        <r>
          <rPr>
            <sz val="10"/>
            <color rgb="FF000000"/>
            <rFont val="Arial"/>
            <scheme val="minor"/>
          </rPr>
          <t>Updated on 15-Jan-2026 08:57 AM by bpsdemak3321@gmail.com</t>
        </r>
      </text>
    </comment>
    <comment ref="G1539" authorId="0" shapeId="0" xr:uid="{00000000-0006-0000-0000-00001B0A0000}">
      <text>
        <r>
          <rPr>
            <sz val="10"/>
            <color rgb="FF000000"/>
            <rFont val="Arial"/>
            <scheme val="minor"/>
          </rPr>
          <t>Updated on 15-Jan-2026 08:59 AM by bpsdemak3321@gmail.com</t>
        </r>
      </text>
    </comment>
    <comment ref="H1539" authorId="0" shapeId="0" xr:uid="{00000000-0006-0000-0000-00001C0A0000}">
      <text>
        <r>
          <rPr>
            <sz val="10"/>
            <color rgb="FF000000"/>
            <rFont val="Arial"/>
            <scheme val="minor"/>
          </rPr>
          <t>Updated on 15-Jan-2026 08:59 AM by bpsdemak3321@gmail.com</t>
        </r>
      </text>
    </comment>
    <comment ref="G1540" authorId="0" shapeId="0" xr:uid="{00000000-0006-0000-0000-00001D0A0000}">
      <text>
        <r>
          <rPr>
            <sz val="10"/>
            <color rgb="FF000000"/>
            <rFont val="Arial"/>
            <scheme val="minor"/>
          </rPr>
          <t>Updated on 15-Jan-2026 08:59 AM by bpsdemak3321@gmail.com</t>
        </r>
      </text>
    </comment>
    <comment ref="H1540" authorId="0" shapeId="0" xr:uid="{00000000-0006-0000-0000-00001E0A0000}">
      <text>
        <r>
          <rPr>
            <sz val="10"/>
            <color rgb="FF000000"/>
            <rFont val="Arial"/>
            <scheme val="minor"/>
          </rPr>
          <t>Updated on 15-Jan-2026 08:59 AM by bpsdemak3321@gmail.com</t>
        </r>
      </text>
    </comment>
    <comment ref="G1541" authorId="0" shapeId="0" xr:uid="{00000000-0006-0000-0000-00001F0A0000}">
      <text>
        <r>
          <rPr>
            <sz val="10"/>
            <color rgb="FF000000"/>
            <rFont val="Arial"/>
            <scheme val="minor"/>
          </rPr>
          <t>Updated on 15-Jan-2026 09:03 AM by bpsdemak3321@gmail.com</t>
        </r>
      </text>
    </comment>
    <comment ref="H1541" authorId="0" shapeId="0" xr:uid="{00000000-0006-0000-0000-0000200A0000}">
      <text>
        <r>
          <rPr>
            <sz val="10"/>
            <color rgb="FF000000"/>
            <rFont val="Arial"/>
            <scheme val="minor"/>
          </rPr>
          <t>Updated on 15-Jan-2026 09:03 AM by bpsdemak3321@gmail.com</t>
        </r>
      </text>
    </comment>
    <comment ref="G1542" authorId="0" shapeId="0" xr:uid="{00000000-0006-0000-0000-0000210A0000}">
      <text>
        <r>
          <rPr>
            <sz val="10"/>
            <color rgb="FF000000"/>
            <rFont val="Arial"/>
            <scheme val="minor"/>
          </rPr>
          <t>Updated on 15-Jan-2026 09:03 AM by bpsdemak3321@gmail.com</t>
        </r>
      </text>
    </comment>
    <comment ref="H1542" authorId="0" shapeId="0" xr:uid="{00000000-0006-0000-0000-0000220A0000}">
      <text>
        <r>
          <rPr>
            <sz val="10"/>
            <color rgb="FF000000"/>
            <rFont val="Arial"/>
            <scheme val="minor"/>
          </rPr>
          <t>Updated on 15-Jan-2026 09:03 AM by bpsdemak3321@gmail.com</t>
        </r>
      </text>
    </comment>
    <comment ref="G1543" authorId="0" shapeId="0" xr:uid="{00000000-0006-0000-0000-0000230A0000}">
      <text>
        <r>
          <rPr>
            <sz val="10"/>
            <color rgb="FF000000"/>
            <rFont val="Arial"/>
            <scheme val="minor"/>
          </rPr>
          <t>Updated on 15-Jan-2026 09:04 AM by bpsdemak3321@gmail.com</t>
        </r>
      </text>
    </comment>
    <comment ref="H1543" authorId="0" shapeId="0" xr:uid="{00000000-0006-0000-0000-0000240A0000}">
      <text>
        <r>
          <rPr>
            <sz val="10"/>
            <color rgb="FF000000"/>
            <rFont val="Arial"/>
            <scheme val="minor"/>
          </rPr>
          <t>Updated on 15-Jan-2026 09:04 AM by bpsdemak3321@gmail.com</t>
        </r>
      </text>
    </comment>
    <comment ref="G1544" authorId="0" shapeId="0" xr:uid="{00000000-0006-0000-0000-0000250A0000}">
      <text>
        <r>
          <rPr>
            <sz val="10"/>
            <color rgb="FF000000"/>
            <rFont val="Arial"/>
            <scheme val="minor"/>
          </rPr>
          <t>Updated on 15-Jan-2026 09:07 AM by bpsdemak3321@gmail.com</t>
        </r>
      </text>
    </comment>
    <comment ref="H1544" authorId="0" shapeId="0" xr:uid="{00000000-0006-0000-0000-0000260A0000}">
      <text>
        <r>
          <rPr>
            <sz val="10"/>
            <color rgb="FF000000"/>
            <rFont val="Arial"/>
            <scheme val="minor"/>
          </rPr>
          <t>Updated on 15-Jan-2026 09:07 AM by bpsdemak3321@gmail.com</t>
        </r>
      </text>
    </comment>
    <comment ref="G1545" authorId="0" shapeId="0" xr:uid="{00000000-0006-0000-0000-0000270A0000}">
      <text>
        <r>
          <rPr>
            <sz val="10"/>
            <color rgb="FF000000"/>
            <rFont val="Arial"/>
            <scheme val="minor"/>
          </rPr>
          <t>Updated on 15-Jan-2026 09:09 AM by bpsdemak3321@gmail.com</t>
        </r>
      </text>
    </comment>
    <comment ref="H1545" authorId="0" shapeId="0" xr:uid="{00000000-0006-0000-0000-0000280A0000}">
      <text>
        <r>
          <rPr>
            <sz val="10"/>
            <color rgb="FF000000"/>
            <rFont val="Arial"/>
            <scheme val="minor"/>
          </rPr>
          <t>Updated on 15-Jan-2026 09:09 AM by bpsdemak3321@gmail.com</t>
        </r>
      </text>
    </comment>
    <comment ref="G1546" authorId="0" shapeId="0" xr:uid="{00000000-0006-0000-0000-0000290A0000}">
      <text>
        <r>
          <rPr>
            <sz val="10"/>
            <color rgb="FF000000"/>
            <rFont val="Arial"/>
            <scheme val="minor"/>
          </rPr>
          <t>Updated on 15-Jan-2026 09:10 AM by bpsdemak3321@gmail.com</t>
        </r>
      </text>
    </comment>
    <comment ref="H1546" authorId="0" shapeId="0" xr:uid="{00000000-0006-0000-0000-00002A0A0000}">
      <text>
        <r>
          <rPr>
            <sz val="10"/>
            <color rgb="FF000000"/>
            <rFont val="Arial"/>
            <scheme val="minor"/>
          </rPr>
          <t>Updated on 15-Jan-2026 09:10 AM by bpsdemak3321@gmail.com</t>
        </r>
      </text>
    </comment>
    <comment ref="G1547" authorId="0" shapeId="0" xr:uid="{00000000-0006-0000-0000-00002B0A0000}">
      <text>
        <r>
          <rPr>
            <sz val="10"/>
            <color rgb="FF000000"/>
            <rFont val="Arial"/>
            <scheme val="minor"/>
          </rPr>
          <t>Updated on 15-Jan-2026 09:11 AM by bpsdemak3321@gmail.com</t>
        </r>
      </text>
    </comment>
    <comment ref="H1547" authorId="0" shapeId="0" xr:uid="{00000000-0006-0000-0000-00002C0A0000}">
      <text>
        <r>
          <rPr>
            <sz val="10"/>
            <color rgb="FF000000"/>
            <rFont val="Arial"/>
            <scheme val="minor"/>
          </rPr>
          <t>Updated on 15-Jan-2026 09:11 AM by bpsdemak3321@gmail.com</t>
        </r>
      </text>
    </comment>
    <comment ref="G1548" authorId="0" shapeId="0" xr:uid="{00000000-0006-0000-0000-00002D0A0000}">
      <text>
        <r>
          <rPr>
            <sz val="10"/>
            <color rgb="FF000000"/>
            <rFont val="Arial"/>
            <scheme val="minor"/>
          </rPr>
          <t>Updated on 15-Jan-2026 09:11 AM by bpsdemak3321@gmail.com</t>
        </r>
      </text>
    </comment>
    <comment ref="H1548" authorId="0" shapeId="0" xr:uid="{00000000-0006-0000-0000-00002E0A0000}">
      <text>
        <r>
          <rPr>
            <sz val="10"/>
            <color rgb="FF000000"/>
            <rFont val="Arial"/>
            <scheme val="minor"/>
          </rPr>
          <t>Updated on 15-Jan-2026 09:11 AM by bpsdemak3321@gmail.com</t>
        </r>
      </text>
    </comment>
    <comment ref="G1549" authorId="0" shapeId="0" xr:uid="{00000000-0006-0000-0000-00002F0A0000}">
      <text>
        <r>
          <rPr>
            <sz val="10"/>
            <color rgb="FF000000"/>
            <rFont val="Arial"/>
            <scheme val="minor"/>
          </rPr>
          <t>Updated on 15-Jan-2026 09:12 AM by bpsdemak3321@gmail.com</t>
        </r>
      </text>
    </comment>
    <comment ref="H1549" authorId="0" shapeId="0" xr:uid="{00000000-0006-0000-0000-0000300A0000}">
      <text>
        <r>
          <rPr>
            <sz val="10"/>
            <color rgb="FF000000"/>
            <rFont val="Arial"/>
            <scheme val="minor"/>
          </rPr>
          <t>Updated on 15-Jan-2026 09:12 AM by bpsdemak3321@gmail.com</t>
        </r>
      </text>
    </comment>
    <comment ref="G1550" authorId="0" shapeId="0" xr:uid="{00000000-0006-0000-0000-0000310A0000}">
      <text>
        <r>
          <rPr>
            <sz val="10"/>
            <color rgb="FF000000"/>
            <rFont val="Arial"/>
            <scheme val="minor"/>
          </rPr>
          <t>Updated on 15-Jan-2026 09:12 AM by bpsdemak3321@gmail.com</t>
        </r>
      </text>
    </comment>
    <comment ref="H1550" authorId="0" shapeId="0" xr:uid="{00000000-0006-0000-0000-0000320A0000}">
      <text>
        <r>
          <rPr>
            <sz val="10"/>
            <color rgb="FF000000"/>
            <rFont val="Arial"/>
            <scheme val="minor"/>
          </rPr>
          <t>Updated on 15-Jan-2026 09:12 AM by bpsdemak3321@gmail.com</t>
        </r>
      </text>
    </comment>
    <comment ref="G1551" authorId="0" shapeId="0" xr:uid="{00000000-0006-0000-0000-0000330A0000}">
      <text>
        <r>
          <rPr>
            <sz val="10"/>
            <color rgb="FF000000"/>
            <rFont val="Arial"/>
            <scheme val="minor"/>
          </rPr>
          <t>Updated on 15-Jan-2026 09:12 AM by bpsdemak3321@gmail.com</t>
        </r>
      </text>
    </comment>
    <comment ref="H1551" authorId="0" shapeId="0" xr:uid="{00000000-0006-0000-0000-0000340A0000}">
      <text>
        <r>
          <rPr>
            <sz val="10"/>
            <color rgb="FF000000"/>
            <rFont val="Arial"/>
            <scheme val="minor"/>
          </rPr>
          <t>Updated on 15-Jan-2026 09:12 AM by bpsdemak3321@gmail.com</t>
        </r>
      </text>
    </comment>
    <comment ref="G1552" authorId="0" shapeId="0" xr:uid="{00000000-0006-0000-0000-000035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H1552" authorId="0" shapeId="0" xr:uid="{00000000-0006-0000-0000-000036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G1553" authorId="0" shapeId="0" xr:uid="{00000000-0006-0000-0000-000037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H1553" authorId="0" shapeId="0" xr:uid="{00000000-0006-0000-0000-000038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G1554" authorId="0" shapeId="0" xr:uid="{00000000-0006-0000-0000-000039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H1554" authorId="0" shapeId="0" xr:uid="{00000000-0006-0000-0000-00003A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G1555" authorId="0" shapeId="0" xr:uid="{00000000-0006-0000-0000-00003B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H1555" authorId="0" shapeId="0" xr:uid="{00000000-0006-0000-0000-00003C0A0000}">
      <text>
        <r>
          <rPr>
            <sz val="10"/>
            <color rgb="FF000000"/>
            <rFont val="Arial"/>
            <scheme val="minor"/>
          </rPr>
          <t>Updated on 15-Jan-2026 09:13 AM by bpsdemak3321@gmail.com</t>
        </r>
      </text>
    </comment>
    <comment ref="G1556" authorId="0" shapeId="0" xr:uid="{00000000-0006-0000-0000-00003D0A0000}">
      <text>
        <r>
          <rPr>
            <sz val="10"/>
            <color rgb="FF000000"/>
            <rFont val="Arial"/>
            <scheme val="minor"/>
          </rPr>
          <t>Updated on 15-Jan-2026 09:14 AM by bpsdemak3321@gmail.com</t>
        </r>
      </text>
    </comment>
    <comment ref="H1556" authorId="0" shapeId="0" xr:uid="{00000000-0006-0000-0000-00003E0A0000}">
      <text>
        <r>
          <rPr>
            <sz val="10"/>
            <color rgb="FF000000"/>
            <rFont val="Arial"/>
            <scheme val="minor"/>
          </rPr>
          <t>Updated on 15-Jan-2026 09:14 AM by bpsdemak3321@gmail.com</t>
        </r>
      </text>
    </comment>
    <comment ref="G1557" authorId="0" shapeId="0" xr:uid="{00000000-0006-0000-0000-00003F0A0000}">
      <text>
        <r>
          <rPr>
            <sz val="10"/>
            <color rgb="FF000000"/>
            <rFont val="Arial"/>
            <scheme val="minor"/>
          </rPr>
          <t>Updated on 15-Jan-2026 09:14 AM by bpsdemak3321@gmail.com</t>
        </r>
      </text>
    </comment>
    <comment ref="H1557" authorId="0" shapeId="0" xr:uid="{00000000-0006-0000-0000-0000400A0000}">
      <text>
        <r>
          <rPr>
            <sz val="10"/>
            <color rgb="FF000000"/>
            <rFont val="Arial"/>
            <scheme val="minor"/>
          </rPr>
          <t>Updated on 15-Jan-2026 09:14 AM by bpsdemak3321@gmail.com</t>
        </r>
      </text>
    </comment>
    <comment ref="G1558" authorId="0" shapeId="0" xr:uid="{00000000-0006-0000-0000-0000410A0000}">
      <text>
        <r>
          <rPr>
            <sz val="10"/>
            <color rgb="FF000000"/>
            <rFont val="Arial"/>
            <scheme val="minor"/>
          </rPr>
          <t>Updated on 15-Jan-2026 09:15 AM by bpsdemak3321@gmail.com</t>
        </r>
      </text>
    </comment>
    <comment ref="H1558" authorId="0" shapeId="0" xr:uid="{00000000-0006-0000-0000-0000420A0000}">
      <text>
        <r>
          <rPr>
            <sz val="10"/>
            <color rgb="FF000000"/>
            <rFont val="Arial"/>
            <scheme val="minor"/>
          </rPr>
          <t>Updated on 15-Jan-2026 09:15 AM by bpsdemak3321@gmail.com</t>
        </r>
      </text>
    </comment>
    <comment ref="G1559" authorId="0" shapeId="0" xr:uid="{00000000-0006-0000-0000-0000430A0000}">
      <text>
        <r>
          <rPr>
            <sz val="10"/>
            <color rgb="FF000000"/>
            <rFont val="Arial"/>
            <scheme val="minor"/>
          </rPr>
          <t>Updated on 15-Jan-2026 09:16 AM by bpsdemak3321@gmail.com</t>
        </r>
      </text>
    </comment>
    <comment ref="H1559" authorId="0" shapeId="0" xr:uid="{00000000-0006-0000-0000-0000440A0000}">
      <text>
        <r>
          <rPr>
            <sz val="10"/>
            <color rgb="FF000000"/>
            <rFont val="Arial"/>
            <scheme val="minor"/>
          </rPr>
          <t>Updated on 15-Jan-2026 09:16 AM by bpsdemak3321@gmail.com</t>
        </r>
      </text>
    </comment>
    <comment ref="G1560" authorId="0" shapeId="0" xr:uid="{00000000-0006-0000-0000-0000450A0000}">
      <text>
        <r>
          <rPr>
            <sz val="10"/>
            <color rgb="FF000000"/>
            <rFont val="Arial"/>
            <scheme val="minor"/>
          </rPr>
          <t>Updated on 15-Jan-2026 09:17 AM by bpsdemak3321@gmail.com</t>
        </r>
      </text>
    </comment>
    <comment ref="H1560" authorId="0" shapeId="0" xr:uid="{00000000-0006-0000-0000-0000460A0000}">
      <text>
        <r>
          <rPr>
            <sz val="10"/>
            <color rgb="FF000000"/>
            <rFont val="Arial"/>
            <scheme val="minor"/>
          </rPr>
          <t>Updated on 15-Jan-2026 09:17 AM by bpsdemak3321@gmail.com</t>
        </r>
      </text>
    </comment>
    <comment ref="G1561" authorId="0" shapeId="0" xr:uid="{00000000-0006-0000-0000-0000470A0000}">
      <text>
        <r>
          <rPr>
            <sz val="10"/>
            <color rgb="FF000000"/>
            <rFont val="Arial"/>
            <scheme val="minor"/>
          </rPr>
          <t>Updated on 15-Jan-2026 09:18 AM by bpsdemak3321@gmail.com</t>
        </r>
      </text>
    </comment>
    <comment ref="H1561" authorId="0" shapeId="0" xr:uid="{00000000-0006-0000-0000-0000480A0000}">
      <text>
        <r>
          <rPr>
            <sz val="10"/>
            <color rgb="FF000000"/>
            <rFont val="Arial"/>
            <scheme val="minor"/>
          </rPr>
          <t>Updated on 15-Jan-2026 09:18 AM by bpsdemak3321@gmail.com</t>
        </r>
      </text>
    </comment>
    <comment ref="G1562" authorId="0" shapeId="0" xr:uid="{00000000-0006-0000-0000-0000490A0000}">
      <text>
        <r>
          <rPr>
            <sz val="10"/>
            <color rgb="FF000000"/>
            <rFont val="Arial"/>
            <scheme val="minor"/>
          </rPr>
          <t>Updated on 15-Jan-2026 09:23 AM by bpsdemak3321@gmail.com</t>
        </r>
      </text>
    </comment>
    <comment ref="H1562" authorId="0" shapeId="0" xr:uid="{00000000-0006-0000-0000-00004A0A0000}">
      <text>
        <r>
          <rPr>
            <sz val="10"/>
            <color rgb="FF000000"/>
            <rFont val="Arial"/>
            <scheme val="minor"/>
          </rPr>
          <t>Updated on 15-Jan-2026 09:23 AM by bpsdemak3321@gmail.com</t>
        </r>
      </text>
    </comment>
    <comment ref="G1563" authorId="0" shapeId="0" xr:uid="{00000000-0006-0000-0000-00004B0A0000}">
      <text>
        <r>
          <rPr>
            <sz val="10"/>
            <color rgb="FF000000"/>
            <rFont val="Arial"/>
            <scheme val="minor"/>
          </rPr>
          <t>Updated on 15-Jan-2026 09:24 AM by bpsdemak3321@gmail.com</t>
        </r>
      </text>
    </comment>
    <comment ref="H1563" authorId="0" shapeId="0" xr:uid="{00000000-0006-0000-0000-00004C0A0000}">
      <text>
        <r>
          <rPr>
            <sz val="10"/>
            <color rgb="FF000000"/>
            <rFont val="Arial"/>
            <scheme val="minor"/>
          </rPr>
          <t>Updated on 15-Jan-2026 09:24 AM by bpsdemak3321@gmail.com</t>
        </r>
      </text>
    </comment>
    <comment ref="G1564" authorId="0" shapeId="0" xr:uid="{00000000-0006-0000-0000-00004D0A0000}">
      <text>
        <r>
          <rPr>
            <sz val="10"/>
            <color rgb="FF000000"/>
            <rFont val="Arial"/>
            <scheme val="minor"/>
          </rPr>
          <t>Updated on 15-Jan-2026 09:26 AM by bpsdemak3321@gmail.com</t>
        </r>
      </text>
    </comment>
    <comment ref="H1564" authorId="0" shapeId="0" xr:uid="{00000000-0006-0000-0000-00004E0A0000}">
      <text>
        <r>
          <rPr>
            <sz val="10"/>
            <color rgb="FF000000"/>
            <rFont val="Arial"/>
            <scheme val="minor"/>
          </rPr>
          <t>Updated on 15-Jan-2026 09:26 AM by bpsdemak3321@gmail.com</t>
        </r>
      </text>
    </comment>
    <comment ref="G1565" authorId="0" shapeId="0" xr:uid="{00000000-0006-0000-0000-00004F0A0000}">
      <text>
        <r>
          <rPr>
            <sz val="10"/>
            <color rgb="FF000000"/>
            <rFont val="Arial"/>
            <scheme val="minor"/>
          </rPr>
          <t>Updated on 15-Jan-2026 09:26 AM by bpsdemak3321@gmail.com</t>
        </r>
      </text>
    </comment>
    <comment ref="H1565" authorId="0" shapeId="0" xr:uid="{00000000-0006-0000-0000-0000500A0000}">
      <text>
        <r>
          <rPr>
            <sz val="10"/>
            <color rgb="FF000000"/>
            <rFont val="Arial"/>
            <scheme val="minor"/>
          </rPr>
          <t>Updated on 15-Jan-2026 09:26 AM by bpsdemak3321@gmail.com</t>
        </r>
      </text>
    </comment>
    <comment ref="G1566" authorId="0" shapeId="0" xr:uid="{00000000-0006-0000-0000-0000510A0000}">
      <text>
        <r>
          <rPr>
            <sz val="10"/>
            <color rgb="FF000000"/>
            <rFont val="Arial"/>
            <scheme val="minor"/>
          </rPr>
          <t>Updated on 15-Jan-2026 09:30 AM by bpsdemak3321@gmail.com</t>
        </r>
      </text>
    </comment>
    <comment ref="H1566" authorId="0" shapeId="0" xr:uid="{00000000-0006-0000-0000-0000520A0000}">
      <text>
        <r>
          <rPr>
            <sz val="10"/>
            <color rgb="FF000000"/>
            <rFont val="Arial"/>
            <scheme val="minor"/>
          </rPr>
          <t>Updated on 15-Jan-2026 09:30 AM by bpsdemak3321@gmail.com</t>
        </r>
      </text>
    </comment>
    <comment ref="G1567" authorId="0" shapeId="0" xr:uid="{00000000-0006-0000-0000-0000530A0000}">
      <text>
        <r>
          <rPr>
            <sz val="10"/>
            <color rgb="FF000000"/>
            <rFont val="Arial"/>
            <scheme val="minor"/>
          </rPr>
          <t>Updated on 15-Jan-2026 09:30 AM by bpsdemak3321@gmail.com</t>
        </r>
      </text>
    </comment>
    <comment ref="H1567" authorId="0" shapeId="0" xr:uid="{00000000-0006-0000-0000-0000540A0000}">
      <text>
        <r>
          <rPr>
            <sz val="10"/>
            <color rgb="FF000000"/>
            <rFont val="Arial"/>
            <scheme val="minor"/>
          </rPr>
          <t>Updated on 15-Jan-2026 09:30 AM by bpsdemak3321@gmail.com</t>
        </r>
      </text>
    </comment>
    <comment ref="G1568" authorId="0" shapeId="0" xr:uid="{00000000-0006-0000-0000-0000550A0000}">
      <text>
        <r>
          <rPr>
            <sz val="10"/>
            <color rgb="FF000000"/>
            <rFont val="Arial"/>
            <scheme val="minor"/>
          </rPr>
          <t>Updated on 15-Jan-2026 09:31 AM by bpsdemak3321@gmail.com</t>
        </r>
      </text>
    </comment>
    <comment ref="H1568" authorId="0" shapeId="0" xr:uid="{00000000-0006-0000-0000-0000560A0000}">
      <text>
        <r>
          <rPr>
            <sz val="10"/>
            <color rgb="FF000000"/>
            <rFont val="Arial"/>
            <scheme val="minor"/>
          </rPr>
          <t>Updated on 15-Jan-2026 09:31 AM by bpsdemak3321@gmail.com</t>
        </r>
      </text>
    </comment>
    <comment ref="G1569" authorId="0" shapeId="0" xr:uid="{00000000-0006-0000-0000-0000570A0000}">
      <text>
        <r>
          <rPr>
            <sz val="10"/>
            <color rgb="FF000000"/>
            <rFont val="Arial"/>
            <scheme val="minor"/>
          </rPr>
          <t>Updated on 15-Jan-2026 09:34 AM by bpsdemak3321@gmail.com</t>
        </r>
      </text>
    </comment>
    <comment ref="H1569" authorId="0" shapeId="0" xr:uid="{00000000-0006-0000-0000-0000580A0000}">
      <text>
        <r>
          <rPr>
            <sz val="10"/>
            <color rgb="FF000000"/>
            <rFont val="Arial"/>
            <scheme val="minor"/>
          </rPr>
          <t>Updated on 15-Jan-2026 09:34 AM by bpsdemak3321@gmail.com</t>
        </r>
      </text>
    </comment>
    <comment ref="G1570" authorId="0" shapeId="0" xr:uid="{00000000-0006-0000-0000-0000590A0000}">
      <text>
        <r>
          <rPr>
            <sz val="10"/>
            <color rgb="FF000000"/>
            <rFont val="Arial"/>
            <scheme val="minor"/>
          </rPr>
          <t>Updated on 15-Jan-2026 09:35 AM by bpsdemak3321@gmail.com</t>
        </r>
      </text>
    </comment>
    <comment ref="H1570" authorId="0" shapeId="0" xr:uid="{00000000-0006-0000-0000-00005A0A0000}">
      <text>
        <r>
          <rPr>
            <sz val="10"/>
            <color rgb="FF000000"/>
            <rFont val="Arial"/>
            <scheme val="minor"/>
          </rPr>
          <t>Updated on 15-Jan-2026 09:35 AM by bpsdemak3321@gmail.com</t>
        </r>
      </text>
    </comment>
    <comment ref="G1571" authorId="0" shapeId="0" xr:uid="{00000000-0006-0000-0000-00005B0A0000}">
      <text>
        <r>
          <rPr>
            <sz val="10"/>
            <color rgb="FF000000"/>
            <rFont val="Arial"/>
            <scheme val="minor"/>
          </rPr>
          <t>Updated on 15-Jan-2026 09:36 AM by bpsdemak3321@gmail.com</t>
        </r>
      </text>
    </comment>
    <comment ref="H1571" authorId="0" shapeId="0" xr:uid="{00000000-0006-0000-0000-00005C0A0000}">
      <text>
        <r>
          <rPr>
            <sz val="10"/>
            <color rgb="FF000000"/>
            <rFont val="Arial"/>
            <scheme val="minor"/>
          </rPr>
          <t>Updated on 15-Jan-2026 09:36 AM by bpsdemak3321@gmail.com</t>
        </r>
      </text>
    </comment>
    <comment ref="G1572" authorId="0" shapeId="0" xr:uid="{00000000-0006-0000-0000-00005D0A0000}">
      <text>
        <r>
          <rPr>
            <sz val="10"/>
            <color rgb="FF000000"/>
            <rFont val="Arial"/>
            <scheme val="minor"/>
          </rPr>
          <t>Updated on 15-Jan-2026 09:36 AM by bpsdemak3321@gmail.com</t>
        </r>
      </text>
    </comment>
    <comment ref="H1572" authorId="0" shapeId="0" xr:uid="{00000000-0006-0000-0000-00005E0A0000}">
      <text>
        <r>
          <rPr>
            <sz val="10"/>
            <color rgb="FF000000"/>
            <rFont val="Arial"/>
            <scheme val="minor"/>
          </rPr>
          <t>Updated on 15-Jan-2026 09:36 AM by bpsdemak3321@gmail.com</t>
        </r>
      </text>
    </comment>
    <comment ref="G1573" authorId="0" shapeId="0" xr:uid="{00000000-0006-0000-0000-00005F0A0000}">
      <text>
        <r>
          <rPr>
            <sz val="10"/>
            <color rgb="FF000000"/>
            <rFont val="Arial"/>
            <scheme val="minor"/>
          </rPr>
          <t>Updated on 15-Jan-2026 09:36 AM by bpsdemak3321@gmail.com</t>
        </r>
      </text>
    </comment>
    <comment ref="H1573" authorId="0" shapeId="0" xr:uid="{00000000-0006-0000-0000-0000600A0000}">
      <text>
        <r>
          <rPr>
            <sz val="10"/>
            <color rgb="FF000000"/>
            <rFont val="Arial"/>
            <scheme val="minor"/>
          </rPr>
          <t>Updated on 15-Jan-2026 09:36 AM by bpsdemak3321@gmail.com</t>
        </r>
      </text>
    </comment>
    <comment ref="G1574" authorId="0" shapeId="0" xr:uid="{00000000-0006-0000-0000-0000610A0000}">
      <text>
        <r>
          <rPr>
            <sz val="10"/>
            <color rgb="FF000000"/>
            <rFont val="Arial"/>
            <scheme val="minor"/>
          </rPr>
          <t>Updated on 15-Jan-2026 10:55 AM by bpsdemak3321@gmail.com</t>
        </r>
      </text>
    </comment>
    <comment ref="H1574" authorId="0" shapeId="0" xr:uid="{00000000-0006-0000-0000-0000620A0000}">
      <text>
        <r>
          <rPr>
            <sz val="10"/>
            <color rgb="FF000000"/>
            <rFont val="Arial"/>
            <scheme val="minor"/>
          </rPr>
          <t>Updated on 15-Jan-2026 10:55 AM by bpsdemak3321@gmail.com</t>
        </r>
      </text>
    </comment>
    <comment ref="G1575" authorId="0" shapeId="0" xr:uid="{00000000-0006-0000-0000-0000630A0000}">
      <text>
        <r>
          <rPr>
            <sz val="10"/>
            <color rgb="FF000000"/>
            <rFont val="Arial"/>
            <scheme val="minor"/>
          </rPr>
          <t>Updated on 15-Jan-2026 10:58 AM by bpsdemak3321@gmail.com</t>
        </r>
      </text>
    </comment>
    <comment ref="H1575" authorId="0" shapeId="0" xr:uid="{00000000-0006-0000-0000-0000640A0000}">
      <text>
        <r>
          <rPr>
            <sz val="10"/>
            <color rgb="FF000000"/>
            <rFont val="Arial"/>
            <scheme val="minor"/>
          </rPr>
          <t>Updated on 15-Jan-2026 10:58 AM by bpsdemak3321@gmail.com</t>
        </r>
      </text>
    </comment>
    <comment ref="G1576" authorId="0" shapeId="0" xr:uid="{00000000-0006-0000-0000-0000650A0000}">
      <text>
        <r>
          <rPr>
            <sz val="10"/>
            <color rgb="FF000000"/>
            <rFont val="Arial"/>
            <scheme val="minor"/>
          </rPr>
          <t>Updated on 15-Jan-2026 10:59 AM by bpsdemak3321@gmail.com</t>
        </r>
      </text>
    </comment>
    <comment ref="H1576" authorId="0" shapeId="0" xr:uid="{00000000-0006-0000-0000-0000660A0000}">
      <text>
        <r>
          <rPr>
            <sz val="10"/>
            <color rgb="FF000000"/>
            <rFont val="Arial"/>
            <scheme val="minor"/>
          </rPr>
          <t>Updated on 15-Jan-2026 10:59 AM by bpsdemak3321@gmail.com</t>
        </r>
      </text>
    </comment>
    <comment ref="G1577" authorId="0" shapeId="0" xr:uid="{00000000-0006-0000-0000-0000670A0000}">
      <text>
        <r>
          <rPr>
            <sz val="10"/>
            <color rgb="FF000000"/>
            <rFont val="Arial"/>
            <scheme val="minor"/>
          </rPr>
          <t>Updated on 15-Jan-2026 10:59 AM by bpsdemak3321@gmail.com</t>
        </r>
      </text>
    </comment>
    <comment ref="H1577" authorId="0" shapeId="0" xr:uid="{00000000-0006-0000-0000-0000680A0000}">
      <text>
        <r>
          <rPr>
            <sz val="10"/>
            <color rgb="FF000000"/>
            <rFont val="Arial"/>
            <scheme val="minor"/>
          </rPr>
          <t>Updated on 15-Jan-2026 10:59 AM by bpsdemak3321@gmail.com</t>
        </r>
      </text>
    </comment>
    <comment ref="G1578" authorId="0" shapeId="0" xr:uid="{00000000-0006-0000-0000-0000690A0000}">
      <text>
        <r>
          <rPr>
            <sz val="10"/>
            <color rgb="FF000000"/>
            <rFont val="Arial"/>
            <scheme val="minor"/>
          </rPr>
          <t>Updated on 15-Jan-2026 11:06 AM by bpsdemak3321@gmail.com</t>
        </r>
      </text>
    </comment>
    <comment ref="H1578" authorId="0" shapeId="0" xr:uid="{00000000-0006-0000-0000-00006A0A0000}">
      <text>
        <r>
          <rPr>
            <sz val="10"/>
            <color rgb="FF000000"/>
            <rFont val="Arial"/>
            <scheme val="minor"/>
          </rPr>
          <t>Updated on 15-Jan-2026 11:06 AM by bpsdemak3321@gmail.com</t>
        </r>
      </text>
    </comment>
    <comment ref="G1579" authorId="0" shapeId="0" xr:uid="{00000000-0006-0000-0000-00006B0A0000}">
      <text>
        <r>
          <rPr>
            <sz val="10"/>
            <color rgb="FF000000"/>
            <rFont val="Arial"/>
            <scheme val="minor"/>
          </rPr>
          <t>Updated on 15-Jan-2026 01:58 PM by bpsdemak3321@gmail.com</t>
        </r>
      </text>
    </comment>
    <comment ref="H1579" authorId="0" shapeId="0" xr:uid="{00000000-0006-0000-0000-00006C0A0000}">
      <text>
        <r>
          <rPr>
            <sz val="10"/>
            <color rgb="FF000000"/>
            <rFont val="Arial"/>
            <scheme val="minor"/>
          </rPr>
          <t>Updated on 15-Jan-2026 01:58 PM by bpsdemak3321@gmail.com</t>
        </r>
      </text>
    </comment>
    <comment ref="G1580" authorId="0" shapeId="0" xr:uid="{00000000-0006-0000-0000-00006D0A0000}">
      <text>
        <r>
          <rPr>
            <sz val="10"/>
            <color rgb="FF000000"/>
            <rFont val="Arial"/>
            <scheme val="minor"/>
          </rPr>
          <t>Updated on 15-Jan-2026 01:58 PM by bpsdemak3321@gmail.com</t>
        </r>
      </text>
    </comment>
    <comment ref="H1580" authorId="0" shapeId="0" xr:uid="{00000000-0006-0000-0000-00006E0A0000}">
      <text>
        <r>
          <rPr>
            <sz val="10"/>
            <color rgb="FF000000"/>
            <rFont val="Arial"/>
            <scheme val="minor"/>
          </rPr>
          <t>Updated on 15-Jan-2026 01:58 PM by bpsdemak3321@gmail.com</t>
        </r>
      </text>
    </comment>
    <comment ref="G1581" authorId="0" shapeId="0" xr:uid="{00000000-0006-0000-0000-00006F0A0000}">
      <text>
        <r>
          <rPr>
            <sz val="10"/>
            <color rgb="FF000000"/>
            <rFont val="Arial"/>
            <scheme val="minor"/>
          </rPr>
          <t>Updated on 15-Jan-2026 01:59 PM by bpsdemak3321@gmail.com</t>
        </r>
      </text>
    </comment>
    <comment ref="H1581" authorId="0" shapeId="0" xr:uid="{00000000-0006-0000-0000-0000700A0000}">
      <text>
        <r>
          <rPr>
            <sz val="10"/>
            <color rgb="FF000000"/>
            <rFont val="Arial"/>
            <scheme val="minor"/>
          </rPr>
          <t>Updated on 15-Jan-2026 01:59 PM by bpsdemak3321@gmail.com</t>
        </r>
      </text>
    </comment>
    <comment ref="G1582" authorId="0" shapeId="0" xr:uid="{00000000-0006-0000-0000-0000710A0000}">
      <text>
        <r>
          <rPr>
            <sz val="10"/>
            <color rgb="FF000000"/>
            <rFont val="Arial"/>
            <scheme val="minor"/>
          </rPr>
          <t>Updated on 15-Jan-2026 02:00 PM by bpsdemak3321@gmail.com</t>
        </r>
      </text>
    </comment>
    <comment ref="H1582" authorId="0" shapeId="0" xr:uid="{00000000-0006-0000-0000-0000720A0000}">
      <text>
        <r>
          <rPr>
            <sz val="10"/>
            <color rgb="FF000000"/>
            <rFont val="Arial"/>
            <scheme val="minor"/>
          </rPr>
          <t>Updated on 15-Jan-2026 02:00 PM by bpsdemak3321@gmail.com</t>
        </r>
      </text>
    </comment>
    <comment ref="G1583" authorId="0" shapeId="0" xr:uid="{00000000-0006-0000-0000-0000730A0000}">
      <text>
        <r>
          <rPr>
            <sz val="10"/>
            <color rgb="FF000000"/>
            <rFont val="Arial"/>
            <scheme val="minor"/>
          </rPr>
          <t>Updated on 15-Jan-2026 02:00 PM by bpsdemak3321@gmail.com</t>
        </r>
      </text>
    </comment>
    <comment ref="H1583" authorId="0" shapeId="0" xr:uid="{00000000-0006-0000-0000-0000740A0000}">
      <text>
        <r>
          <rPr>
            <sz val="10"/>
            <color rgb="FF000000"/>
            <rFont val="Arial"/>
            <scheme val="minor"/>
          </rPr>
          <t>Updated on 15-Jan-2026 02:00 PM by bpsdemak3321@gmail.com</t>
        </r>
      </text>
    </comment>
    <comment ref="G1584" authorId="0" shapeId="0" xr:uid="{00000000-0006-0000-0000-0000750A0000}">
      <text>
        <r>
          <rPr>
            <sz val="10"/>
            <color rgb="FF000000"/>
            <rFont val="Arial"/>
            <scheme val="minor"/>
          </rPr>
          <t>Updated on 15-Jan-2026 02:01 PM by bpsdemak3321@gmail.com</t>
        </r>
      </text>
    </comment>
    <comment ref="H1584" authorId="0" shapeId="0" xr:uid="{00000000-0006-0000-0000-0000760A0000}">
      <text>
        <r>
          <rPr>
            <sz val="10"/>
            <color rgb="FF000000"/>
            <rFont val="Arial"/>
            <scheme val="minor"/>
          </rPr>
          <t>Updated on 15-Jan-2026 02:01 PM by bpsdemak3321@gmail.com</t>
        </r>
      </text>
    </comment>
    <comment ref="G1585" authorId="0" shapeId="0" xr:uid="{00000000-0006-0000-0000-0000770A0000}">
      <text>
        <r>
          <rPr>
            <sz val="10"/>
            <color rgb="FF000000"/>
            <rFont val="Arial"/>
            <scheme val="minor"/>
          </rPr>
          <t>Updated on 15-Jan-2026 02:01 PM by bpsdemak3321@gmail.com</t>
        </r>
      </text>
    </comment>
    <comment ref="H1585" authorId="0" shapeId="0" xr:uid="{00000000-0006-0000-0000-0000780A0000}">
      <text>
        <r>
          <rPr>
            <sz val="10"/>
            <color rgb="FF000000"/>
            <rFont val="Arial"/>
            <scheme val="minor"/>
          </rPr>
          <t>Updated on 15-Jan-2026 02:01 PM by bpsdemak3321@gmail.com</t>
        </r>
      </text>
    </comment>
    <comment ref="G1586" authorId="0" shapeId="0" xr:uid="{00000000-0006-0000-0000-0000790A0000}">
      <text>
        <r>
          <rPr>
            <sz val="10"/>
            <color rgb="FF000000"/>
            <rFont val="Arial"/>
            <scheme val="minor"/>
          </rPr>
          <t>Updated on 15-Jan-2026 02:09 PM by bpsdemak3321@gmail.com</t>
        </r>
      </text>
    </comment>
    <comment ref="H1586" authorId="0" shapeId="0" xr:uid="{00000000-0006-0000-0000-00007A0A0000}">
      <text>
        <r>
          <rPr>
            <sz val="10"/>
            <color rgb="FF000000"/>
            <rFont val="Arial"/>
            <scheme val="minor"/>
          </rPr>
          <t>Updated on 15-Jan-2026 02:09 PM by bpsdemak3321@gmail.com</t>
        </r>
      </text>
    </comment>
    <comment ref="G1587" authorId="0" shapeId="0" xr:uid="{00000000-0006-0000-0000-00007B0A0000}">
      <text>
        <r>
          <rPr>
            <sz val="10"/>
            <color rgb="FF000000"/>
            <rFont val="Arial"/>
            <scheme val="minor"/>
          </rPr>
          <t>Updated on 15-Jan-2026 02:10 PM by bpsdemak3321@gmail.com</t>
        </r>
      </text>
    </comment>
    <comment ref="H1587" authorId="0" shapeId="0" xr:uid="{00000000-0006-0000-0000-00007C0A0000}">
      <text>
        <r>
          <rPr>
            <sz val="10"/>
            <color rgb="FF000000"/>
            <rFont val="Arial"/>
            <scheme val="minor"/>
          </rPr>
          <t>Updated on 15-Jan-2026 02:10 PM by bpsdemak3321@gmail.com</t>
        </r>
      </text>
    </comment>
    <comment ref="G1588" authorId="0" shapeId="0" xr:uid="{00000000-0006-0000-0000-00007D0A0000}">
      <text>
        <r>
          <rPr>
            <sz val="10"/>
            <color rgb="FF000000"/>
            <rFont val="Arial"/>
            <scheme val="minor"/>
          </rPr>
          <t>Updated on 15-Jan-2026 02:13 PM by bpsdemak3321@gmail.com</t>
        </r>
      </text>
    </comment>
    <comment ref="H1588" authorId="0" shapeId="0" xr:uid="{00000000-0006-0000-0000-00007E0A0000}">
      <text>
        <r>
          <rPr>
            <sz val="10"/>
            <color rgb="FF000000"/>
            <rFont val="Arial"/>
            <scheme val="minor"/>
          </rPr>
          <t>Updated on 15-Jan-2026 02:13 PM by bpsdemak3321@gmail.com</t>
        </r>
      </text>
    </comment>
    <comment ref="G1589" authorId="0" shapeId="0" xr:uid="{00000000-0006-0000-0000-00007F0A0000}">
      <text>
        <r>
          <rPr>
            <sz val="10"/>
            <color rgb="FF000000"/>
            <rFont val="Arial"/>
            <scheme val="minor"/>
          </rPr>
          <t>Updated on 15-Jan-2026 02:16 PM by bpsdemak3321@gmail.com</t>
        </r>
      </text>
    </comment>
    <comment ref="H1589" authorId="0" shapeId="0" xr:uid="{00000000-0006-0000-0000-0000800A0000}">
      <text>
        <r>
          <rPr>
            <sz val="10"/>
            <color rgb="FF000000"/>
            <rFont val="Arial"/>
            <scheme val="minor"/>
          </rPr>
          <t>Updated on 15-Jan-2026 02:16 PM by bpsdemak3321@gmail.com</t>
        </r>
      </text>
    </comment>
    <comment ref="G1590" authorId="0" shapeId="0" xr:uid="{00000000-0006-0000-0000-0000810A0000}">
      <text>
        <r>
          <rPr>
            <sz val="10"/>
            <color rgb="FF000000"/>
            <rFont val="Arial"/>
            <scheme val="minor"/>
          </rPr>
          <t>Updated on 15-Jan-2026 02:16 PM by bpsdemak3321@gmail.com</t>
        </r>
      </text>
    </comment>
    <comment ref="H1590" authorId="0" shapeId="0" xr:uid="{00000000-0006-0000-0000-0000820A0000}">
      <text>
        <r>
          <rPr>
            <sz val="10"/>
            <color rgb="FF000000"/>
            <rFont val="Arial"/>
            <scheme val="minor"/>
          </rPr>
          <t>Updated on 15-Jan-2026 02:16 PM by bpsdemak3321@gmail.com</t>
        </r>
      </text>
    </comment>
    <comment ref="G1591" authorId="0" shapeId="0" xr:uid="{00000000-0006-0000-0000-0000830A0000}">
      <text>
        <r>
          <rPr>
            <sz val="10"/>
            <color rgb="FF000000"/>
            <rFont val="Arial"/>
            <scheme val="minor"/>
          </rPr>
          <t>Updated on 15-Jan-2026 02:17 PM by bpsdemak3321@gmail.com</t>
        </r>
      </text>
    </comment>
    <comment ref="H1591" authorId="0" shapeId="0" xr:uid="{00000000-0006-0000-0000-0000840A0000}">
      <text>
        <r>
          <rPr>
            <sz val="10"/>
            <color rgb="FF000000"/>
            <rFont val="Arial"/>
            <scheme val="minor"/>
          </rPr>
          <t>Updated on 15-Jan-2026 02:17 PM by bpsdemak3321@gmail.com</t>
        </r>
      </text>
    </comment>
    <comment ref="G1592" authorId="0" shapeId="0" xr:uid="{00000000-0006-0000-0000-0000850A0000}">
      <text>
        <r>
          <rPr>
            <sz val="10"/>
            <color rgb="FF000000"/>
            <rFont val="Arial"/>
            <scheme val="minor"/>
          </rPr>
          <t>Updated on 15-Jan-2026 02:23 PM by bpsdemak3321@gmail.com</t>
        </r>
      </text>
    </comment>
    <comment ref="H1592" authorId="0" shapeId="0" xr:uid="{00000000-0006-0000-0000-0000860A0000}">
      <text>
        <r>
          <rPr>
            <sz val="10"/>
            <color rgb="FF000000"/>
            <rFont val="Arial"/>
            <scheme val="minor"/>
          </rPr>
          <t>Updated on 15-Jan-2026 02:23 PM by bpsdemak3321@gmail.com</t>
        </r>
      </text>
    </comment>
    <comment ref="G1593" authorId="0" shapeId="0" xr:uid="{00000000-0006-0000-0000-0000870A0000}">
      <text>
        <r>
          <rPr>
            <sz val="10"/>
            <color rgb="FF000000"/>
            <rFont val="Arial"/>
            <scheme val="minor"/>
          </rPr>
          <t>Updated on 15-Jan-2026 02:24 PM by bpsdemak3321@gmail.com</t>
        </r>
      </text>
    </comment>
    <comment ref="H1593" authorId="0" shapeId="0" xr:uid="{00000000-0006-0000-0000-0000880A0000}">
      <text>
        <r>
          <rPr>
            <sz val="10"/>
            <color rgb="FF000000"/>
            <rFont val="Arial"/>
            <scheme val="minor"/>
          </rPr>
          <t>Updated on 15-Jan-2026 02:24 PM by bpsdemak3321@gmail.com</t>
        </r>
      </text>
    </comment>
    <comment ref="G1594" authorId="0" shapeId="0" xr:uid="{00000000-0006-0000-0000-0000890A0000}">
      <text>
        <r>
          <rPr>
            <sz val="10"/>
            <color rgb="FF000000"/>
            <rFont val="Arial"/>
            <scheme val="minor"/>
          </rPr>
          <t>Updated on 15-Jan-2026 02:26 PM by bpsdemak3321@gmail.com</t>
        </r>
      </text>
    </comment>
    <comment ref="H1594" authorId="0" shapeId="0" xr:uid="{00000000-0006-0000-0000-00008A0A0000}">
      <text>
        <r>
          <rPr>
            <sz val="10"/>
            <color rgb="FF000000"/>
            <rFont val="Arial"/>
            <scheme val="minor"/>
          </rPr>
          <t>Updated on 15-Jan-2026 02:26 PM by bpsdemak3321@gmail.com</t>
        </r>
      </text>
    </comment>
    <comment ref="G1595" authorId="0" shapeId="0" xr:uid="{00000000-0006-0000-0000-00008B0A0000}">
      <text>
        <r>
          <rPr>
            <sz val="10"/>
            <color rgb="FF000000"/>
            <rFont val="Arial"/>
            <scheme val="minor"/>
          </rPr>
          <t>Updated on 15-Jan-2026 02:26 PM by bpsdemak3321@gmail.com</t>
        </r>
      </text>
    </comment>
    <comment ref="H1595" authorId="0" shapeId="0" xr:uid="{00000000-0006-0000-0000-00008C0A0000}">
      <text>
        <r>
          <rPr>
            <sz val="10"/>
            <color rgb="FF000000"/>
            <rFont val="Arial"/>
            <scheme val="minor"/>
          </rPr>
          <t>Updated on 15-Jan-2026 02:26 PM by bpsdemak3321@gmail.com</t>
        </r>
      </text>
    </comment>
    <comment ref="G1596" authorId="0" shapeId="0" xr:uid="{00000000-0006-0000-0000-00008D0A0000}">
      <text>
        <r>
          <rPr>
            <sz val="10"/>
            <color rgb="FF000000"/>
            <rFont val="Arial"/>
            <scheme val="minor"/>
          </rPr>
          <t>Updated on 15-Jan-2026 02:27 PM by bpsdemak3321@gmail.com</t>
        </r>
      </text>
    </comment>
    <comment ref="H1596" authorId="0" shapeId="0" xr:uid="{00000000-0006-0000-0000-00008E0A0000}">
      <text>
        <r>
          <rPr>
            <sz val="10"/>
            <color rgb="FF000000"/>
            <rFont val="Arial"/>
            <scheme val="minor"/>
          </rPr>
          <t>Updated on 15-Jan-2026 02:27 PM by bpsdemak3321@gmail.com</t>
        </r>
      </text>
    </comment>
    <comment ref="G1597" authorId="0" shapeId="0" xr:uid="{00000000-0006-0000-0000-00008F0A0000}">
      <text>
        <r>
          <rPr>
            <sz val="10"/>
            <color rgb="FF000000"/>
            <rFont val="Arial"/>
            <scheme val="minor"/>
          </rPr>
          <t>Updated on 15-Jan-2026 02:27 PM by bpsdemak3321@gmail.com</t>
        </r>
      </text>
    </comment>
    <comment ref="H1597" authorId="0" shapeId="0" xr:uid="{00000000-0006-0000-0000-0000900A0000}">
      <text>
        <r>
          <rPr>
            <sz val="10"/>
            <color rgb="FF000000"/>
            <rFont val="Arial"/>
            <scheme val="minor"/>
          </rPr>
          <t>Updated on 15-Jan-2026 02:27 PM by bpsdemak3321@gmail.com</t>
        </r>
      </text>
    </comment>
    <comment ref="G1598" authorId="0" shapeId="0" xr:uid="{00000000-0006-0000-0000-0000910A0000}">
      <text>
        <r>
          <rPr>
            <sz val="10"/>
            <color rgb="FF000000"/>
            <rFont val="Arial"/>
            <scheme val="minor"/>
          </rPr>
          <t>Updated on 15-Jan-2026 02:55 PM by bpsdemak3321@gmail.com</t>
        </r>
      </text>
    </comment>
    <comment ref="H1598" authorId="0" shapeId="0" xr:uid="{00000000-0006-0000-0000-0000920A0000}">
      <text>
        <r>
          <rPr>
            <sz val="10"/>
            <color rgb="FF000000"/>
            <rFont val="Arial"/>
            <scheme val="minor"/>
          </rPr>
          <t>Updated on 15-Jan-2026 02:55 PM by bpsdemak3321@gmail.com</t>
        </r>
      </text>
    </comment>
    <comment ref="G1599" authorId="0" shapeId="0" xr:uid="{00000000-0006-0000-0000-0000930A0000}">
      <text>
        <r>
          <rPr>
            <sz val="10"/>
            <color rgb="FF000000"/>
            <rFont val="Arial"/>
            <scheme val="minor"/>
          </rPr>
          <t>Updated on 15-Jan-2026 02:56 PM by bpsdemak3321@gmail.com</t>
        </r>
      </text>
    </comment>
    <comment ref="H1599" authorId="0" shapeId="0" xr:uid="{00000000-0006-0000-0000-0000940A0000}">
      <text>
        <r>
          <rPr>
            <sz val="10"/>
            <color rgb="FF000000"/>
            <rFont val="Arial"/>
            <scheme val="minor"/>
          </rPr>
          <t>Updated on 15-Jan-2026 02:56 PM by bpsdemak3321@gmail.com</t>
        </r>
      </text>
    </comment>
    <comment ref="G1600" authorId="0" shapeId="0" xr:uid="{00000000-0006-0000-0000-0000950A0000}">
      <text>
        <r>
          <rPr>
            <sz val="10"/>
            <color rgb="FF000000"/>
            <rFont val="Arial"/>
            <scheme val="minor"/>
          </rPr>
          <t>Updated on 15-Jan-2026 02:56 PM by bpsdemak3321@gmail.com</t>
        </r>
      </text>
    </comment>
    <comment ref="H1600" authorId="0" shapeId="0" xr:uid="{00000000-0006-0000-0000-0000960A0000}">
      <text>
        <r>
          <rPr>
            <sz val="10"/>
            <color rgb="FF000000"/>
            <rFont val="Arial"/>
            <scheme val="minor"/>
          </rPr>
          <t>Updated on 15-Jan-2026 02:56 PM by bpsdemak3321@gmail.com</t>
        </r>
      </text>
    </comment>
    <comment ref="G1601" authorId="0" shapeId="0" xr:uid="{00000000-0006-0000-0000-0000970A0000}">
      <text>
        <r>
          <rPr>
            <sz val="10"/>
            <color rgb="FF000000"/>
            <rFont val="Arial"/>
            <scheme val="minor"/>
          </rPr>
          <t>Updated on 15-Jan-2026 02:57 PM by bpsdemak3321@gmail.com</t>
        </r>
      </text>
    </comment>
    <comment ref="H1601" authorId="0" shapeId="0" xr:uid="{00000000-0006-0000-0000-0000980A0000}">
      <text>
        <r>
          <rPr>
            <sz val="10"/>
            <color rgb="FF000000"/>
            <rFont val="Arial"/>
            <scheme val="minor"/>
          </rPr>
          <t>Updated on 15-Jan-2026 02:57 PM by bpsdemak3321@gmail.com</t>
        </r>
      </text>
    </comment>
    <comment ref="G1602" authorId="0" shapeId="0" xr:uid="{00000000-0006-0000-0000-0000990A0000}">
      <text>
        <r>
          <rPr>
            <sz val="10"/>
            <color rgb="FF000000"/>
            <rFont val="Arial"/>
            <scheme val="minor"/>
          </rPr>
          <t>Updated on 15-Jan-2026 03:05 PM by bpsdemak3321@gmail.com</t>
        </r>
      </text>
    </comment>
    <comment ref="H1602" authorId="0" shapeId="0" xr:uid="{00000000-0006-0000-0000-00009A0A0000}">
      <text>
        <r>
          <rPr>
            <sz val="10"/>
            <color rgb="FF000000"/>
            <rFont val="Arial"/>
            <scheme val="minor"/>
          </rPr>
          <t>Updated on 15-Jan-2026 03:05 PM by bpsdemak3321@gmail.com</t>
        </r>
      </text>
    </comment>
    <comment ref="G1603" authorId="0" shapeId="0" xr:uid="{00000000-0006-0000-0000-00009B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H1603" authorId="0" shapeId="0" xr:uid="{00000000-0006-0000-0000-00009C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G1604" authorId="0" shapeId="0" xr:uid="{00000000-0006-0000-0000-00009D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H1604" authorId="0" shapeId="0" xr:uid="{00000000-0006-0000-0000-00009E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G1605" authorId="0" shapeId="0" xr:uid="{00000000-0006-0000-0000-00009F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H1605" authorId="0" shapeId="0" xr:uid="{00000000-0006-0000-0000-0000A0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G1606" authorId="0" shapeId="0" xr:uid="{00000000-0006-0000-0000-0000A1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H1606" authorId="0" shapeId="0" xr:uid="{00000000-0006-0000-0000-0000A20A0000}">
      <text>
        <r>
          <rPr>
            <sz val="10"/>
            <color rgb="FF000000"/>
            <rFont val="Arial"/>
            <scheme val="minor"/>
          </rPr>
          <t>Updated on 15-Jan-2026 03:06 PM by bpsdemak3321@gmail.com</t>
        </r>
      </text>
    </comment>
    <comment ref="G1607" authorId="0" shapeId="0" xr:uid="{00000000-0006-0000-0000-0000A30A0000}">
      <text>
        <r>
          <rPr>
            <sz val="10"/>
            <color rgb="FF000000"/>
            <rFont val="Arial"/>
            <scheme val="minor"/>
          </rPr>
          <t>Updated on 15-Jan-2026 03:07 PM by bpsdemak3321@gmail.com</t>
        </r>
      </text>
    </comment>
    <comment ref="H1607" authorId="0" shapeId="0" xr:uid="{00000000-0006-0000-0000-0000A40A0000}">
      <text>
        <r>
          <rPr>
            <sz val="10"/>
            <color rgb="FF000000"/>
            <rFont val="Arial"/>
            <scheme val="minor"/>
          </rPr>
          <t>Updated on 15-Jan-2026 03:07 PM by bpsdemak3321@gmail.com</t>
        </r>
      </text>
    </comment>
    <comment ref="G1608" authorId="0" shapeId="0" xr:uid="{00000000-0006-0000-0000-0000A50A0000}">
      <text>
        <r>
          <rPr>
            <sz val="10"/>
            <color rgb="FF000000"/>
            <rFont val="Arial"/>
            <scheme val="minor"/>
          </rPr>
          <t>Updated on 15-Jan-2026 03:07 PM by bpsdemak3321@gmail.com</t>
        </r>
      </text>
    </comment>
    <comment ref="H1608" authorId="0" shapeId="0" xr:uid="{00000000-0006-0000-0000-0000A60A0000}">
      <text>
        <r>
          <rPr>
            <sz val="10"/>
            <color rgb="FF000000"/>
            <rFont val="Arial"/>
            <scheme val="minor"/>
          </rPr>
          <t>Updated on 15-Jan-2026 03:07 PM by bpsdemak3321@gmail.com</t>
        </r>
      </text>
    </comment>
    <comment ref="G1609" authorId="0" shapeId="0" xr:uid="{00000000-0006-0000-0000-0000A70A0000}">
      <text>
        <r>
          <rPr>
            <sz val="10"/>
            <color rgb="FF000000"/>
            <rFont val="Arial"/>
            <scheme val="minor"/>
          </rPr>
          <t>Updated on 15-Jan-2026 03:07 PM by bpsdemak3321@gmail.com</t>
        </r>
      </text>
    </comment>
    <comment ref="H1609" authorId="0" shapeId="0" xr:uid="{00000000-0006-0000-0000-0000A80A0000}">
      <text>
        <r>
          <rPr>
            <sz val="10"/>
            <color rgb="FF000000"/>
            <rFont val="Arial"/>
            <scheme val="minor"/>
          </rPr>
          <t>Updated on 15-Jan-2026 03:07 PM by bpsdemak3321@gmail.com</t>
        </r>
      </text>
    </comment>
    <comment ref="G1610" authorId="0" shapeId="0" xr:uid="{00000000-0006-0000-0000-0000A90A0000}">
      <text>
        <r>
          <rPr>
            <sz val="10"/>
            <color rgb="FF000000"/>
            <rFont val="Arial"/>
            <scheme val="minor"/>
          </rPr>
          <t>Updated on 15-Jan-2026 03:08 PM by bpsdemak3321@gmail.com</t>
        </r>
      </text>
    </comment>
    <comment ref="H1610" authorId="0" shapeId="0" xr:uid="{00000000-0006-0000-0000-0000AA0A0000}">
      <text>
        <r>
          <rPr>
            <sz val="10"/>
            <color rgb="FF000000"/>
            <rFont val="Arial"/>
            <scheme val="minor"/>
          </rPr>
          <t>Updated on 15-Jan-2026 03:08 PM by bpsdemak3321@gmail.com</t>
        </r>
      </text>
    </comment>
    <comment ref="G1611" authorId="0" shapeId="0" xr:uid="{00000000-0006-0000-0000-0000AB0A0000}">
      <text>
        <r>
          <rPr>
            <sz val="10"/>
            <color rgb="FF000000"/>
            <rFont val="Arial"/>
            <scheme val="minor"/>
          </rPr>
          <t>Updated on 15-Jan-2026 03:09 PM by bpsdemak3321@gmail.com</t>
        </r>
      </text>
    </comment>
    <comment ref="H1611" authorId="0" shapeId="0" xr:uid="{00000000-0006-0000-0000-0000AC0A0000}">
      <text>
        <r>
          <rPr>
            <sz val="10"/>
            <color rgb="FF000000"/>
            <rFont val="Arial"/>
            <scheme val="minor"/>
          </rPr>
          <t>Updated on 15-Jan-2026 03:09 PM by bpsdemak3321@gmail.com</t>
        </r>
      </text>
    </comment>
    <comment ref="G1612" authorId="0" shapeId="0" xr:uid="{00000000-0006-0000-0000-0000AD0A0000}">
      <text>
        <r>
          <rPr>
            <sz val="10"/>
            <color rgb="FF000000"/>
            <rFont val="Arial"/>
            <scheme val="minor"/>
          </rPr>
          <t>Updated on 15-Jan-2026 03:10 PM by bpsdemak3321@gmail.com</t>
        </r>
      </text>
    </comment>
    <comment ref="H1612" authorId="0" shapeId="0" xr:uid="{00000000-0006-0000-0000-0000AE0A0000}">
      <text>
        <r>
          <rPr>
            <sz val="10"/>
            <color rgb="FF000000"/>
            <rFont val="Arial"/>
            <scheme val="minor"/>
          </rPr>
          <t>Updated on 15-Jan-2026 03:10 PM by bpsdemak3321@gmail.com</t>
        </r>
      </text>
    </comment>
    <comment ref="G1613" authorId="0" shapeId="0" xr:uid="{00000000-0006-0000-0000-0000AF0A0000}">
      <text>
        <r>
          <rPr>
            <sz val="10"/>
            <color rgb="FF000000"/>
            <rFont val="Arial"/>
            <scheme val="minor"/>
          </rPr>
          <t>Updated on 15-Jan-2026 03:11 PM by bpsdemak3321@gmail.com</t>
        </r>
      </text>
    </comment>
    <comment ref="H1613" authorId="0" shapeId="0" xr:uid="{00000000-0006-0000-0000-0000B00A0000}">
      <text>
        <r>
          <rPr>
            <sz val="10"/>
            <color rgb="FF000000"/>
            <rFont val="Arial"/>
            <scheme val="minor"/>
          </rPr>
          <t>Updated on 15-Jan-2026 03:11 PM by bpsdemak3321@gmail.com</t>
        </r>
      </text>
    </comment>
    <comment ref="G1614" authorId="0" shapeId="0" xr:uid="{00000000-0006-0000-0000-0000B10A0000}">
      <text>
        <r>
          <rPr>
            <sz val="10"/>
            <color rgb="FF000000"/>
            <rFont val="Arial"/>
            <scheme val="minor"/>
          </rPr>
          <t>Updated on 15-Jan-2026 03:31 PM by bpsdemak3321@gmail.com</t>
        </r>
      </text>
    </comment>
    <comment ref="H1614" authorId="0" shapeId="0" xr:uid="{00000000-0006-0000-0000-0000B20A0000}">
      <text>
        <r>
          <rPr>
            <sz val="10"/>
            <color rgb="FF000000"/>
            <rFont val="Arial"/>
            <scheme val="minor"/>
          </rPr>
          <t>Updated on 15-Jan-2026 03:31 PM by bpsdemak3321@gmail.com</t>
        </r>
      </text>
    </comment>
    <comment ref="G1615" authorId="0" shapeId="0" xr:uid="{00000000-0006-0000-0000-0000B30A0000}">
      <text>
        <r>
          <rPr>
            <sz val="10"/>
            <color rgb="FF000000"/>
            <rFont val="Arial"/>
            <scheme val="minor"/>
          </rPr>
          <t>Updated on 15-Jan-2026 03:32 PM by bpsdemak3321@gmail.com</t>
        </r>
      </text>
    </comment>
    <comment ref="H1615" authorId="0" shapeId="0" xr:uid="{00000000-0006-0000-0000-0000B40A0000}">
      <text>
        <r>
          <rPr>
            <sz val="10"/>
            <color rgb="FF000000"/>
            <rFont val="Arial"/>
            <scheme val="minor"/>
          </rPr>
          <t>Updated on 15-Jan-2026 03:32 PM by bpsdemak3321@gmail.com</t>
        </r>
      </text>
    </comment>
    <comment ref="G1616" authorId="0" shapeId="0" xr:uid="{00000000-0006-0000-0000-0000B50A0000}">
      <text>
        <r>
          <rPr>
            <sz val="10"/>
            <color rgb="FF000000"/>
            <rFont val="Arial"/>
            <scheme val="minor"/>
          </rPr>
          <t>Updated on 15-Jan-2026 03:33 PM by bpsdemak3321@gmail.com</t>
        </r>
      </text>
    </comment>
    <comment ref="H1616" authorId="0" shapeId="0" xr:uid="{00000000-0006-0000-0000-0000B60A0000}">
      <text>
        <r>
          <rPr>
            <sz val="10"/>
            <color rgb="FF000000"/>
            <rFont val="Arial"/>
            <scheme val="minor"/>
          </rPr>
          <t>Updated on 15-Jan-2026 03:33 PM by bpsdemak3321@gmail.com</t>
        </r>
      </text>
    </comment>
    <comment ref="G1617" authorId="0" shapeId="0" xr:uid="{00000000-0006-0000-0000-0000B70A0000}">
      <text>
        <r>
          <rPr>
            <sz val="10"/>
            <color rgb="FF000000"/>
            <rFont val="Arial"/>
            <scheme val="minor"/>
          </rPr>
          <t>Updated on 15-Jan-2026 03:47 PM by bpsdemak3321@gmail.com</t>
        </r>
      </text>
    </comment>
    <comment ref="H1617" authorId="0" shapeId="0" xr:uid="{00000000-0006-0000-0000-0000B80A0000}">
      <text>
        <r>
          <rPr>
            <sz val="10"/>
            <color rgb="FF000000"/>
            <rFont val="Arial"/>
            <scheme val="minor"/>
          </rPr>
          <t>Updated on 15-Jan-2026 03:47 PM by bpsdemak3321@gmail.com</t>
        </r>
      </text>
    </comment>
    <comment ref="G1618" authorId="0" shapeId="0" xr:uid="{00000000-0006-0000-0000-0000B90A0000}">
      <text>
        <r>
          <rPr>
            <sz val="10"/>
            <color rgb="FF000000"/>
            <rFont val="Arial"/>
            <scheme val="minor"/>
          </rPr>
          <t>Updated on 15-Jan-2026 03:52 PM by bpsdemak3321@gmail.com</t>
        </r>
      </text>
    </comment>
    <comment ref="H1618" authorId="0" shapeId="0" xr:uid="{00000000-0006-0000-0000-0000BA0A0000}">
      <text>
        <r>
          <rPr>
            <sz val="10"/>
            <color rgb="FF000000"/>
            <rFont val="Arial"/>
            <scheme val="minor"/>
          </rPr>
          <t>Updated on 15-Jan-2026 03:52 PM by bpsdemak3321@gmail.com</t>
        </r>
      </text>
    </comment>
    <comment ref="G1619" authorId="0" shapeId="0" xr:uid="{00000000-0006-0000-0000-0000BB0A0000}">
      <text>
        <r>
          <rPr>
            <sz val="10"/>
            <color rgb="FF000000"/>
            <rFont val="Arial"/>
            <scheme val="minor"/>
          </rPr>
          <t>Updated on 15-Jan-2026 03:52 PM by bpsdemak3321@gmail.com</t>
        </r>
      </text>
    </comment>
    <comment ref="H1619" authorId="0" shapeId="0" xr:uid="{00000000-0006-0000-0000-0000BC0A0000}">
      <text>
        <r>
          <rPr>
            <sz val="10"/>
            <color rgb="FF000000"/>
            <rFont val="Arial"/>
            <scheme val="minor"/>
          </rPr>
          <t>Updated on 15-Jan-2026 03:52 PM by bpsdemak3321@gmail.com</t>
        </r>
      </text>
    </comment>
    <comment ref="G1620" authorId="0" shapeId="0" xr:uid="{00000000-0006-0000-0000-0000BD0A0000}">
      <text>
        <r>
          <rPr>
            <sz val="10"/>
            <color rgb="FF000000"/>
            <rFont val="Arial"/>
            <scheme val="minor"/>
          </rPr>
          <t>Updated on 15-Jan-2026 03:53 PM by bpsdemak3321@gmail.com</t>
        </r>
      </text>
    </comment>
    <comment ref="H1620" authorId="0" shapeId="0" xr:uid="{00000000-0006-0000-0000-0000BE0A0000}">
      <text>
        <r>
          <rPr>
            <sz val="10"/>
            <color rgb="FF000000"/>
            <rFont val="Arial"/>
            <scheme val="minor"/>
          </rPr>
          <t>Updated on 15-Jan-2026 03:53 PM by bpsdemak3321@gmail.com</t>
        </r>
      </text>
    </comment>
    <comment ref="G1621" authorId="0" shapeId="0" xr:uid="{00000000-0006-0000-0000-0000BF0A0000}">
      <text>
        <r>
          <rPr>
            <sz val="10"/>
            <color rgb="FF000000"/>
            <rFont val="Arial"/>
            <scheme val="minor"/>
          </rPr>
          <t>Updated on 15-Jan-2026 03:54 PM by bpsdemak3321@gmail.com</t>
        </r>
      </text>
    </comment>
    <comment ref="H1621" authorId="0" shapeId="0" xr:uid="{00000000-0006-0000-0000-0000C00A0000}">
      <text>
        <r>
          <rPr>
            <sz val="10"/>
            <color rgb="FF000000"/>
            <rFont val="Arial"/>
            <scheme val="minor"/>
          </rPr>
          <t>Updated on 15-Jan-2026 03:54 PM by bpsdemak3321@gmail.com</t>
        </r>
      </text>
    </comment>
    <comment ref="G1622" authorId="0" shapeId="0" xr:uid="{00000000-0006-0000-0000-0000C10A0000}">
      <text>
        <r>
          <rPr>
            <sz val="10"/>
            <color rgb="FF000000"/>
            <rFont val="Arial"/>
            <scheme val="minor"/>
          </rPr>
          <t>Updated on 15-Jan-2026 03:54 PM by bpsdemak3321@gmail.com</t>
        </r>
      </text>
    </comment>
    <comment ref="H1622" authorId="0" shapeId="0" xr:uid="{00000000-0006-0000-0000-0000C20A0000}">
      <text>
        <r>
          <rPr>
            <sz val="10"/>
            <color rgb="FF000000"/>
            <rFont val="Arial"/>
            <scheme val="minor"/>
          </rPr>
          <t>Updated on 15-Jan-2026 03:54 PM by bpsdemak3321@gmail.com</t>
        </r>
      </text>
    </comment>
    <comment ref="G1623" authorId="0" shapeId="0" xr:uid="{00000000-0006-0000-0000-0000C30A0000}">
      <text>
        <r>
          <rPr>
            <sz val="10"/>
            <color rgb="FF000000"/>
            <rFont val="Arial"/>
            <scheme val="minor"/>
          </rPr>
          <t>Updated on 15-Jan-2026 03:55 PM by bpsdemak3321@gmail.com</t>
        </r>
      </text>
    </comment>
    <comment ref="H1623" authorId="0" shapeId="0" xr:uid="{00000000-0006-0000-0000-0000C40A0000}">
      <text>
        <r>
          <rPr>
            <sz val="10"/>
            <color rgb="FF000000"/>
            <rFont val="Arial"/>
            <scheme val="minor"/>
          </rPr>
          <t>Updated on 15-Jan-2026 03:55 PM by bpsdemak3321@gmail.com</t>
        </r>
      </text>
    </comment>
    <comment ref="G1624" authorId="0" shapeId="0" xr:uid="{00000000-0006-0000-0000-0000C50A0000}">
      <text>
        <r>
          <rPr>
            <sz val="10"/>
            <color rgb="FF000000"/>
            <rFont val="Arial"/>
            <scheme val="minor"/>
          </rPr>
          <t>Updated on 15-Jan-2026 04:05 PM by bpsdemak3321@gmail.com</t>
        </r>
      </text>
    </comment>
    <comment ref="H1624" authorId="0" shapeId="0" xr:uid="{00000000-0006-0000-0000-0000C60A0000}">
      <text>
        <r>
          <rPr>
            <sz val="10"/>
            <color rgb="FF000000"/>
            <rFont val="Arial"/>
            <scheme val="minor"/>
          </rPr>
          <t>Updated on 15-Jan-2026 04:05 PM by bpsdemak3321@gmail.com</t>
        </r>
      </text>
    </comment>
    <comment ref="F1625" authorId="0" shapeId="0" xr:uid="{00000000-0006-0000-0000-0000C70A0000}">
      <text>
        <r>
          <rPr>
            <sz val="10"/>
            <color rgb="FF000000"/>
            <rFont val="Arial"/>
            <scheme val="minor"/>
          </rPr>
          <t>Updated on 19-Jan-2026 08:21 AM by bpsdemak3321@gmail.com</t>
        </r>
      </text>
    </comment>
    <comment ref="G1625" authorId="0" shapeId="0" xr:uid="{00000000-0006-0000-0000-0000C80A0000}">
      <text>
        <r>
          <rPr>
            <sz val="10"/>
            <color rgb="FF000000"/>
            <rFont val="Arial"/>
            <scheme val="minor"/>
          </rPr>
          <t>Updated on 19-Jan-2026 08:21 AM by bpsdemak3321@gmail.com</t>
        </r>
      </text>
    </comment>
    <comment ref="H1625" authorId="0" shapeId="0" xr:uid="{00000000-0006-0000-0000-0000C90A0000}">
      <text>
        <r>
          <rPr>
            <sz val="10"/>
            <color rgb="FF000000"/>
            <rFont val="Arial"/>
            <scheme val="minor"/>
          </rPr>
          <t>Updated on 19-Jan-2026 08:21 AM by bpsdemak3321@gmail.com</t>
        </r>
      </text>
    </comment>
    <comment ref="F1626" authorId="0" shapeId="0" xr:uid="{00000000-0006-0000-0000-0000CA0A0000}">
      <text>
        <r>
          <rPr>
            <sz val="10"/>
            <color rgb="FF000000"/>
            <rFont val="Arial"/>
            <scheme val="minor"/>
          </rPr>
          <t>Updated on 19-Jan-2026 08:56 AM by bpsdemak3321@gmail.com</t>
        </r>
      </text>
    </comment>
    <comment ref="G1626" authorId="0" shapeId="0" xr:uid="{00000000-0006-0000-0000-0000CB0A0000}">
      <text>
        <r>
          <rPr>
            <sz val="10"/>
            <color rgb="FF000000"/>
            <rFont val="Arial"/>
            <scheme val="minor"/>
          </rPr>
          <t>Updated on 19-Jan-2026 08:56 AM by bpsdemak3321@gmail.com</t>
        </r>
      </text>
    </comment>
    <comment ref="H1626" authorId="0" shapeId="0" xr:uid="{00000000-0006-0000-0000-0000CC0A0000}">
      <text>
        <r>
          <rPr>
            <sz val="10"/>
            <color rgb="FF000000"/>
            <rFont val="Arial"/>
            <scheme val="minor"/>
          </rPr>
          <t>Updated on 19-Jan-2026 08:56 AM by bpsdemak3321@gmail.com</t>
        </r>
      </text>
    </comment>
    <comment ref="F1627" authorId="0" shapeId="0" xr:uid="{00000000-0006-0000-0000-0000CD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G1627" authorId="0" shapeId="0" xr:uid="{00000000-0006-0000-0000-0000CE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H1627" authorId="0" shapeId="0" xr:uid="{00000000-0006-0000-0000-0000CF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F1628" authorId="0" shapeId="0" xr:uid="{00000000-0006-0000-0000-0000D0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G1628" authorId="0" shapeId="0" xr:uid="{00000000-0006-0000-0000-0000D1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H1628" authorId="0" shapeId="0" xr:uid="{00000000-0006-0000-0000-0000D2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F1629" authorId="0" shapeId="0" xr:uid="{00000000-0006-0000-0000-0000D3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G1629" authorId="0" shapeId="0" xr:uid="{00000000-0006-0000-0000-0000D4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H1629" authorId="0" shapeId="0" xr:uid="{00000000-0006-0000-0000-0000D5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F1630" authorId="0" shapeId="0" xr:uid="{00000000-0006-0000-0000-0000D6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G1630" authorId="0" shapeId="0" xr:uid="{00000000-0006-0000-0000-0000D7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H1630" authorId="0" shapeId="0" xr:uid="{00000000-0006-0000-0000-0000D80A0000}">
      <text>
        <r>
          <rPr>
            <sz val="10"/>
            <color rgb="FF000000"/>
            <rFont val="Arial"/>
            <scheme val="minor"/>
          </rPr>
          <t>Updated on 19-Jan-2026 08:57 AM by bpsdemak3321@gmail.com</t>
        </r>
      </text>
    </comment>
    <comment ref="F1631" authorId="0" shapeId="0" xr:uid="{00000000-0006-0000-0000-0000D9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G1631" authorId="0" shapeId="0" xr:uid="{00000000-0006-0000-0000-0000DA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H1631" authorId="0" shapeId="0" xr:uid="{00000000-0006-0000-0000-0000DB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F1632" authorId="0" shapeId="0" xr:uid="{00000000-0006-0000-0000-0000DC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G1632" authorId="0" shapeId="0" xr:uid="{00000000-0006-0000-0000-0000DD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H1632" authorId="0" shapeId="0" xr:uid="{00000000-0006-0000-0000-0000DE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F1633" authorId="0" shapeId="0" xr:uid="{00000000-0006-0000-0000-0000DF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G1633" authorId="0" shapeId="0" xr:uid="{00000000-0006-0000-0000-0000E0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H1633" authorId="0" shapeId="0" xr:uid="{00000000-0006-0000-0000-0000E10A0000}">
      <text>
        <r>
          <rPr>
            <sz val="10"/>
            <color rgb="FF000000"/>
            <rFont val="Arial"/>
            <scheme val="minor"/>
          </rPr>
          <t>Updated on 19-Jan-2026 08:58 AM by bpsdemak3321@gmail.com</t>
        </r>
      </text>
    </comment>
    <comment ref="F1634" authorId="0" shapeId="0" xr:uid="{00000000-0006-0000-0000-0000E20A0000}">
      <text>
        <r>
          <rPr>
            <sz val="10"/>
            <color rgb="FF000000"/>
            <rFont val="Arial"/>
            <scheme val="minor"/>
          </rPr>
          <t>Updated on 19-Jan-2026 08:59 AM by bpsdemak3321@gmail.com</t>
        </r>
      </text>
    </comment>
    <comment ref="G1634" authorId="0" shapeId="0" xr:uid="{00000000-0006-0000-0000-0000E30A0000}">
      <text>
        <r>
          <rPr>
            <sz val="10"/>
            <color rgb="FF000000"/>
            <rFont val="Arial"/>
            <scheme val="minor"/>
          </rPr>
          <t>Updated on 19-Jan-2026 08:59 AM by bpsdemak3321@gmail.com</t>
        </r>
      </text>
    </comment>
    <comment ref="H1634" authorId="0" shapeId="0" xr:uid="{00000000-0006-0000-0000-0000E40A0000}">
      <text>
        <r>
          <rPr>
            <sz val="10"/>
            <color rgb="FF000000"/>
            <rFont val="Arial"/>
            <scheme val="minor"/>
          </rPr>
          <t>Updated on 19-Jan-2026 08:59 AM by bpsdemak3321@gmail.com</t>
        </r>
      </text>
    </comment>
    <comment ref="F1635" authorId="0" shapeId="0" xr:uid="{00000000-0006-0000-0000-0000E50A0000}">
      <text>
        <r>
          <rPr>
            <sz val="10"/>
            <color rgb="FF000000"/>
            <rFont val="Arial"/>
            <scheme val="minor"/>
          </rPr>
          <t>Updated on 19-Jan-2026 09:00 AM by bpsdemak3321@gmail.com</t>
        </r>
      </text>
    </comment>
    <comment ref="G1635" authorId="0" shapeId="0" xr:uid="{00000000-0006-0000-0000-0000E60A0000}">
      <text>
        <r>
          <rPr>
            <sz val="10"/>
            <color rgb="FF000000"/>
            <rFont val="Arial"/>
            <scheme val="minor"/>
          </rPr>
          <t>Updated on 19-Jan-2026 09:00 AM by bpsdemak3321@gmail.com</t>
        </r>
      </text>
    </comment>
    <comment ref="H1635" authorId="0" shapeId="0" xr:uid="{00000000-0006-0000-0000-0000E70A0000}">
      <text>
        <r>
          <rPr>
            <sz val="10"/>
            <color rgb="FF000000"/>
            <rFont val="Arial"/>
            <scheme val="minor"/>
          </rPr>
          <t>Updated on 19-Jan-2026 09:00 AM by bpsdemak3321@gmail.com</t>
        </r>
      </text>
    </comment>
    <comment ref="F1636" authorId="0" shapeId="0" xr:uid="{00000000-0006-0000-0000-0000E80A0000}">
      <text>
        <r>
          <rPr>
            <sz val="10"/>
            <color rgb="FF000000"/>
            <rFont val="Arial"/>
            <scheme val="minor"/>
          </rPr>
          <t>Updated on 19-Jan-2026 09:01 AM by bpsdemak3321@gmail.com</t>
        </r>
      </text>
    </comment>
    <comment ref="G1636" authorId="0" shapeId="0" xr:uid="{00000000-0006-0000-0000-0000E90A0000}">
      <text>
        <r>
          <rPr>
            <sz val="10"/>
            <color rgb="FF000000"/>
            <rFont val="Arial"/>
            <scheme val="minor"/>
          </rPr>
          <t>Updated on 19-Jan-2026 09:01 AM by bpsdemak3321@gmail.com</t>
        </r>
      </text>
    </comment>
    <comment ref="H1636" authorId="0" shapeId="0" xr:uid="{00000000-0006-0000-0000-0000EA0A0000}">
      <text>
        <r>
          <rPr>
            <sz val="10"/>
            <color rgb="FF000000"/>
            <rFont val="Arial"/>
            <scheme val="minor"/>
          </rPr>
          <t>Updated on 19-Jan-2026 09:01 AM by bpsdemak3321@gmail.com</t>
        </r>
      </text>
    </comment>
    <comment ref="F1637" authorId="0" shapeId="0" xr:uid="{00000000-0006-0000-0000-0000EB0A0000}">
      <text>
        <r>
          <rPr>
            <sz val="10"/>
            <color rgb="FF000000"/>
            <rFont val="Arial"/>
            <scheme val="minor"/>
          </rPr>
          <t>Updated on 19-Jan-2026 09:01 AM by bpsdemak3321@gmail.com</t>
        </r>
      </text>
    </comment>
    <comment ref="G1637" authorId="0" shapeId="0" xr:uid="{00000000-0006-0000-0000-0000EC0A0000}">
      <text>
        <r>
          <rPr>
            <sz val="10"/>
            <color rgb="FF000000"/>
            <rFont val="Arial"/>
            <scheme val="minor"/>
          </rPr>
          <t>Updated on 19-Jan-2026 09:01 AM by bpsdemak3321@gmail.com</t>
        </r>
      </text>
    </comment>
    <comment ref="H1637" authorId="0" shapeId="0" xr:uid="{00000000-0006-0000-0000-0000ED0A0000}">
      <text>
        <r>
          <rPr>
            <sz val="10"/>
            <color rgb="FF000000"/>
            <rFont val="Arial"/>
            <scheme val="minor"/>
          </rPr>
          <t>Updated on 19-Jan-2026 09:01 AM by bpsdemak3321@gmail.com</t>
        </r>
      </text>
    </comment>
    <comment ref="F1638" authorId="0" shapeId="0" xr:uid="{00000000-0006-0000-0000-0000EE0A0000}">
      <text>
        <r>
          <rPr>
            <sz val="10"/>
            <color rgb="FF000000"/>
            <rFont val="Arial"/>
            <scheme val="minor"/>
          </rPr>
          <t>Updated on 19-Jan-2026 09:02 AM by bpsdemak3321@gmail.com</t>
        </r>
      </text>
    </comment>
    <comment ref="G1638" authorId="0" shapeId="0" xr:uid="{00000000-0006-0000-0000-0000EF0A0000}">
      <text>
        <r>
          <rPr>
            <sz val="10"/>
            <color rgb="FF000000"/>
            <rFont val="Arial"/>
            <scheme val="minor"/>
          </rPr>
          <t>Updated on 19-Jan-2026 09:02 AM by bpsdemak3321@gmail.com</t>
        </r>
      </text>
    </comment>
    <comment ref="H1638" authorId="0" shapeId="0" xr:uid="{00000000-0006-0000-0000-0000F00A0000}">
      <text>
        <r>
          <rPr>
            <sz val="10"/>
            <color rgb="FF000000"/>
            <rFont val="Arial"/>
            <scheme val="minor"/>
          </rPr>
          <t>Updated on 19-Jan-2026 09:02 AM by bpsdemak3321@gmail.com</t>
        </r>
      </text>
    </comment>
    <comment ref="F1639" authorId="0" shapeId="0" xr:uid="{00000000-0006-0000-0000-0000F10A0000}">
      <text>
        <r>
          <rPr>
            <sz val="10"/>
            <color rgb="FF000000"/>
            <rFont val="Arial"/>
            <scheme val="minor"/>
          </rPr>
          <t>Updated on 19-Jan-2026 09:24 AM by bpsdemak3321@gmail.com</t>
        </r>
      </text>
    </comment>
    <comment ref="G1639" authorId="0" shapeId="0" xr:uid="{00000000-0006-0000-0000-0000F20A0000}">
      <text>
        <r>
          <rPr>
            <sz val="10"/>
            <color rgb="FF000000"/>
            <rFont val="Arial"/>
            <scheme val="minor"/>
          </rPr>
          <t>Updated on 19-Jan-2026 09:24 AM by bpsdemak3321@gmail.com</t>
        </r>
      </text>
    </comment>
    <comment ref="H1639" authorId="0" shapeId="0" xr:uid="{00000000-0006-0000-0000-0000F30A0000}">
      <text>
        <r>
          <rPr>
            <sz val="10"/>
            <color rgb="FF000000"/>
            <rFont val="Arial"/>
            <scheme val="minor"/>
          </rPr>
          <t>Updated on 19-Jan-2026 09:24 AM by bpsdemak3321@gmail.com</t>
        </r>
      </text>
    </comment>
    <comment ref="F1640" authorId="0" shapeId="0" xr:uid="{00000000-0006-0000-0000-0000F40A0000}">
      <text>
        <r>
          <rPr>
            <sz val="10"/>
            <color rgb="FF000000"/>
            <rFont val="Arial"/>
            <scheme val="minor"/>
          </rPr>
          <t>Updated on 19-Jan-2026 09:27 AM by bpsdemak3321@gmail.com</t>
        </r>
      </text>
    </comment>
    <comment ref="G1640" authorId="0" shapeId="0" xr:uid="{00000000-0006-0000-0000-0000F50A0000}">
      <text>
        <r>
          <rPr>
            <sz val="10"/>
            <color rgb="FF000000"/>
            <rFont val="Arial"/>
            <scheme val="minor"/>
          </rPr>
          <t>Updated on 19-Jan-2026 09:27 AM by bpsdemak3321@gmail.com</t>
        </r>
      </text>
    </comment>
    <comment ref="H1640" authorId="0" shapeId="0" xr:uid="{00000000-0006-0000-0000-0000F60A0000}">
      <text>
        <r>
          <rPr>
            <sz val="10"/>
            <color rgb="FF000000"/>
            <rFont val="Arial"/>
            <scheme val="minor"/>
          </rPr>
          <t>Updated on 19-Jan-2026 09:27 AM by bpsdemak3321@gmail.com</t>
        </r>
      </text>
    </comment>
    <comment ref="F1641" authorId="0" shapeId="0" xr:uid="{00000000-0006-0000-0000-0000F70A0000}">
      <text>
        <r>
          <rPr>
            <sz val="10"/>
            <color rgb="FF000000"/>
            <rFont val="Arial"/>
            <scheme val="minor"/>
          </rPr>
          <t>Updated on 19-Jan-2026 09:28 AM by bpsdemak3321@gmail.com</t>
        </r>
      </text>
    </comment>
    <comment ref="G1641" authorId="0" shapeId="0" xr:uid="{00000000-0006-0000-0000-0000F80A0000}">
      <text>
        <r>
          <rPr>
            <sz val="10"/>
            <color rgb="FF000000"/>
            <rFont val="Arial"/>
            <scheme val="minor"/>
          </rPr>
          <t>Updated on 19-Jan-2026 09:28 AM by bpsdemak3321@gmail.com</t>
        </r>
      </text>
    </comment>
    <comment ref="H1641" authorId="0" shapeId="0" xr:uid="{00000000-0006-0000-0000-0000F90A0000}">
      <text>
        <r>
          <rPr>
            <sz val="10"/>
            <color rgb="FF000000"/>
            <rFont val="Arial"/>
            <scheme val="minor"/>
          </rPr>
          <t>Updated on 19-Jan-2026 09:28 AM by bpsdemak3321@gmail.com</t>
        </r>
      </text>
    </comment>
    <comment ref="F1642" authorId="0" shapeId="0" xr:uid="{00000000-0006-0000-0000-0000FA0A0000}">
      <text>
        <r>
          <rPr>
            <sz val="10"/>
            <color rgb="FF000000"/>
            <rFont val="Arial"/>
            <scheme val="minor"/>
          </rPr>
          <t>Updated on 19-Jan-2026 09:28 AM by bpsdemak3321@gmail.com</t>
        </r>
      </text>
    </comment>
    <comment ref="G1642" authorId="0" shapeId="0" xr:uid="{00000000-0006-0000-0000-0000FB0A0000}">
      <text>
        <r>
          <rPr>
            <sz val="10"/>
            <color rgb="FF000000"/>
            <rFont val="Arial"/>
            <scheme val="minor"/>
          </rPr>
          <t>Updated on 19-Jan-2026 09:28 AM by bpsdemak3321@gmail.com</t>
        </r>
      </text>
    </comment>
    <comment ref="H1642" authorId="0" shapeId="0" xr:uid="{00000000-0006-0000-0000-0000FC0A0000}">
      <text>
        <r>
          <rPr>
            <sz val="10"/>
            <color rgb="FF000000"/>
            <rFont val="Arial"/>
            <scheme val="minor"/>
          </rPr>
          <t>Updated on 19-Jan-2026 09:28 AM by bpsdemak3321@gmail.com</t>
        </r>
      </text>
    </comment>
    <comment ref="F1643" authorId="0" shapeId="0" xr:uid="{00000000-0006-0000-0000-0000FD0A0000}">
      <text>
        <r>
          <rPr>
            <sz val="10"/>
            <color rgb="FF000000"/>
            <rFont val="Arial"/>
            <scheme val="minor"/>
          </rPr>
          <t>Updated on 19-Jan-2026 09:29 AM by bpsdemak3321@gmail.com</t>
        </r>
      </text>
    </comment>
    <comment ref="G1643" authorId="0" shapeId="0" xr:uid="{00000000-0006-0000-0000-0000FE0A0000}">
      <text>
        <r>
          <rPr>
            <sz val="10"/>
            <color rgb="FF000000"/>
            <rFont val="Arial"/>
            <scheme val="minor"/>
          </rPr>
          <t>Updated on 19-Jan-2026 09:29 AM by bpsdemak3321@gmail.com</t>
        </r>
      </text>
    </comment>
    <comment ref="H1643" authorId="0" shapeId="0" xr:uid="{00000000-0006-0000-0000-0000FF0A0000}">
      <text>
        <r>
          <rPr>
            <sz val="10"/>
            <color rgb="FF000000"/>
            <rFont val="Arial"/>
            <scheme val="minor"/>
          </rPr>
          <t>Updated on 19-Jan-2026 09:29 AM by bpsdemak3321@gmail.com</t>
        </r>
      </text>
    </comment>
    <comment ref="F1644" authorId="0" shapeId="0" xr:uid="{00000000-0006-0000-0000-0000000B0000}">
      <text>
        <r>
          <rPr>
            <sz val="10"/>
            <color rgb="FF000000"/>
            <rFont val="Arial"/>
            <scheme val="minor"/>
          </rPr>
          <t>Updated on 19-Jan-2026 09:30 AM by bpsdemak3321@gmail.com</t>
        </r>
      </text>
    </comment>
    <comment ref="G1644" authorId="0" shapeId="0" xr:uid="{00000000-0006-0000-0000-0000010B0000}">
      <text>
        <r>
          <rPr>
            <sz val="10"/>
            <color rgb="FF000000"/>
            <rFont val="Arial"/>
            <scheme val="minor"/>
          </rPr>
          <t>Updated on 19-Jan-2026 09:30 AM by bpsdemak3321@gmail.com</t>
        </r>
      </text>
    </comment>
    <comment ref="H1644" authorId="0" shapeId="0" xr:uid="{00000000-0006-0000-0000-0000020B0000}">
      <text>
        <r>
          <rPr>
            <sz val="10"/>
            <color rgb="FF000000"/>
            <rFont val="Arial"/>
            <scheme val="minor"/>
          </rPr>
          <t>Updated on 19-Jan-2026 09:30 AM by bpsdemak3321@gmail.com</t>
        </r>
      </text>
    </comment>
    <comment ref="F1645" authorId="0" shapeId="0" xr:uid="{00000000-0006-0000-0000-0000030B0000}">
      <text>
        <r>
          <rPr>
            <sz val="10"/>
            <color rgb="FF000000"/>
            <rFont val="Arial"/>
            <scheme val="minor"/>
          </rPr>
          <t>Updated on 19-Jan-2026 09:30 AM by bpsdemak3321@gmail.com</t>
        </r>
      </text>
    </comment>
    <comment ref="G1645" authorId="0" shapeId="0" xr:uid="{00000000-0006-0000-0000-0000040B0000}">
      <text>
        <r>
          <rPr>
            <sz val="10"/>
            <color rgb="FF000000"/>
            <rFont val="Arial"/>
            <scheme val="minor"/>
          </rPr>
          <t>Updated on 19-Jan-2026 09:30 AM by bpsdemak3321@gmail.com</t>
        </r>
      </text>
    </comment>
    <comment ref="H1645" authorId="0" shapeId="0" xr:uid="{00000000-0006-0000-0000-0000050B0000}">
      <text>
        <r>
          <rPr>
            <sz val="10"/>
            <color rgb="FF000000"/>
            <rFont val="Arial"/>
            <scheme val="minor"/>
          </rPr>
          <t>Updated on 19-Jan-2026 09:30 AM by bpsdemak3321@gmail.com</t>
        </r>
      </text>
    </comment>
    <comment ref="F1646" authorId="0" shapeId="0" xr:uid="{00000000-0006-0000-0000-0000060B0000}">
      <text>
        <r>
          <rPr>
            <sz val="10"/>
            <color rgb="FF000000"/>
            <rFont val="Arial"/>
            <scheme val="minor"/>
          </rPr>
          <t>Updated on 19-Jan-2026 09:58 AM by bpsdemak3321@gmail.com</t>
        </r>
      </text>
    </comment>
    <comment ref="G1646" authorId="0" shapeId="0" xr:uid="{00000000-0006-0000-0000-0000070B0000}">
      <text>
        <r>
          <rPr>
            <sz val="10"/>
            <color rgb="FF000000"/>
            <rFont val="Arial"/>
            <scheme val="minor"/>
          </rPr>
          <t>Updated on 19-Jan-2026 09:58 AM by bpsdemak3321@gmail.com</t>
        </r>
      </text>
    </comment>
    <comment ref="H1646" authorId="0" shapeId="0" xr:uid="{00000000-0006-0000-0000-0000080B0000}">
      <text>
        <r>
          <rPr>
            <sz val="10"/>
            <color rgb="FF000000"/>
            <rFont val="Arial"/>
            <scheme val="minor"/>
          </rPr>
          <t>Updated on 19-Jan-2026 09:58 AM by bpsdemak3321@gmail.com</t>
        </r>
      </text>
    </comment>
    <comment ref="F1647" authorId="0" shapeId="0" xr:uid="{00000000-0006-0000-0000-0000090B0000}">
      <text>
        <r>
          <rPr>
            <sz val="10"/>
            <color rgb="FF000000"/>
            <rFont val="Arial"/>
            <scheme val="minor"/>
          </rPr>
          <t>Updated on 19-Jan-2026 09:59 AM by bpsdemak3321@gmail.com</t>
        </r>
      </text>
    </comment>
    <comment ref="G1647" authorId="0" shapeId="0" xr:uid="{00000000-0006-0000-0000-00000A0B0000}">
      <text>
        <r>
          <rPr>
            <sz val="10"/>
            <color rgb="FF000000"/>
            <rFont val="Arial"/>
            <scheme val="minor"/>
          </rPr>
          <t>Updated on 19-Jan-2026 09:59 AM by bpsdemak3321@gmail.com</t>
        </r>
      </text>
    </comment>
    <comment ref="H1647" authorId="0" shapeId="0" xr:uid="{00000000-0006-0000-0000-00000B0B0000}">
      <text>
        <r>
          <rPr>
            <sz val="10"/>
            <color rgb="FF000000"/>
            <rFont val="Arial"/>
            <scheme val="minor"/>
          </rPr>
          <t>Updated on 19-Jan-2026 09:59 AM by bpsdemak3321@gmail.com</t>
        </r>
      </text>
    </comment>
    <comment ref="F1648" authorId="0" shapeId="0" xr:uid="{00000000-0006-0000-0000-00000C0B0000}">
      <text>
        <r>
          <rPr>
            <sz val="10"/>
            <color rgb="FF000000"/>
            <rFont val="Arial"/>
            <scheme val="minor"/>
          </rPr>
          <t>Updated on 19-Jan-2026 10:00 AM by bpsdemak3321@gmail.com</t>
        </r>
      </text>
    </comment>
    <comment ref="G1648" authorId="0" shapeId="0" xr:uid="{00000000-0006-0000-0000-00000D0B0000}">
      <text>
        <r>
          <rPr>
            <sz val="10"/>
            <color rgb="FF000000"/>
            <rFont val="Arial"/>
            <scheme val="minor"/>
          </rPr>
          <t>Updated on 19-Jan-2026 10:00 AM by bpsdemak3321@gmail.com</t>
        </r>
      </text>
    </comment>
    <comment ref="H1648" authorId="0" shapeId="0" xr:uid="{00000000-0006-0000-0000-00000E0B0000}">
      <text>
        <r>
          <rPr>
            <sz val="10"/>
            <color rgb="FF000000"/>
            <rFont val="Arial"/>
            <scheme val="minor"/>
          </rPr>
          <t>Updated on 19-Jan-2026 10:00 AM by bpsdemak3321@gmail.com</t>
        </r>
      </text>
    </comment>
    <comment ref="F1649" authorId="0" shapeId="0" xr:uid="{00000000-0006-0000-0000-00000F0B0000}">
      <text>
        <r>
          <rPr>
            <sz val="10"/>
            <color rgb="FF000000"/>
            <rFont val="Arial"/>
            <scheme val="minor"/>
          </rPr>
          <t>Updated on 19-Jan-2026 10:01 AM by bpsdemak3321@gmail.com</t>
        </r>
      </text>
    </comment>
    <comment ref="G1649" authorId="0" shapeId="0" xr:uid="{00000000-0006-0000-0000-0000100B0000}">
      <text>
        <r>
          <rPr>
            <sz val="10"/>
            <color rgb="FF000000"/>
            <rFont val="Arial"/>
            <scheme val="minor"/>
          </rPr>
          <t>Updated on 19-Jan-2026 10:01 AM by bpsdemak3321@gmail.com</t>
        </r>
      </text>
    </comment>
    <comment ref="H1649" authorId="0" shapeId="0" xr:uid="{00000000-0006-0000-0000-0000110B0000}">
      <text>
        <r>
          <rPr>
            <sz val="10"/>
            <color rgb="FF000000"/>
            <rFont val="Arial"/>
            <scheme val="minor"/>
          </rPr>
          <t>Updated on 19-Jan-2026 10:01 AM by bpsdemak3321@gmail.com</t>
        </r>
      </text>
    </comment>
    <comment ref="G1650" authorId="0" shapeId="0" xr:uid="{00000000-0006-0000-0000-0000120B0000}">
      <text>
        <r>
          <rPr>
            <sz val="10"/>
            <color rgb="FF000000"/>
            <rFont val="Arial"/>
            <scheme val="minor"/>
          </rPr>
          <t>Updated on 19-Jan-2026 10:02 AM by bpsdemak3321@gmail.com</t>
        </r>
      </text>
    </comment>
    <comment ref="H1650" authorId="0" shapeId="0" xr:uid="{00000000-0006-0000-0000-0000130B0000}">
      <text>
        <r>
          <rPr>
            <sz val="10"/>
            <color rgb="FF000000"/>
            <rFont val="Arial"/>
            <scheme val="minor"/>
          </rPr>
          <t>Updated on 19-Jan-2026 10:02 AM by bpsdemak3321@gmail.com</t>
        </r>
      </text>
    </comment>
    <comment ref="G1651" authorId="0" shapeId="0" xr:uid="{00000000-0006-0000-0000-0000140B0000}">
      <text>
        <r>
          <rPr>
            <sz val="10"/>
            <color rgb="FF000000"/>
            <rFont val="Arial"/>
            <scheme val="minor"/>
          </rPr>
          <t>Updated on 19-Jan-2026 10:03 AM by bpsdemak3321@gmail.com</t>
        </r>
      </text>
    </comment>
    <comment ref="H1651" authorId="0" shapeId="0" xr:uid="{00000000-0006-0000-0000-0000150B0000}">
      <text>
        <r>
          <rPr>
            <sz val="10"/>
            <color rgb="FF000000"/>
            <rFont val="Arial"/>
            <scheme val="minor"/>
          </rPr>
          <t>Updated on 19-Jan-2026 10:03 AM by bpsdemak3321@gmail.com</t>
        </r>
      </text>
    </comment>
    <comment ref="G1652" authorId="0" shapeId="0" xr:uid="{00000000-0006-0000-0000-0000160B0000}">
      <text>
        <r>
          <rPr>
            <sz val="10"/>
            <color rgb="FF000000"/>
            <rFont val="Arial"/>
            <scheme val="minor"/>
          </rPr>
          <t>Updated on 19-Jan-2026 10:03 AM by bpsdemak3321@gmail.com</t>
        </r>
      </text>
    </comment>
    <comment ref="H1652" authorId="0" shapeId="0" xr:uid="{00000000-0006-0000-0000-0000170B0000}">
      <text>
        <r>
          <rPr>
            <sz val="10"/>
            <color rgb="FF000000"/>
            <rFont val="Arial"/>
            <scheme val="minor"/>
          </rPr>
          <t>Updated on 19-Jan-2026 10:03 AM by bpsdemak3321@gmail.com</t>
        </r>
      </text>
    </comment>
    <comment ref="G1653" authorId="0" shapeId="0" xr:uid="{00000000-0006-0000-0000-0000180B0000}">
      <text>
        <r>
          <rPr>
            <sz val="10"/>
            <color rgb="FF000000"/>
            <rFont val="Arial"/>
            <scheme val="minor"/>
          </rPr>
          <t>Updated on 19-Jan-2026 10:25 AM by bpsdemak3321@gmail.com</t>
        </r>
      </text>
    </comment>
    <comment ref="H1653" authorId="0" shapeId="0" xr:uid="{00000000-0006-0000-0000-0000190B0000}">
      <text>
        <r>
          <rPr>
            <sz val="10"/>
            <color rgb="FF000000"/>
            <rFont val="Arial"/>
            <scheme val="minor"/>
          </rPr>
          <t>Updated on 19-Jan-2026 10:25 AM by bpsdemak3321@gmail.com</t>
        </r>
      </text>
    </comment>
    <comment ref="G1654" authorId="0" shapeId="0" xr:uid="{00000000-0006-0000-0000-00001A0B0000}">
      <text>
        <r>
          <rPr>
            <sz val="10"/>
            <color rgb="FF000000"/>
            <rFont val="Arial"/>
            <scheme val="minor"/>
          </rPr>
          <t>Updated on 19-Jan-2026 10:26 AM by bpsdemak3321@gmail.com</t>
        </r>
      </text>
    </comment>
    <comment ref="H1654" authorId="0" shapeId="0" xr:uid="{00000000-0006-0000-0000-00001B0B0000}">
      <text>
        <r>
          <rPr>
            <sz val="10"/>
            <color rgb="FF000000"/>
            <rFont val="Arial"/>
            <scheme val="minor"/>
          </rPr>
          <t>Updated on 19-Jan-2026 10:26 AM by bpsdemak3321@gmail.com</t>
        </r>
      </text>
    </comment>
    <comment ref="G1655" authorId="0" shapeId="0" xr:uid="{00000000-0006-0000-0000-00001C0B0000}">
      <text>
        <r>
          <rPr>
            <sz val="10"/>
            <color rgb="FF000000"/>
            <rFont val="Arial"/>
            <scheme val="minor"/>
          </rPr>
          <t>Updated on 19-Jan-2026 10:26 AM by bpsdemak3321@gmail.com</t>
        </r>
      </text>
    </comment>
    <comment ref="H1655" authorId="0" shapeId="0" xr:uid="{00000000-0006-0000-0000-00001D0B0000}">
      <text>
        <r>
          <rPr>
            <sz val="10"/>
            <color rgb="FF000000"/>
            <rFont val="Arial"/>
            <scheme val="minor"/>
          </rPr>
          <t>Updated on 19-Jan-2026 10:26 AM by bpsdemak3321@gmail.com</t>
        </r>
      </text>
    </comment>
    <comment ref="G1656" authorId="0" shapeId="0" xr:uid="{00000000-0006-0000-0000-00001E0B0000}">
      <text>
        <r>
          <rPr>
            <sz val="10"/>
            <color rgb="FF000000"/>
            <rFont val="Arial"/>
            <scheme val="minor"/>
          </rPr>
          <t>Updated on 19-Jan-2026 10:27 AM by bpsdemak3321@gmail.com</t>
        </r>
      </text>
    </comment>
    <comment ref="H1656" authorId="0" shapeId="0" xr:uid="{00000000-0006-0000-0000-00001F0B0000}">
      <text>
        <r>
          <rPr>
            <sz val="10"/>
            <color rgb="FF000000"/>
            <rFont val="Arial"/>
            <scheme val="minor"/>
          </rPr>
          <t>Updated on 19-Jan-2026 10:27 AM by bpsdemak3321@gmail.com</t>
        </r>
      </text>
    </comment>
    <comment ref="G1657" authorId="0" shapeId="0" xr:uid="{00000000-0006-0000-0000-0000200B0000}">
      <text>
        <r>
          <rPr>
            <sz val="10"/>
            <color rgb="FF000000"/>
            <rFont val="Arial"/>
            <scheme val="minor"/>
          </rPr>
          <t>Updated on 19-Jan-2026 10:41 AM by bpsdemak3321@gmail.com</t>
        </r>
      </text>
    </comment>
    <comment ref="H1657" authorId="0" shapeId="0" xr:uid="{00000000-0006-0000-0000-0000210B0000}">
      <text>
        <r>
          <rPr>
            <sz val="10"/>
            <color rgb="FF000000"/>
            <rFont val="Arial"/>
            <scheme val="minor"/>
          </rPr>
          <t>Updated on 19-Jan-2026 10:41 AM by bpsdemak3321@gmail.com</t>
        </r>
      </text>
    </comment>
    <comment ref="G1658" authorId="0" shapeId="0" xr:uid="{00000000-0006-0000-0000-0000220B0000}">
      <text>
        <r>
          <rPr>
            <sz val="10"/>
            <color rgb="FF000000"/>
            <rFont val="Arial"/>
            <scheme val="minor"/>
          </rPr>
          <t>Updated on 19-Jan-2026 10:43 AM by bpsdemak3321@gmail.com</t>
        </r>
      </text>
    </comment>
    <comment ref="H1658" authorId="0" shapeId="0" xr:uid="{00000000-0006-0000-0000-0000230B0000}">
      <text>
        <r>
          <rPr>
            <sz val="10"/>
            <color rgb="FF000000"/>
            <rFont val="Arial"/>
            <scheme val="minor"/>
          </rPr>
          <t>Updated on 19-Jan-2026 10:43 AM by bpsdemak3321@gmail.com</t>
        </r>
      </text>
    </comment>
    <comment ref="G1659" authorId="0" shapeId="0" xr:uid="{00000000-0006-0000-0000-0000240B0000}">
      <text>
        <r>
          <rPr>
            <sz val="10"/>
            <color rgb="FF000000"/>
            <rFont val="Arial"/>
            <scheme val="minor"/>
          </rPr>
          <t>Updated on 19-Jan-2026 10:45 AM by bpsdemak3321@gmail.com</t>
        </r>
      </text>
    </comment>
    <comment ref="H1659" authorId="0" shapeId="0" xr:uid="{00000000-0006-0000-0000-0000250B0000}">
      <text>
        <r>
          <rPr>
            <sz val="10"/>
            <color rgb="FF000000"/>
            <rFont val="Arial"/>
            <scheme val="minor"/>
          </rPr>
          <t>Updated on 19-Jan-2026 10:45 AM by bpsdemak3321@gmail.com</t>
        </r>
      </text>
    </comment>
    <comment ref="G1660" authorId="0" shapeId="0" xr:uid="{00000000-0006-0000-0000-0000260B0000}">
      <text>
        <r>
          <rPr>
            <sz val="10"/>
            <color rgb="FF000000"/>
            <rFont val="Arial"/>
            <scheme val="minor"/>
          </rPr>
          <t>Updated on 19-Jan-2026 10:47 AM by bpsdemak3321@gmail.com</t>
        </r>
      </text>
    </comment>
    <comment ref="H1660" authorId="0" shapeId="0" xr:uid="{00000000-0006-0000-0000-0000270B0000}">
      <text>
        <r>
          <rPr>
            <sz val="10"/>
            <color rgb="FF000000"/>
            <rFont val="Arial"/>
            <scheme val="minor"/>
          </rPr>
          <t>Updated on 19-Jan-2026 10:47 AM by bpsdemak3321@gmail.com</t>
        </r>
      </text>
    </comment>
    <comment ref="G1661" authorId="0" shapeId="0" xr:uid="{00000000-0006-0000-0000-0000280B0000}">
      <text>
        <r>
          <rPr>
            <sz val="10"/>
            <color rgb="FF000000"/>
            <rFont val="Arial"/>
            <scheme val="minor"/>
          </rPr>
          <t>Updated on 19-Jan-2026 10:48 AM by bpsdemak3321@gmail.com</t>
        </r>
      </text>
    </comment>
    <comment ref="H1661" authorId="0" shapeId="0" xr:uid="{00000000-0006-0000-0000-0000290B0000}">
      <text>
        <r>
          <rPr>
            <sz val="10"/>
            <color rgb="FF000000"/>
            <rFont val="Arial"/>
            <scheme val="minor"/>
          </rPr>
          <t>Updated on 19-Jan-2026 10:48 AM by bpsdemak3321@gmail.com</t>
        </r>
      </text>
    </comment>
    <comment ref="G1662" authorId="0" shapeId="0" xr:uid="{00000000-0006-0000-0000-00002A0B0000}">
      <text>
        <r>
          <rPr>
            <sz val="10"/>
            <color rgb="FF000000"/>
            <rFont val="Arial"/>
            <scheme val="minor"/>
          </rPr>
          <t>Updated on 19-Jan-2026 10:51 AM by bpsdemak3321@gmail.com</t>
        </r>
      </text>
    </comment>
    <comment ref="H1662" authorId="0" shapeId="0" xr:uid="{00000000-0006-0000-0000-00002B0B0000}">
      <text>
        <r>
          <rPr>
            <sz val="10"/>
            <color rgb="FF000000"/>
            <rFont val="Arial"/>
            <scheme val="minor"/>
          </rPr>
          <t>Updated on 19-Jan-2026 10:51 AM by bpsdemak3321@gmail.com</t>
        </r>
      </text>
    </comment>
    <comment ref="G1663" authorId="0" shapeId="0" xr:uid="{00000000-0006-0000-0000-00002C0B0000}">
      <text>
        <r>
          <rPr>
            <sz val="10"/>
            <color rgb="FF000000"/>
            <rFont val="Arial"/>
            <scheme val="minor"/>
          </rPr>
          <t>Updated on 19-Jan-2026 10:51 AM by bpsdemak3321@gmail.com</t>
        </r>
      </text>
    </comment>
    <comment ref="H1663" authorId="0" shapeId="0" xr:uid="{00000000-0006-0000-0000-00002D0B0000}">
      <text>
        <r>
          <rPr>
            <sz val="10"/>
            <color rgb="FF000000"/>
            <rFont val="Arial"/>
            <scheme val="minor"/>
          </rPr>
          <t>Updated on 19-Jan-2026 10:51 AM by bpsdemak3321@gmail.com</t>
        </r>
      </text>
    </comment>
    <comment ref="G1664" authorId="0" shapeId="0" xr:uid="{00000000-0006-0000-0000-00002E0B0000}">
      <text>
        <r>
          <rPr>
            <sz val="10"/>
            <color rgb="FF000000"/>
            <rFont val="Arial"/>
            <scheme val="minor"/>
          </rPr>
          <t>Updated on 19-Jan-2026 10:51 AM by bpsdemak3321@gmail.com</t>
        </r>
      </text>
    </comment>
    <comment ref="H1664" authorId="0" shapeId="0" xr:uid="{00000000-0006-0000-0000-00002F0B0000}">
      <text>
        <r>
          <rPr>
            <sz val="10"/>
            <color rgb="FF000000"/>
            <rFont val="Arial"/>
            <scheme val="minor"/>
          </rPr>
          <t>Updated on 19-Jan-2026 10:51 AM by bpsdemak3321@gmail.com</t>
        </r>
      </text>
    </comment>
    <comment ref="G1665" authorId="0" shapeId="0" xr:uid="{00000000-0006-0000-0000-0000300B0000}">
      <text>
        <r>
          <rPr>
            <sz val="10"/>
            <color rgb="FF000000"/>
            <rFont val="Arial"/>
            <scheme val="minor"/>
          </rPr>
          <t>Updated on 19-Jan-2026 10:52 AM by bpsdemak3321@gmail.com</t>
        </r>
      </text>
    </comment>
    <comment ref="H1665" authorId="0" shapeId="0" xr:uid="{00000000-0006-0000-0000-0000310B0000}">
      <text>
        <r>
          <rPr>
            <sz val="10"/>
            <color rgb="FF000000"/>
            <rFont val="Arial"/>
            <scheme val="minor"/>
          </rPr>
          <t>Updated on 19-Jan-2026 10:52 AM by bpsdemak3321@gmail.com</t>
        </r>
      </text>
    </comment>
    <comment ref="G1666" authorId="0" shapeId="0" xr:uid="{00000000-0006-0000-0000-0000320B0000}">
      <text>
        <r>
          <rPr>
            <sz val="10"/>
            <color rgb="FF000000"/>
            <rFont val="Arial"/>
            <scheme val="minor"/>
          </rPr>
          <t>Updated on 19-Jan-2026 10:52 AM by bpsdemak3321@gmail.com</t>
        </r>
      </text>
    </comment>
    <comment ref="H1666" authorId="0" shapeId="0" xr:uid="{00000000-0006-0000-0000-0000330B0000}">
      <text>
        <r>
          <rPr>
            <sz val="10"/>
            <color rgb="FF000000"/>
            <rFont val="Arial"/>
            <scheme val="minor"/>
          </rPr>
          <t>Updated on 19-Jan-2026 10:52 AM by bpsdemak3321@gmail.com</t>
        </r>
      </text>
    </comment>
    <comment ref="G1667" authorId="0" shapeId="0" xr:uid="{00000000-0006-0000-0000-0000340B0000}">
      <text>
        <r>
          <rPr>
            <sz val="10"/>
            <color rgb="FF000000"/>
            <rFont val="Arial"/>
            <scheme val="minor"/>
          </rPr>
          <t>Updated on 19-Jan-2026 10:53 AM by bpsdemak3321@gmail.com</t>
        </r>
      </text>
    </comment>
    <comment ref="H1667" authorId="0" shapeId="0" xr:uid="{00000000-0006-0000-0000-0000350B0000}">
      <text>
        <r>
          <rPr>
            <sz val="10"/>
            <color rgb="FF000000"/>
            <rFont val="Arial"/>
            <scheme val="minor"/>
          </rPr>
          <t>Updated on 19-Jan-2026 10:53 AM by bpsdemak3321@gmail.com</t>
        </r>
      </text>
    </comment>
    <comment ref="G1668" authorId="0" shapeId="0" xr:uid="{00000000-0006-0000-0000-0000360B0000}">
      <text>
        <r>
          <rPr>
            <sz val="10"/>
            <color rgb="FF000000"/>
            <rFont val="Arial"/>
            <scheme val="minor"/>
          </rPr>
          <t>Updated on 19-Jan-2026 10:53 AM by bpsdemak3321@gmail.com</t>
        </r>
      </text>
    </comment>
    <comment ref="H1668" authorId="0" shapeId="0" xr:uid="{00000000-0006-0000-0000-0000370B0000}">
      <text>
        <r>
          <rPr>
            <sz val="10"/>
            <color rgb="FF000000"/>
            <rFont val="Arial"/>
            <scheme val="minor"/>
          </rPr>
          <t>Updated on 19-Jan-2026 10:53 AM by bpsdemak3321@gmail.com</t>
        </r>
      </text>
    </comment>
    <comment ref="G1669" authorId="0" shapeId="0" xr:uid="{00000000-0006-0000-0000-0000380B0000}">
      <text>
        <r>
          <rPr>
            <sz val="10"/>
            <color rgb="FF000000"/>
            <rFont val="Arial"/>
            <scheme val="minor"/>
          </rPr>
          <t>Updated on 19-Jan-2026 10:54 AM by bpsdemak3321@gmail.com</t>
        </r>
      </text>
    </comment>
    <comment ref="H1669" authorId="0" shapeId="0" xr:uid="{00000000-0006-0000-0000-0000390B0000}">
      <text>
        <r>
          <rPr>
            <sz val="10"/>
            <color rgb="FF000000"/>
            <rFont val="Arial"/>
            <scheme val="minor"/>
          </rPr>
          <t>Updated on 19-Jan-2026 10:54 AM by bpsdemak3321@gmail.com</t>
        </r>
      </text>
    </comment>
    <comment ref="G1670" authorId="0" shapeId="0" xr:uid="{00000000-0006-0000-0000-00003A0B0000}">
      <text>
        <r>
          <rPr>
            <sz val="10"/>
            <color rgb="FF000000"/>
            <rFont val="Arial"/>
            <scheme val="minor"/>
          </rPr>
          <t>Updated on 19-Jan-2026 10:54 AM by bpsdemak3321@gmail.com</t>
        </r>
      </text>
    </comment>
    <comment ref="H1670" authorId="0" shapeId="0" xr:uid="{00000000-0006-0000-0000-00003B0B0000}">
      <text>
        <r>
          <rPr>
            <sz val="10"/>
            <color rgb="FF000000"/>
            <rFont val="Arial"/>
            <scheme val="minor"/>
          </rPr>
          <t>Updated on 19-Jan-2026 10:54 AM by bpsdemak3321@gmail.com</t>
        </r>
      </text>
    </comment>
    <comment ref="G1671" authorId="0" shapeId="0" xr:uid="{00000000-0006-0000-0000-00003C0B0000}">
      <text>
        <r>
          <rPr>
            <sz val="10"/>
            <color rgb="FF000000"/>
            <rFont val="Arial"/>
            <scheme val="minor"/>
          </rPr>
          <t>Updated on 19-Jan-2026 11:41 AM by bpsdemak3321@gmail.com</t>
        </r>
      </text>
    </comment>
    <comment ref="H1671" authorId="0" shapeId="0" xr:uid="{00000000-0006-0000-0000-00003D0B0000}">
      <text>
        <r>
          <rPr>
            <sz val="10"/>
            <color rgb="FF000000"/>
            <rFont val="Arial"/>
            <scheme val="minor"/>
          </rPr>
          <t>Updated on 19-Jan-2026 11:41 AM by bpsdemak3321@gmail.com</t>
        </r>
      </text>
    </comment>
    <comment ref="G1672" authorId="0" shapeId="0" xr:uid="{00000000-0006-0000-0000-00003E0B0000}">
      <text>
        <r>
          <rPr>
            <sz val="10"/>
            <color rgb="FF000000"/>
            <rFont val="Arial"/>
            <scheme val="minor"/>
          </rPr>
          <t>Updated on 19-Jan-2026 11:41 AM by bpsdemak3321@gmail.com</t>
        </r>
      </text>
    </comment>
    <comment ref="H1672" authorId="0" shapeId="0" xr:uid="{00000000-0006-0000-0000-00003F0B0000}">
      <text>
        <r>
          <rPr>
            <sz val="10"/>
            <color rgb="FF000000"/>
            <rFont val="Arial"/>
            <scheme val="minor"/>
          </rPr>
          <t>Updated on 19-Jan-2026 11:41 AM by bpsdemak3321@gmail.com</t>
        </r>
      </text>
    </comment>
    <comment ref="G1673" authorId="0" shapeId="0" xr:uid="{00000000-0006-0000-0000-0000400B0000}">
      <text>
        <r>
          <rPr>
            <sz val="10"/>
            <color rgb="FF000000"/>
            <rFont val="Arial"/>
            <scheme val="minor"/>
          </rPr>
          <t>Updated on 19-Jan-2026 11:42 AM by bpsdemak3321@gmail.com</t>
        </r>
      </text>
    </comment>
    <comment ref="H1673" authorId="0" shapeId="0" xr:uid="{00000000-0006-0000-0000-0000410B0000}">
      <text>
        <r>
          <rPr>
            <sz val="10"/>
            <color rgb="FF000000"/>
            <rFont val="Arial"/>
            <scheme val="minor"/>
          </rPr>
          <t>Updated on 19-Jan-2026 11:42 AM by bpsdemak3321@gmail.com</t>
        </r>
      </text>
    </comment>
    <comment ref="G1674" authorId="0" shapeId="0" xr:uid="{00000000-0006-0000-0000-0000420B0000}">
      <text>
        <r>
          <rPr>
            <sz val="10"/>
            <color rgb="FF000000"/>
            <rFont val="Arial"/>
            <scheme val="minor"/>
          </rPr>
          <t>Updated on 19-Jan-2026 11:43 AM by bpsdemak3321@gmail.com</t>
        </r>
      </text>
    </comment>
    <comment ref="H1674" authorId="0" shapeId="0" xr:uid="{00000000-0006-0000-0000-0000430B0000}">
      <text>
        <r>
          <rPr>
            <sz val="10"/>
            <color rgb="FF000000"/>
            <rFont val="Arial"/>
            <scheme val="minor"/>
          </rPr>
          <t>Updated on 19-Jan-2026 11:43 AM by bpsdemak3321@gmail.com</t>
        </r>
      </text>
    </comment>
    <comment ref="G1675" authorId="0" shapeId="0" xr:uid="{00000000-0006-0000-0000-0000440B0000}">
      <text>
        <r>
          <rPr>
            <sz val="10"/>
            <color rgb="FF000000"/>
            <rFont val="Arial"/>
            <scheme val="minor"/>
          </rPr>
          <t>Updated on 19-Jan-2026 01:15 PM by bpsdemak3321@gmail.com</t>
        </r>
      </text>
    </comment>
    <comment ref="H1675" authorId="0" shapeId="0" xr:uid="{00000000-0006-0000-0000-0000450B0000}">
      <text>
        <r>
          <rPr>
            <sz val="10"/>
            <color rgb="FF000000"/>
            <rFont val="Arial"/>
            <scheme val="minor"/>
          </rPr>
          <t>Updated on 19-Jan-2026 01:15 PM by bpsdemak3321@gmail.com</t>
        </r>
      </text>
    </comment>
    <comment ref="G1676" authorId="0" shapeId="0" xr:uid="{00000000-0006-0000-0000-0000460B0000}">
      <text>
        <r>
          <rPr>
            <sz val="10"/>
            <color rgb="FF000000"/>
            <rFont val="Arial"/>
            <scheme val="minor"/>
          </rPr>
          <t>Updated on 19-Jan-2026 01:25 PM by bpsdemak3321@gmail.com</t>
        </r>
      </text>
    </comment>
    <comment ref="H1676" authorId="0" shapeId="0" xr:uid="{00000000-0006-0000-0000-0000470B0000}">
      <text>
        <r>
          <rPr>
            <sz val="10"/>
            <color rgb="FF000000"/>
            <rFont val="Arial"/>
            <scheme val="minor"/>
          </rPr>
          <t>Updated on 19-Jan-2026 01:25 PM by bpsdemak3321@gmail.com</t>
        </r>
      </text>
    </comment>
    <comment ref="G1677" authorId="0" shapeId="0" xr:uid="{00000000-0006-0000-0000-0000480B0000}">
      <text>
        <r>
          <rPr>
            <sz val="10"/>
            <color rgb="FF000000"/>
            <rFont val="Arial"/>
            <scheme val="minor"/>
          </rPr>
          <t>Updated on 19-Jan-2026 01:34 PM by bpsdemak3321@gmail.com</t>
        </r>
      </text>
    </comment>
    <comment ref="H1677" authorId="0" shapeId="0" xr:uid="{00000000-0006-0000-0000-0000490B0000}">
      <text>
        <r>
          <rPr>
            <sz val="10"/>
            <color rgb="FF000000"/>
            <rFont val="Arial"/>
            <scheme val="minor"/>
          </rPr>
          <t>Updated on 19-Jan-2026 01:34 PM by bpsdemak3321@gmail.com</t>
        </r>
      </text>
    </comment>
    <comment ref="G1678" authorId="0" shapeId="0" xr:uid="{00000000-0006-0000-0000-00004A0B0000}">
      <text>
        <r>
          <rPr>
            <sz val="10"/>
            <color rgb="FF000000"/>
            <rFont val="Arial"/>
            <scheme val="minor"/>
          </rPr>
          <t>Updated on 19-Jan-2026 04:10 PM by bpsdemak3321@gmail.com</t>
        </r>
      </text>
    </comment>
    <comment ref="H1678" authorId="0" shapeId="0" xr:uid="{00000000-0006-0000-0000-00004B0B0000}">
      <text>
        <r>
          <rPr>
            <sz val="10"/>
            <color rgb="FF000000"/>
            <rFont val="Arial"/>
            <scheme val="minor"/>
          </rPr>
          <t>Updated on 19-Jan-2026 04:10 PM by bpsdemak3321@gmail.com</t>
        </r>
      </text>
    </comment>
    <comment ref="G1679" authorId="0" shapeId="0" xr:uid="{00000000-0006-0000-0000-00004C0B0000}">
      <text>
        <r>
          <rPr>
            <sz val="10"/>
            <color rgb="FF000000"/>
            <rFont val="Arial"/>
            <scheme val="minor"/>
          </rPr>
          <t>Updated on 19-Jan-2026 04:10 PM by bpsdemak3321@gmail.com</t>
        </r>
      </text>
    </comment>
    <comment ref="H1679" authorId="0" shapeId="0" xr:uid="{00000000-0006-0000-0000-00004D0B0000}">
      <text>
        <r>
          <rPr>
            <sz val="10"/>
            <color rgb="FF000000"/>
            <rFont val="Arial"/>
            <scheme val="minor"/>
          </rPr>
          <t>Updated on 19-Jan-2026 04:10 PM by bpsdemak3321@gmail.com</t>
        </r>
      </text>
    </comment>
    <comment ref="G1680" authorId="0" shapeId="0" xr:uid="{00000000-0006-0000-0000-00004E0B0000}">
      <text>
        <r>
          <rPr>
            <sz val="10"/>
            <color rgb="FF000000"/>
            <rFont val="Arial"/>
            <scheme val="minor"/>
          </rPr>
          <t>Updated on 19-Jan-2026 04:11 PM by bpsdemak3321@gmail.com</t>
        </r>
      </text>
    </comment>
    <comment ref="H1680" authorId="0" shapeId="0" xr:uid="{00000000-0006-0000-0000-00004F0B0000}">
      <text>
        <r>
          <rPr>
            <sz val="10"/>
            <color rgb="FF000000"/>
            <rFont val="Arial"/>
            <scheme val="minor"/>
          </rPr>
          <t>Updated on 19-Jan-2026 04:11 PM by bpsdemak3321@gmail.com</t>
        </r>
      </text>
    </comment>
    <comment ref="G1681" authorId="0" shapeId="0" xr:uid="{00000000-0006-0000-0000-0000500B0000}">
      <text>
        <r>
          <rPr>
            <sz val="10"/>
            <color rgb="FF000000"/>
            <rFont val="Arial"/>
            <scheme val="minor"/>
          </rPr>
          <t>Updated on 19-Jan-2026 04:11 PM by bpsdemak3321@gmail.com</t>
        </r>
      </text>
    </comment>
    <comment ref="H1681" authorId="0" shapeId="0" xr:uid="{00000000-0006-0000-0000-0000510B0000}">
      <text>
        <r>
          <rPr>
            <sz val="10"/>
            <color rgb="FF000000"/>
            <rFont val="Arial"/>
            <scheme val="minor"/>
          </rPr>
          <t>Updated on 19-Jan-2026 04:11 PM by bpsdemak3321@gmail.com</t>
        </r>
      </text>
    </comment>
    <comment ref="G1682" authorId="0" shapeId="0" xr:uid="{00000000-0006-0000-0000-0000520B0000}">
      <text>
        <r>
          <rPr>
            <sz val="10"/>
            <color rgb="FF000000"/>
            <rFont val="Arial"/>
            <scheme val="minor"/>
          </rPr>
          <t>Updated on 19-Jan-2026 04:12 PM by bpsdemak3321@gmail.com</t>
        </r>
      </text>
    </comment>
    <comment ref="H1682" authorId="0" shapeId="0" xr:uid="{00000000-0006-0000-0000-0000530B0000}">
      <text>
        <r>
          <rPr>
            <sz val="10"/>
            <color rgb="FF000000"/>
            <rFont val="Arial"/>
            <scheme val="minor"/>
          </rPr>
          <t>Updated on 19-Jan-2026 04:12 PM by bpsdemak3321@gmail.com</t>
        </r>
      </text>
    </comment>
    <comment ref="G1683" authorId="0" shapeId="0" xr:uid="{00000000-0006-0000-0000-0000540B0000}">
      <text>
        <r>
          <rPr>
            <sz val="10"/>
            <color rgb="FF000000"/>
            <rFont val="Arial"/>
            <scheme val="minor"/>
          </rPr>
          <t>Updated on 19-Jan-2026 04:12 PM by bpsdemak3321@gmail.com</t>
        </r>
      </text>
    </comment>
    <comment ref="H1683" authorId="0" shapeId="0" xr:uid="{00000000-0006-0000-0000-0000550B0000}">
      <text>
        <r>
          <rPr>
            <sz val="10"/>
            <color rgb="FF000000"/>
            <rFont val="Arial"/>
            <scheme val="minor"/>
          </rPr>
          <t>Updated on 19-Jan-2026 04:12 PM by bpsdemak3321@gmail.com</t>
        </r>
      </text>
    </comment>
    <comment ref="G1684" authorId="0" shapeId="0" xr:uid="{00000000-0006-0000-0000-0000560B0000}">
      <text>
        <r>
          <rPr>
            <sz val="10"/>
            <color rgb="FF000000"/>
            <rFont val="Arial"/>
            <scheme val="minor"/>
          </rPr>
          <t>Updated on 19-Jan-2026 04:13 PM by bpsdemak3321@gmail.com</t>
        </r>
      </text>
    </comment>
    <comment ref="H1684" authorId="0" shapeId="0" xr:uid="{00000000-0006-0000-0000-0000570B0000}">
      <text>
        <r>
          <rPr>
            <sz val="10"/>
            <color rgb="FF000000"/>
            <rFont val="Arial"/>
            <scheme val="minor"/>
          </rPr>
          <t>Updated on 19-Jan-2026 04:13 PM by bpsdemak3321@gmail.com</t>
        </r>
      </text>
    </comment>
    <comment ref="G1685" authorId="0" shapeId="0" xr:uid="{00000000-0006-0000-0000-0000580B0000}">
      <text>
        <r>
          <rPr>
            <sz val="10"/>
            <color rgb="FF000000"/>
            <rFont val="Arial"/>
            <scheme val="minor"/>
          </rPr>
          <t>Updated on 20-Jan-2026 11:09 AM by bpsdemak3321@gmail.com</t>
        </r>
      </text>
    </comment>
    <comment ref="H1685" authorId="0" shapeId="0" xr:uid="{00000000-0006-0000-0000-0000590B0000}">
      <text>
        <r>
          <rPr>
            <sz val="10"/>
            <color rgb="FF000000"/>
            <rFont val="Arial"/>
            <scheme val="minor"/>
          </rPr>
          <t>Updated on 20-Jan-2026 11:09 AM by bpsdemak3321@gmail.com</t>
        </r>
      </text>
    </comment>
    <comment ref="G1686" authorId="0" shapeId="0" xr:uid="{00000000-0006-0000-0000-00005A0B0000}">
      <text>
        <r>
          <rPr>
            <sz val="10"/>
            <color rgb="FF000000"/>
            <rFont val="Arial"/>
            <scheme val="minor"/>
          </rPr>
          <t>Updated on 20-Jan-2026 11:10 AM by bpsdemak3321@gmail.com</t>
        </r>
      </text>
    </comment>
    <comment ref="H1686" authorId="0" shapeId="0" xr:uid="{00000000-0006-0000-0000-00005B0B0000}">
      <text>
        <r>
          <rPr>
            <sz val="10"/>
            <color rgb="FF000000"/>
            <rFont val="Arial"/>
            <scheme val="minor"/>
          </rPr>
          <t>Updated on 20-Jan-2026 11:10 AM by bpsdemak3321@gmail.com</t>
        </r>
      </text>
    </comment>
    <comment ref="G1687" authorId="0" shapeId="0" xr:uid="{00000000-0006-0000-0000-00005C0B0000}">
      <text>
        <r>
          <rPr>
            <sz val="10"/>
            <color rgb="FF000000"/>
            <rFont val="Arial"/>
            <scheme val="minor"/>
          </rPr>
          <t>Updated on 20-Jan-2026 11:11 AM by bpsdemak3321@gmail.com</t>
        </r>
      </text>
    </comment>
    <comment ref="H1687" authorId="0" shapeId="0" xr:uid="{00000000-0006-0000-0000-00005D0B0000}">
      <text>
        <r>
          <rPr>
            <sz val="10"/>
            <color rgb="FF000000"/>
            <rFont val="Arial"/>
            <scheme val="minor"/>
          </rPr>
          <t>Updated on 20-Jan-2026 11:11 AM by bpsdemak3321@gmail.com</t>
        </r>
      </text>
    </comment>
    <comment ref="G1688" authorId="0" shapeId="0" xr:uid="{00000000-0006-0000-0000-00005E0B0000}">
      <text>
        <r>
          <rPr>
            <sz val="10"/>
            <color rgb="FF000000"/>
            <rFont val="Arial"/>
            <scheme val="minor"/>
          </rPr>
          <t>Updated on 20-Jan-2026 11:14 AM by bpsdemak3321@gmail.com</t>
        </r>
      </text>
    </comment>
    <comment ref="H1688" authorId="0" shapeId="0" xr:uid="{00000000-0006-0000-0000-00005F0B0000}">
      <text>
        <r>
          <rPr>
            <sz val="10"/>
            <color rgb="FF000000"/>
            <rFont val="Arial"/>
            <scheme val="minor"/>
          </rPr>
          <t>Updated on 20-Jan-2026 11:14 AM by bpsdemak3321@gmail.com</t>
        </r>
      </text>
    </comment>
    <comment ref="G1689" authorId="0" shapeId="0" xr:uid="{00000000-0006-0000-0000-0000600B0000}">
      <text>
        <r>
          <rPr>
            <sz val="10"/>
            <color rgb="FF000000"/>
            <rFont val="Arial"/>
            <scheme val="minor"/>
          </rPr>
          <t>Updated on 20-Jan-2026 11:50 AM by bpsdemak3321@gmail.com</t>
        </r>
      </text>
    </comment>
    <comment ref="H1689" authorId="0" shapeId="0" xr:uid="{00000000-0006-0000-0000-0000610B0000}">
      <text>
        <r>
          <rPr>
            <sz val="10"/>
            <color rgb="FF000000"/>
            <rFont val="Arial"/>
            <scheme val="minor"/>
          </rPr>
          <t>Updated on 20-Jan-2026 11:50 AM by bpsdemak3321@gmail.com</t>
        </r>
      </text>
    </comment>
    <comment ref="G1690" authorId="0" shapeId="0" xr:uid="{00000000-0006-0000-0000-0000620B0000}">
      <text>
        <r>
          <rPr>
            <sz val="10"/>
            <color rgb="FF000000"/>
            <rFont val="Arial"/>
            <scheme val="minor"/>
          </rPr>
          <t>Updated on 20-Jan-2026 12:12 PM by bpsdemak3321@gmail.com</t>
        </r>
      </text>
    </comment>
    <comment ref="H1690" authorId="0" shapeId="0" xr:uid="{00000000-0006-0000-0000-0000630B0000}">
      <text>
        <r>
          <rPr>
            <sz val="10"/>
            <color rgb="FF000000"/>
            <rFont val="Arial"/>
            <scheme val="minor"/>
          </rPr>
          <t>Updated on 20-Jan-2026 12:12 PM by bpsdemak3321@gmail.com</t>
        </r>
      </text>
    </comment>
    <comment ref="G1691" authorId="0" shapeId="0" xr:uid="{00000000-0006-0000-0000-0000640B0000}">
      <text>
        <r>
          <rPr>
            <sz val="10"/>
            <color rgb="FF000000"/>
            <rFont val="Arial"/>
            <scheme val="minor"/>
          </rPr>
          <t>Updated on 20-Jan-2026 12:56 PM by bpsdemak3321@gmail.com</t>
        </r>
      </text>
    </comment>
    <comment ref="H1691" authorId="0" shapeId="0" xr:uid="{00000000-0006-0000-0000-0000650B0000}">
      <text>
        <r>
          <rPr>
            <sz val="10"/>
            <color rgb="FF000000"/>
            <rFont val="Arial"/>
            <scheme val="minor"/>
          </rPr>
          <t>Updated on 20-Jan-2026 12:56 PM by bpsdemak3321@gmail.com</t>
        </r>
      </text>
    </comment>
    <comment ref="G1692" authorId="0" shapeId="0" xr:uid="{00000000-0006-0000-0000-0000660B0000}">
      <text>
        <r>
          <rPr>
            <sz val="10"/>
            <color rgb="FF000000"/>
            <rFont val="Arial"/>
            <scheme val="minor"/>
          </rPr>
          <t>Updated on 20-Jan-2026 12:56 PM by bpsdemak3321@gmail.com</t>
        </r>
      </text>
    </comment>
    <comment ref="H1692" authorId="0" shapeId="0" xr:uid="{00000000-0006-0000-0000-0000670B0000}">
      <text>
        <r>
          <rPr>
            <sz val="10"/>
            <color rgb="FF000000"/>
            <rFont val="Arial"/>
            <scheme val="minor"/>
          </rPr>
          <t>Updated on 20-Jan-2026 12:56 PM by bpsdemak3321@gmail.com</t>
        </r>
      </text>
    </comment>
    <comment ref="G1693" authorId="0" shapeId="0" xr:uid="{00000000-0006-0000-0000-0000680B0000}">
      <text>
        <r>
          <rPr>
            <sz val="10"/>
            <color rgb="FF000000"/>
            <rFont val="Arial"/>
            <scheme val="minor"/>
          </rPr>
          <t>Updated on 20-Jan-2026 12:57 PM by bpsdemak3321@gmail.com</t>
        </r>
      </text>
    </comment>
    <comment ref="H1693" authorId="0" shapeId="0" xr:uid="{00000000-0006-0000-0000-0000690B0000}">
      <text>
        <r>
          <rPr>
            <sz val="10"/>
            <color rgb="FF000000"/>
            <rFont val="Arial"/>
            <scheme val="minor"/>
          </rPr>
          <t>Updated on 20-Jan-2026 12:57 PM by bpsdemak3321@gmail.com</t>
        </r>
      </text>
    </comment>
    <comment ref="G1694" authorId="0" shapeId="0" xr:uid="{00000000-0006-0000-0000-00006A0B0000}">
      <text>
        <r>
          <rPr>
            <sz val="10"/>
            <color rgb="FF000000"/>
            <rFont val="Arial"/>
            <scheme val="minor"/>
          </rPr>
          <t>Updated on 20-Jan-2026 12:58 PM by bpsdemak3321@gmail.com</t>
        </r>
      </text>
    </comment>
    <comment ref="H1694" authorId="0" shapeId="0" xr:uid="{00000000-0006-0000-0000-00006B0B0000}">
      <text>
        <r>
          <rPr>
            <sz val="10"/>
            <color rgb="FF000000"/>
            <rFont val="Arial"/>
            <scheme val="minor"/>
          </rPr>
          <t>Updated on 20-Jan-2026 12:58 PM by bpsdemak3321@gmail.com</t>
        </r>
      </text>
    </comment>
    <comment ref="G1695" authorId="0" shapeId="0" xr:uid="{00000000-0006-0000-0000-00006C0B0000}">
      <text>
        <r>
          <rPr>
            <sz val="10"/>
            <color rgb="FF000000"/>
            <rFont val="Arial"/>
            <scheme val="minor"/>
          </rPr>
          <t>Updated on 21-Jan-2026 08:49 AM by bpsdemak3321@gmail.com</t>
        </r>
      </text>
    </comment>
    <comment ref="H1695" authorId="0" shapeId="0" xr:uid="{00000000-0006-0000-0000-00006D0B0000}">
      <text>
        <r>
          <rPr>
            <sz val="10"/>
            <color rgb="FF000000"/>
            <rFont val="Arial"/>
            <scheme val="minor"/>
          </rPr>
          <t>Updated on 21-Jan-2026 08:49 AM by bpsdemak3321@gmail.com</t>
        </r>
      </text>
    </comment>
    <comment ref="G1696" authorId="0" shapeId="0" xr:uid="{00000000-0006-0000-0000-00006E0B0000}">
      <text>
        <r>
          <rPr>
            <sz val="10"/>
            <color rgb="FF000000"/>
            <rFont val="Arial"/>
            <scheme val="minor"/>
          </rPr>
          <t>Updated on 21-Jan-2026 08:52 AM by bpsdemak3321@gmail.com</t>
        </r>
      </text>
    </comment>
    <comment ref="H1696" authorId="0" shapeId="0" xr:uid="{00000000-0006-0000-0000-00006F0B0000}">
      <text>
        <r>
          <rPr>
            <sz val="10"/>
            <color rgb="FF000000"/>
            <rFont val="Arial"/>
            <scheme val="minor"/>
          </rPr>
          <t>Updated on 21-Jan-2026 08:52 AM by bpsdemak3321@gmail.com</t>
        </r>
      </text>
    </comment>
    <comment ref="G1697" authorId="0" shapeId="0" xr:uid="{00000000-0006-0000-0000-0000700B0000}">
      <text>
        <r>
          <rPr>
            <sz val="10"/>
            <color rgb="FF000000"/>
            <rFont val="Arial"/>
            <scheme val="minor"/>
          </rPr>
          <t>Updated on 21-Jan-2026 08:55 AM by bpsdemak3321@gmail.com</t>
        </r>
      </text>
    </comment>
    <comment ref="H1697" authorId="0" shapeId="0" xr:uid="{00000000-0006-0000-0000-0000710B0000}">
      <text>
        <r>
          <rPr>
            <sz val="10"/>
            <color rgb="FF000000"/>
            <rFont val="Arial"/>
            <scheme val="minor"/>
          </rPr>
          <t>Updated on 21-Jan-2026 08:55 AM by bpsdemak3321@gmail.com</t>
        </r>
      </text>
    </comment>
    <comment ref="G1698" authorId="0" shapeId="0" xr:uid="{00000000-0006-0000-0000-0000720B0000}">
      <text>
        <r>
          <rPr>
            <sz val="10"/>
            <color rgb="FF000000"/>
            <rFont val="Arial"/>
            <scheme val="minor"/>
          </rPr>
          <t>Updated on 21-Jan-2026 08:55 AM by bpsdemak3321@gmail.com</t>
        </r>
      </text>
    </comment>
    <comment ref="H1698" authorId="0" shapeId="0" xr:uid="{00000000-0006-0000-0000-0000730B0000}">
      <text>
        <r>
          <rPr>
            <sz val="10"/>
            <color rgb="FF000000"/>
            <rFont val="Arial"/>
            <scheme val="minor"/>
          </rPr>
          <t>Updated on 21-Jan-2026 08:55 AM by bpsdemak3321@gmail.com</t>
        </r>
      </text>
    </comment>
    <comment ref="G1699" authorId="0" shapeId="0" xr:uid="{00000000-0006-0000-0000-0000740B0000}">
      <text>
        <r>
          <rPr>
            <sz val="10"/>
            <color rgb="FF000000"/>
            <rFont val="Arial"/>
            <scheme val="minor"/>
          </rPr>
          <t>Updated on 21-Jan-2026 08:55 AM by bpsdemak3321@gmail.com</t>
        </r>
      </text>
    </comment>
    <comment ref="H1699" authorId="0" shapeId="0" xr:uid="{00000000-0006-0000-0000-0000750B0000}">
      <text>
        <r>
          <rPr>
            <sz val="10"/>
            <color rgb="FF000000"/>
            <rFont val="Arial"/>
            <scheme val="minor"/>
          </rPr>
          <t>Updated on 21-Jan-2026 08:55 AM by bpsdemak3321@gmail.com</t>
        </r>
      </text>
    </comment>
    <comment ref="G1700" authorId="0" shapeId="0" xr:uid="{00000000-0006-0000-0000-0000760B0000}">
      <text>
        <r>
          <rPr>
            <sz val="10"/>
            <color rgb="FF000000"/>
            <rFont val="Arial"/>
            <scheme val="minor"/>
          </rPr>
          <t>Updated on 21-Jan-2026 08:56 AM by bpsdemak3321@gmail.com</t>
        </r>
      </text>
    </comment>
    <comment ref="H1700" authorId="0" shapeId="0" xr:uid="{00000000-0006-0000-0000-0000770B0000}">
      <text>
        <r>
          <rPr>
            <sz val="10"/>
            <color rgb="FF000000"/>
            <rFont val="Arial"/>
            <scheme val="minor"/>
          </rPr>
          <t>Updated on 21-Jan-2026 08:56 AM by bpsdemak3321@gmail.com</t>
        </r>
      </text>
    </comment>
    <comment ref="G1701" authorId="0" shapeId="0" xr:uid="{00000000-0006-0000-0000-0000780B0000}">
      <text>
        <r>
          <rPr>
            <sz val="10"/>
            <color rgb="FF000000"/>
            <rFont val="Arial"/>
            <scheme val="minor"/>
          </rPr>
          <t>Updated on 21-Jan-2026 08:56 AM by bpsdemak3321@gmail.com</t>
        </r>
      </text>
    </comment>
    <comment ref="H1701" authorId="0" shapeId="0" xr:uid="{00000000-0006-0000-0000-0000790B0000}">
      <text>
        <r>
          <rPr>
            <sz val="10"/>
            <color rgb="FF000000"/>
            <rFont val="Arial"/>
            <scheme val="minor"/>
          </rPr>
          <t>Updated on 21-Jan-2026 08:56 AM by bpsdemak3321@gmail.com</t>
        </r>
      </text>
    </comment>
    <comment ref="G1702" authorId="0" shapeId="0" xr:uid="{00000000-0006-0000-0000-00007A0B0000}">
      <text>
        <r>
          <rPr>
            <sz val="10"/>
            <color rgb="FF000000"/>
            <rFont val="Arial"/>
            <scheme val="minor"/>
          </rPr>
          <t>Updated on 21-Jan-2026 08:57 AM by bpsdemak3321@gmail.com</t>
        </r>
      </text>
    </comment>
    <comment ref="H1702" authorId="0" shapeId="0" xr:uid="{00000000-0006-0000-0000-00007B0B0000}">
      <text>
        <r>
          <rPr>
            <sz val="10"/>
            <color rgb="FF000000"/>
            <rFont val="Arial"/>
            <scheme val="minor"/>
          </rPr>
          <t>Updated on 21-Jan-2026 08:57 AM by bpsdemak3321@gmail.com</t>
        </r>
      </text>
    </comment>
    <comment ref="G1703" authorId="0" shapeId="0" xr:uid="{00000000-0006-0000-0000-00007C0B0000}">
      <text>
        <r>
          <rPr>
            <sz val="10"/>
            <color rgb="FF000000"/>
            <rFont val="Arial"/>
            <scheme val="minor"/>
          </rPr>
          <t>Updated on 21-Jan-2026 08:57 AM by bpsdemak3321@gmail.com</t>
        </r>
      </text>
    </comment>
    <comment ref="H1703" authorId="0" shapeId="0" xr:uid="{00000000-0006-0000-0000-00007D0B0000}">
      <text>
        <r>
          <rPr>
            <sz val="10"/>
            <color rgb="FF000000"/>
            <rFont val="Arial"/>
            <scheme val="minor"/>
          </rPr>
          <t>Updated on 21-Jan-2026 08:57 AM by bpsdemak3321@gmail.com</t>
        </r>
      </text>
    </comment>
    <comment ref="G1704" authorId="0" shapeId="0" xr:uid="{00000000-0006-0000-0000-00007E0B0000}">
      <text>
        <r>
          <rPr>
            <sz val="10"/>
            <color rgb="FF000000"/>
            <rFont val="Arial"/>
            <scheme val="minor"/>
          </rPr>
          <t>Updated on 21-Jan-2026 08:58 AM by bpsdemak3321@gmail.com</t>
        </r>
      </text>
    </comment>
    <comment ref="H1704" authorId="0" shapeId="0" xr:uid="{00000000-0006-0000-0000-00007F0B0000}">
      <text>
        <r>
          <rPr>
            <sz val="10"/>
            <color rgb="FF000000"/>
            <rFont val="Arial"/>
            <scheme val="minor"/>
          </rPr>
          <t>Updated on 21-Jan-2026 08:58 AM by bpsdemak3321@gmail.com</t>
        </r>
      </text>
    </comment>
    <comment ref="G1705" authorId="0" shapeId="0" xr:uid="{00000000-0006-0000-0000-0000800B0000}">
      <text>
        <r>
          <rPr>
            <sz val="10"/>
            <color rgb="FF000000"/>
            <rFont val="Arial"/>
            <scheme val="minor"/>
          </rPr>
          <t>Updated on 21-Jan-2026 08:59 AM by bpsdemak3321@gmail.com</t>
        </r>
      </text>
    </comment>
    <comment ref="H1705" authorId="0" shapeId="0" xr:uid="{00000000-0006-0000-0000-0000810B0000}">
      <text>
        <r>
          <rPr>
            <sz val="10"/>
            <color rgb="FF000000"/>
            <rFont val="Arial"/>
            <scheme val="minor"/>
          </rPr>
          <t>Updated on 21-Jan-2026 08:59 AM by bpsdemak3321@gmail.com</t>
        </r>
      </text>
    </comment>
    <comment ref="F1706" authorId="0" shapeId="0" xr:uid="{00000000-0006-0000-0000-0000820B0000}">
      <text>
        <r>
          <rPr>
            <sz val="10"/>
            <color rgb="FF000000"/>
            <rFont val="Arial"/>
            <scheme val="minor"/>
          </rPr>
          <t>Updated on 26-Jan-2026 08:40 AM by bpsdemak3321@gmail.com</t>
        </r>
      </text>
    </comment>
    <comment ref="G1706" authorId="0" shapeId="0" xr:uid="{00000000-0006-0000-0000-0000830B0000}">
      <text>
        <r>
          <rPr>
            <sz val="10"/>
            <color rgb="FF000000"/>
            <rFont val="Arial"/>
            <scheme val="minor"/>
          </rPr>
          <t>Updated on 26-Jan-2026 08:40 AM by bpsdemak3321@gmail.com</t>
        </r>
      </text>
    </comment>
    <comment ref="H1706" authorId="0" shapeId="0" xr:uid="{00000000-0006-0000-0000-0000840B0000}">
      <text>
        <r>
          <rPr>
            <sz val="10"/>
            <color rgb="FF000000"/>
            <rFont val="Arial"/>
            <scheme val="minor"/>
          </rPr>
          <t>Updated on 26-Jan-2026 08:40 AM by bpsdemak3321@gmail.com</t>
        </r>
      </text>
    </comment>
    <comment ref="F1707" authorId="0" shapeId="0" xr:uid="{00000000-0006-0000-0000-0000850B0000}">
      <text>
        <r>
          <rPr>
            <sz val="10"/>
            <color rgb="FF000000"/>
            <rFont val="Arial"/>
            <scheme val="minor"/>
          </rPr>
          <t>Updated on 26-Jan-2026 08:50 AM by bpsdemak3321@gmail.com</t>
        </r>
      </text>
    </comment>
    <comment ref="G1707" authorId="0" shapeId="0" xr:uid="{00000000-0006-0000-0000-0000860B0000}">
      <text>
        <r>
          <rPr>
            <sz val="10"/>
            <color rgb="FF000000"/>
            <rFont val="Arial"/>
            <scheme val="minor"/>
          </rPr>
          <t>Updated on 26-Jan-2026 08:49 AM by bpsdemak3321@gmail.com</t>
        </r>
      </text>
    </comment>
    <comment ref="H1707" authorId="0" shapeId="0" xr:uid="{00000000-0006-0000-0000-0000870B0000}">
      <text>
        <r>
          <rPr>
            <sz val="10"/>
            <color rgb="FF000000"/>
            <rFont val="Arial"/>
            <scheme val="minor"/>
          </rPr>
          <t>Updated on 26-Jan-2026 08:49 AM by bpsdemak3321@gmail.com</t>
        </r>
      </text>
    </comment>
    <comment ref="F1708" authorId="0" shapeId="0" xr:uid="{00000000-0006-0000-0000-0000880B0000}">
      <text>
        <r>
          <rPr>
            <sz val="10"/>
            <color rgb="FF000000"/>
            <rFont val="Arial"/>
            <scheme val="minor"/>
          </rPr>
          <t>Updated on 26-Jan-2026 08:50 AM by bpsdemak3321@gmail.com</t>
        </r>
      </text>
    </comment>
    <comment ref="G1708" authorId="0" shapeId="0" xr:uid="{00000000-0006-0000-0000-0000890B0000}">
      <text>
        <r>
          <rPr>
            <sz val="10"/>
            <color rgb="FF000000"/>
            <rFont val="Arial"/>
            <scheme val="minor"/>
          </rPr>
          <t>Updated on 26-Jan-2026 08:50 AM by bpsdemak3321@gmail.com</t>
        </r>
      </text>
    </comment>
    <comment ref="H1708" authorId="0" shapeId="0" xr:uid="{00000000-0006-0000-0000-00008A0B0000}">
      <text>
        <r>
          <rPr>
            <sz val="10"/>
            <color rgb="FF000000"/>
            <rFont val="Arial"/>
            <scheme val="minor"/>
          </rPr>
          <t>Updated on 26-Jan-2026 08:50 AM by bpsdemak3321@gmail.com</t>
        </r>
      </text>
    </comment>
    <comment ref="F1709" authorId="0" shapeId="0" xr:uid="{00000000-0006-0000-0000-00008B0B0000}">
      <text>
        <r>
          <rPr>
            <sz val="10"/>
            <color rgb="FF000000"/>
            <rFont val="Arial"/>
            <scheme val="minor"/>
          </rPr>
          <t>Updated on 26-Jan-2026 08:56 AM by bpsdemak3321@gmail.com</t>
        </r>
      </text>
    </comment>
    <comment ref="G1709" authorId="0" shapeId="0" xr:uid="{00000000-0006-0000-0000-00008C0B0000}">
      <text>
        <r>
          <rPr>
            <sz val="10"/>
            <color rgb="FF000000"/>
            <rFont val="Arial"/>
            <scheme val="minor"/>
          </rPr>
          <t>Updated on 26-Jan-2026 08:56 AM by bpsdemak3321@gmail.com</t>
        </r>
      </text>
    </comment>
    <comment ref="H1709" authorId="0" shapeId="0" xr:uid="{00000000-0006-0000-0000-00008D0B0000}">
      <text>
        <r>
          <rPr>
            <sz val="10"/>
            <color rgb="FF000000"/>
            <rFont val="Arial"/>
            <scheme val="minor"/>
          </rPr>
          <t>Updated on 26-Jan-2026 08:56 AM by bpsdemak3321@gmail.com</t>
        </r>
      </text>
    </comment>
    <comment ref="F1710" authorId="0" shapeId="0" xr:uid="{00000000-0006-0000-0000-00008E0B0000}">
      <text>
        <r>
          <rPr>
            <sz val="10"/>
            <color rgb="FF000000"/>
            <rFont val="Arial"/>
            <scheme val="minor"/>
          </rPr>
          <t>Updated on 26-Jan-2026 09:03 AM by bpsdemak3321@gmail.com</t>
        </r>
      </text>
    </comment>
    <comment ref="G1710" authorId="0" shapeId="0" xr:uid="{00000000-0006-0000-0000-00008F0B0000}">
      <text>
        <r>
          <rPr>
            <sz val="10"/>
            <color rgb="FF000000"/>
            <rFont val="Arial"/>
            <scheme val="minor"/>
          </rPr>
          <t>Updated on 26-Jan-2026 09:03 AM by bpsdemak3321@gmail.com</t>
        </r>
      </text>
    </comment>
    <comment ref="H1710" authorId="0" shapeId="0" xr:uid="{00000000-0006-0000-0000-0000900B0000}">
      <text>
        <r>
          <rPr>
            <sz val="10"/>
            <color rgb="FF000000"/>
            <rFont val="Arial"/>
            <scheme val="minor"/>
          </rPr>
          <t>Updated on 26-Jan-2026 09:03 AM by bpsdemak3321@gmail.com</t>
        </r>
      </text>
    </comment>
    <comment ref="F1711" authorId="0" shapeId="0" xr:uid="{00000000-0006-0000-0000-0000910B0000}">
      <text>
        <r>
          <rPr>
            <sz val="10"/>
            <color rgb="FF000000"/>
            <rFont val="Arial"/>
            <scheme val="minor"/>
          </rPr>
          <t>Updated on 26-Jan-2026 09:03 AM by bpsdemak3321@gmail.com</t>
        </r>
      </text>
    </comment>
    <comment ref="G1711" authorId="0" shapeId="0" xr:uid="{00000000-0006-0000-0000-0000920B0000}">
      <text>
        <r>
          <rPr>
            <sz val="10"/>
            <color rgb="FF000000"/>
            <rFont val="Arial"/>
            <scheme val="minor"/>
          </rPr>
          <t>Updated on 26-Jan-2026 09:03 AM by bpsdemak3321@gmail.com</t>
        </r>
      </text>
    </comment>
    <comment ref="H1711" authorId="0" shapeId="0" xr:uid="{00000000-0006-0000-0000-0000930B0000}">
      <text>
        <r>
          <rPr>
            <sz val="10"/>
            <color rgb="FF000000"/>
            <rFont val="Arial"/>
            <scheme val="minor"/>
          </rPr>
          <t>Updated on 26-Jan-2026 09:03 AM by bpsdemak3321@gmail.com</t>
        </r>
      </text>
    </comment>
    <comment ref="F1712" authorId="0" shapeId="0" xr:uid="{00000000-0006-0000-0000-0000940B0000}">
      <text>
        <r>
          <rPr>
            <sz val="10"/>
            <color rgb="FF000000"/>
            <rFont val="Arial"/>
            <scheme val="minor"/>
          </rPr>
          <t>Updated on 26-Jan-2026 09:05 AM by bpsdemak3321@gmail.com</t>
        </r>
      </text>
    </comment>
    <comment ref="G1712" authorId="0" shapeId="0" xr:uid="{00000000-0006-0000-0000-0000950B0000}">
      <text>
        <r>
          <rPr>
            <sz val="10"/>
            <color rgb="FF000000"/>
            <rFont val="Arial"/>
            <scheme val="minor"/>
          </rPr>
          <t>Updated on 26-Jan-2026 09:05 AM by bpsdemak3321@gmail.com</t>
        </r>
      </text>
    </comment>
    <comment ref="H1712" authorId="0" shapeId="0" xr:uid="{00000000-0006-0000-0000-0000960B0000}">
      <text>
        <r>
          <rPr>
            <sz val="10"/>
            <color rgb="FF000000"/>
            <rFont val="Arial"/>
            <scheme val="minor"/>
          </rPr>
          <t>Updated on 26-Jan-2026 09:05 AM by bpsdemak3321@gmail.com</t>
        </r>
      </text>
    </comment>
    <comment ref="F1713" authorId="0" shapeId="0" xr:uid="{00000000-0006-0000-0000-0000970B0000}">
      <text>
        <r>
          <rPr>
            <sz val="10"/>
            <color rgb="FF000000"/>
            <rFont val="Arial"/>
            <scheme val="minor"/>
          </rPr>
          <t>Updated on 26-Jan-2026 09:05 AM by bpsdemak3321@gmail.com</t>
        </r>
      </text>
    </comment>
    <comment ref="G1713" authorId="0" shapeId="0" xr:uid="{00000000-0006-0000-0000-0000980B0000}">
      <text>
        <r>
          <rPr>
            <sz val="10"/>
            <color rgb="FF000000"/>
            <rFont val="Arial"/>
            <scheme val="minor"/>
          </rPr>
          <t>Updated on 26-Jan-2026 09:05 AM by bpsdemak3321@gmail.com</t>
        </r>
      </text>
    </comment>
    <comment ref="H1713" authorId="0" shapeId="0" xr:uid="{00000000-0006-0000-0000-0000990B0000}">
      <text>
        <r>
          <rPr>
            <sz val="10"/>
            <color rgb="FF000000"/>
            <rFont val="Arial"/>
            <scheme val="minor"/>
          </rPr>
          <t>Updated on 26-Jan-2026 09:05 AM by bpsdemak3321@gmail.com</t>
        </r>
      </text>
    </comment>
    <comment ref="F1714" authorId="0" shapeId="0" xr:uid="{00000000-0006-0000-0000-00009A0B0000}">
      <text>
        <r>
          <rPr>
            <sz val="10"/>
            <color rgb="FF000000"/>
            <rFont val="Arial"/>
            <scheme val="minor"/>
          </rPr>
          <t>Updated on 26-Jan-2026 09:09 AM by bpsdemak3321@gmail.com</t>
        </r>
      </text>
    </comment>
    <comment ref="G1714" authorId="0" shapeId="0" xr:uid="{00000000-0006-0000-0000-00009B0B0000}">
      <text>
        <r>
          <rPr>
            <sz val="10"/>
            <color rgb="FF000000"/>
            <rFont val="Arial"/>
            <scheme val="minor"/>
          </rPr>
          <t>Updated on 26-Jan-2026 09:09 AM by bpsdemak3321@gmail.com</t>
        </r>
      </text>
    </comment>
    <comment ref="H1714" authorId="0" shapeId="0" xr:uid="{00000000-0006-0000-0000-00009C0B0000}">
      <text>
        <r>
          <rPr>
            <sz val="10"/>
            <color rgb="FF000000"/>
            <rFont val="Arial"/>
            <scheme val="minor"/>
          </rPr>
          <t>Updated on 26-Jan-2026 09:09 AM by bpsdemak3321@gmail.com</t>
        </r>
      </text>
    </comment>
    <comment ref="F1715" authorId="0" shapeId="0" xr:uid="{00000000-0006-0000-0000-00009D0B0000}">
      <text>
        <r>
          <rPr>
            <sz val="10"/>
            <color rgb="FF000000"/>
            <rFont val="Arial"/>
            <scheme val="minor"/>
          </rPr>
          <t>Updated on 26-Jan-2026 09:23 AM by bpsdemak3321@gmail.com</t>
        </r>
      </text>
    </comment>
    <comment ref="G1715" authorId="0" shapeId="0" xr:uid="{00000000-0006-0000-0000-00009E0B0000}">
      <text>
        <r>
          <rPr>
            <sz val="10"/>
            <color rgb="FF000000"/>
            <rFont val="Arial"/>
            <scheme val="minor"/>
          </rPr>
          <t>Updated on 26-Jan-2026 09:23 AM by bpsdemak3321@gmail.com</t>
        </r>
      </text>
    </comment>
    <comment ref="H1715" authorId="0" shapeId="0" xr:uid="{00000000-0006-0000-0000-00009F0B0000}">
      <text>
        <r>
          <rPr>
            <sz val="10"/>
            <color rgb="FF000000"/>
            <rFont val="Arial"/>
            <scheme val="minor"/>
          </rPr>
          <t>Updated on 26-Jan-2026 09:23 AM by bpsdemak3321@gmail.com</t>
        </r>
      </text>
    </comment>
    <comment ref="F1716" authorId="0" shapeId="0" xr:uid="{00000000-0006-0000-0000-0000A0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G1716" authorId="0" shapeId="0" xr:uid="{00000000-0006-0000-0000-0000A1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H1716" authorId="0" shapeId="0" xr:uid="{00000000-0006-0000-0000-0000A2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F1717" authorId="0" shapeId="0" xr:uid="{00000000-0006-0000-0000-0000A3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G1717" authorId="0" shapeId="0" xr:uid="{00000000-0006-0000-0000-0000A4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H1717" authorId="0" shapeId="0" xr:uid="{00000000-0006-0000-0000-0000A5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F1718" authorId="0" shapeId="0" xr:uid="{00000000-0006-0000-0000-0000A6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G1718" authorId="0" shapeId="0" xr:uid="{00000000-0006-0000-0000-0000A7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H1718" authorId="0" shapeId="0" xr:uid="{00000000-0006-0000-0000-0000A80B0000}">
      <text>
        <r>
          <rPr>
            <sz val="10"/>
            <color rgb="FF000000"/>
            <rFont val="Arial"/>
            <scheme val="minor"/>
          </rPr>
          <t>Updated on 26-Jan-2026 09:24 AM by bpsdemak3321@gmail.com</t>
        </r>
      </text>
    </comment>
    <comment ref="F1719" authorId="0" shapeId="0" xr:uid="{00000000-0006-0000-0000-0000A90B0000}">
      <text>
        <r>
          <rPr>
            <sz val="10"/>
            <color rgb="FF000000"/>
            <rFont val="Arial"/>
            <scheme val="minor"/>
          </rPr>
          <t>Updated on 26-Jan-2026 09:49 AM by bpsdemak3321@gmail.com</t>
        </r>
      </text>
    </comment>
    <comment ref="G1719" authorId="0" shapeId="0" xr:uid="{00000000-0006-0000-0000-0000AA0B0000}">
      <text>
        <r>
          <rPr>
            <sz val="10"/>
            <color rgb="FF000000"/>
            <rFont val="Arial"/>
            <scheme val="minor"/>
          </rPr>
          <t>Updated on 26-Jan-2026 09:49 AM by bpsdemak3321@gmail.com</t>
        </r>
      </text>
    </comment>
    <comment ref="H1719" authorId="0" shapeId="0" xr:uid="{00000000-0006-0000-0000-0000AB0B0000}">
      <text>
        <r>
          <rPr>
            <sz val="10"/>
            <color rgb="FF000000"/>
            <rFont val="Arial"/>
            <scheme val="minor"/>
          </rPr>
          <t>Updated on 26-Jan-2026 09:49 AM by bpsdemak3321@gmail.com</t>
        </r>
      </text>
    </comment>
    <comment ref="F1720" authorId="0" shapeId="0" xr:uid="{00000000-0006-0000-0000-0000AC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G1720" authorId="0" shapeId="0" xr:uid="{00000000-0006-0000-0000-0000AD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H1720" authorId="0" shapeId="0" xr:uid="{00000000-0006-0000-0000-0000AE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F1721" authorId="0" shapeId="0" xr:uid="{00000000-0006-0000-0000-0000AF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G1721" authorId="0" shapeId="0" xr:uid="{00000000-0006-0000-0000-0000B0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H1721" authorId="0" shapeId="0" xr:uid="{00000000-0006-0000-0000-0000B1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F1722" authorId="0" shapeId="0" xr:uid="{00000000-0006-0000-0000-0000B2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G1722" authorId="0" shapeId="0" xr:uid="{00000000-0006-0000-0000-0000B3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H1722" authorId="0" shapeId="0" xr:uid="{00000000-0006-0000-0000-0000B40B0000}">
      <text>
        <r>
          <rPr>
            <sz val="10"/>
            <color rgb="FF000000"/>
            <rFont val="Arial"/>
            <scheme val="minor"/>
          </rPr>
          <t>Updated on 26-Jan-2026 09:50 AM by bpsdemak3321@gmail.com</t>
        </r>
      </text>
    </comment>
    <comment ref="F1723" authorId="0" shapeId="0" xr:uid="{00000000-0006-0000-0000-0000B50B0000}">
      <text>
        <r>
          <rPr>
            <sz val="10"/>
            <color rgb="FF000000"/>
            <rFont val="Arial"/>
            <scheme val="minor"/>
          </rPr>
          <t>Updated on 26-Jan-2026 09:51 AM by bpsdemak3321@gmail.com</t>
        </r>
      </text>
    </comment>
    <comment ref="G1723" authorId="0" shapeId="0" xr:uid="{00000000-0006-0000-0000-0000B60B0000}">
      <text>
        <r>
          <rPr>
            <sz val="10"/>
            <color rgb="FF000000"/>
            <rFont val="Arial"/>
            <scheme val="minor"/>
          </rPr>
          <t>Updated on 26-Jan-2026 09:51 AM by bpsdemak3321@gmail.com</t>
        </r>
      </text>
    </comment>
    <comment ref="H1723" authorId="0" shapeId="0" xr:uid="{00000000-0006-0000-0000-0000B70B0000}">
      <text>
        <r>
          <rPr>
            <sz val="10"/>
            <color rgb="FF000000"/>
            <rFont val="Arial"/>
            <scheme val="minor"/>
          </rPr>
          <t>Updated on 26-Jan-2026 09:51 AM by bpsdemak3321@gmail.com</t>
        </r>
      </text>
    </comment>
    <comment ref="F1724" authorId="0" shapeId="0" xr:uid="{00000000-0006-0000-0000-0000B80B0000}">
      <text>
        <r>
          <rPr>
            <sz val="10"/>
            <color rgb="FF000000"/>
            <rFont val="Arial"/>
            <scheme val="minor"/>
          </rPr>
          <t>Updated on 26-Jan-2026 09:52 AM by bpsdemak3321@gmail.com</t>
        </r>
      </text>
    </comment>
    <comment ref="G1724" authorId="0" shapeId="0" xr:uid="{00000000-0006-0000-0000-0000B90B0000}">
      <text>
        <r>
          <rPr>
            <sz val="10"/>
            <color rgb="FF000000"/>
            <rFont val="Arial"/>
            <scheme val="minor"/>
          </rPr>
          <t>Updated on 26-Jan-2026 09:52 AM by bpsdemak3321@gmail.com</t>
        </r>
      </text>
    </comment>
    <comment ref="H1724" authorId="0" shapeId="0" xr:uid="{00000000-0006-0000-0000-0000BA0B0000}">
      <text>
        <r>
          <rPr>
            <sz val="10"/>
            <color rgb="FF000000"/>
            <rFont val="Arial"/>
            <scheme val="minor"/>
          </rPr>
          <t>Updated on 26-Jan-2026 09:52 AM by bpsdemak3321@gmail.com</t>
        </r>
      </text>
    </comment>
    <comment ref="F1725" authorId="0" shapeId="0" xr:uid="{00000000-0006-0000-0000-0000BB0B0000}">
      <text>
        <r>
          <rPr>
            <sz val="10"/>
            <color rgb="FF000000"/>
            <rFont val="Arial"/>
            <scheme val="minor"/>
          </rPr>
          <t>Updated on 26-Jan-2026 11:40 AM by bpsdemak3321@gmail.com</t>
        </r>
      </text>
    </comment>
    <comment ref="G1725" authorId="0" shapeId="0" xr:uid="{00000000-0006-0000-0000-0000BC0B0000}">
      <text>
        <r>
          <rPr>
            <sz val="10"/>
            <color rgb="FF000000"/>
            <rFont val="Arial"/>
            <scheme val="minor"/>
          </rPr>
          <t>Updated on 26-Jan-2026 11:40 AM by bpsdemak3321@gmail.com</t>
        </r>
      </text>
    </comment>
    <comment ref="H1725" authorId="0" shapeId="0" xr:uid="{00000000-0006-0000-0000-0000BD0B0000}">
      <text>
        <r>
          <rPr>
            <sz val="10"/>
            <color rgb="FF000000"/>
            <rFont val="Arial"/>
            <scheme val="minor"/>
          </rPr>
          <t>Updated on 26-Jan-2026 11:40 AM by bpsdemak3321@gmail.com</t>
        </r>
      </text>
    </comment>
    <comment ref="F1726" authorId="0" shapeId="0" xr:uid="{00000000-0006-0000-0000-0000BE0B0000}">
      <text>
        <r>
          <rPr>
            <sz val="10"/>
            <color rgb="FF000000"/>
            <rFont val="Arial"/>
            <scheme val="minor"/>
          </rPr>
          <t>Updated on 26-Jan-2026 11:41 AM by bpsdemak3321@gmail.com</t>
        </r>
      </text>
    </comment>
    <comment ref="G1726" authorId="0" shapeId="0" xr:uid="{00000000-0006-0000-0000-0000BF0B0000}">
      <text>
        <r>
          <rPr>
            <sz val="10"/>
            <color rgb="FF000000"/>
            <rFont val="Arial"/>
            <scheme val="minor"/>
          </rPr>
          <t>Updated on 26-Jan-2026 11:41 AM by bpsdemak3321@gmail.com</t>
        </r>
      </text>
    </comment>
    <comment ref="H1726" authorId="0" shapeId="0" xr:uid="{00000000-0006-0000-0000-0000C00B0000}">
      <text>
        <r>
          <rPr>
            <sz val="10"/>
            <color rgb="FF000000"/>
            <rFont val="Arial"/>
            <scheme val="minor"/>
          </rPr>
          <t>Updated on 26-Jan-2026 11:41 AM by bpsdemak3321@gmail.com</t>
        </r>
      </text>
    </comment>
    <comment ref="F1727" authorId="0" shapeId="0" xr:uid="{00000000-0006-0000-0000-0000C10B0000}">
      <text>
        <r>
          <rPr>
            <sz val="10"/>
            <color rgb="FF000000"/>
            <rFont val="Arial"/>
            <scheme val="minor"/>
          </rPr>
          <t>Updated on 26-Jan-2026 11:43 AM by bpsdemak3321@gmail.com</t>
        </r>
      </text>
    </comment>
    <comment ref="G1727" authorId="0" shapeId="0" xr:uid="{00000000-0006-0000-0000-0000C20B0000}">
      <text>
        <r>
          <rPr>
            <sz val="10"/>
            <color rgb="FF000000"/>
            <rFont val="Arial"/>
            <scheme val="minor"/>
          </rPr>
          <t>Updated on 26-Jan-2026 11:43 AM by bpsdemak3321@gmail.com</t>
        </r>
      </text>
    </comment>
    <comment ref="H1727" authorId="0" shapeId="0" xr:uid="{00000000-0006-0000-0000-0000C30B0000}">
      <text>
        <r>
          <rPr>
            <sz val="10"/>
            <color rgb="FF000000"/>
            <rFont val="Arial"/>
            <scheme val="minor"/>
          </rPr>
          <t>Updated on 26-Jan-2026 11:43 AM by bpsdemak3321@gmail.com</t>
        </r>
      </text>
    </comment>
    <comment ref="F1728" authorId="0" shapeId="0" xr:uid="{00000000-0006-0000-0000-0000C40B0000}">
      <text>
        <r>
          <rPr>
            <sz val="10"/>
            <color rgb="FF000000"/>
            <rFont val="Arial"/>
            <scheme val="minor"/>
          </rPr>
          <t>Updated on 26-Jan-2026 11:44 AM by bpsdemak3321@gmail.com</t>
        </r>
      </text>
    </comment>
    <comment ref="G1728" authorId="0" shapeId="0" xr:uid="{00000000-0006-0000-0000-0000C50B0000}">
      <text>
        <r>
          <rPr>
            <sz val="10"/>
            <color rgb="FF000000"/>
            <rFont val="Arial"/>
            <scheme val="minor"/>
          </rPr>
          <t>Updated on 26-Jan-2026 11:44 AM by bpsdemak3321@gmail.com</t>
        </r>
      </text>
    </comment>
    <comment ref="H1728" authorId="0" shapeId="0" xr:uid="{00000000-0006-0000-0000-0000C60B0000}">
      <text>
        <r>
          <rPr>
            <sz val="10"/>
            <color rgb="FF000000"/>
            <rFont val="Arial"/>
            <scheme val="minor"/>
          </rPr>
          <t>Updated on 26-Jan-2026 11:44 AM by bpsdemak3321@gmail.com</t>
        </r>
      </text>
    </comment>
    <comment ref="F1729" authorId="0" shapeId="0" xr:uid="{00000000-0006-0000-0000-0000C70B0000}">
      <text>
        <r>
          <rPr>
            <sz val="10"/>
            <color rgb="FF000000"/>
            <rFont val="Arial"/>
            <scheme val="minor"/>
          </rPr>
          <t>Updated on 26-Jan-2026 12:39 PM by bpsdemak3321@gmail.com</t>
        </r>
      </text>
    </comment>
    <comment ref="G1729" authorId="0" shapeId="0" xr:uid="{00000000-0006-0000-0000-0000C80B0000}">
      <text>
        <r>
          <rPr>
            <sz val="10"/>
            <color rgb="FF000000"/>
            <rFont val="Arial"/>
            <scheme val="minor"/>
          </rPr>
          <t>Updated on 26-Jan-2026 12:39 PM by bpsdemak3321@gmail.com</t>
        </r>
      </text>
    </comment>
    <comment ref="H1729" authorId="0" shapeId="0" xr:uid="{00000000-0006-0000-0000-0000C90B0000}">
      <text>
        <r>
          <rPr>
            <sz val="10"/>
            <color rgb="FF000000"/>
            <rFont val="Arial"/>
            <scheme val="minor"/>
          </rPr>
          <t>Updated on 26-Jan-2026 12:39 PM by bpsdemak3321@gmail.com</t>
        </r>
      </text>
    </comment>
    <comment ref="F1730" authorId="0" shapeId="0" xr:uid="{00000000-0006-0000-0000-0000CA0B0000}">
      <text>
        <r>
          <rPr>
            <sz val="10"/>
            <color rgb="FF000000"/>
            <rFont val="Arial"/>
            <scheme val="minor"/>
          </rPr>
          <t>Updated on 26-Jan-2026 12:40 PM by bpsdemak3321@gmail.com</t>
        </r>
      </text>
    </comment>
    <comment ref="G1730" authorId="0" shapeId="0" xr:uid="{00000000-0006-0000-0000-0000CB0B0000}">
      <text>
        <r>
          <rPr>
            <sz val="10"/>
            <color rgb="FF000000"/>
            <rFont val="Arial"/>
            <scheme val="minor"/>
          </rPr>
          <t>Updated on 26-Jan-2026 12:40 PM by bpsdemak3321@gmail.com</t>
        </r>
      </text>
    </comment>
    <comment ref="H1730" authorId="0" shapeId="0" xr:uid="{00000000-0006-0000-0000-0000CC0B0000}">
      <text>
        <r>
          <rPr>
            <sz val="10"/>
            <color rgb="FF000000"/>
            <rFont val="Arial"/>
            <scheme val="minor"/>
          </rPr>
          <t>Updated on 26-Jan-2026 12:40 PM by bpsdemak3321@gmail.com</t>
        </r>
      </text>
    </comment>
    <comment ref="F1731" authorId="0" shapeId="0" xr:uid="{00000000-0006-0000-0000-0000CD0B0000}">
      <text>
        <r>
          <rPr>
            <sz val="10"/>
            <color rgb="FF000000"/>
            <rFont val="Arial"/>
            <scheme val="minor"/>
          </rPr>
          <t>Updated on 26-Jan-2026 02:50 PM by bpsdemak3321@gmail.com</t>
        </r>
      </text>
    </comment>
    <comment ref="G1731" authorId="0" shapeId="0" xr:uid="{00000000-0006-0000-0000-0000CE0B0000}">
      <text>
        <r>
          <rPr>
            <sz val="10"/>
            <color rgb="FF000000"/>
            <rFont val="Arial"/>
            <scheme val="minor"/>
          </rPr>
          <t>Updated on 26-Jan-2026 02:50 PM by bpsdemak3321@gmail.com</t>
        </r>
      </text>
    </comment>
    <comment ref="H1731" authorId="0" shapeId="0" xr:uid="{00000000-0006-0000-0000-0000CF0B0000}">
      <text>
        <r>
          <rPr>
            <sz val="10"/>
            <color rgb="FF000000"/>
            <rFont val="Arial"/>
            <scheme val="minor"/>
          </rPr>
          <t>Updated on 26-Jan-2026 02:50 PM by bpsdemak3321@gmail.com</t>
        </r>
      </text>
    </comment>
    <comment ref="G1732" authorId="0" shapeId="0" xr:uid="{00000000-0006-0000-0000-0000D00B0000}">
      <text>
        <r>
          <rPr>
            <sz val="10"/>
            <color rgb="FF000000"/>
            <rFont val="Arial"/>
            <scheme val="minor"/>
          </rPr>
          <t>Updated on 26-Jan-2026 03:25 PM by bpsdemak3321@gmail.com</t>
        </r>
      </text>
    </comment>
    <comment ref="H1732" authorId="0" shapeId="0" xr:uid="{00000000-0006-0000-0000-0000D10B0000}">
      <text>
        <r>
          <rPr>
            <sz val="10"/>
            <color rgb="FF000000"/>
            <rFont val="Arial"/>
            <scheme val="minor"/>
          </rPr>
          <t>Updated on 26-Jan-2026 03:25 PM by bpsdemak3321@gmail.com</t>
        </r>
      </text>
    </comment>
    <comment ref="G1733" authorId="0" shapeId="0" xr:uid="{00000000-0006-0000-0000-0000D20B0000}">
      <text>
        <r>
          <rPr>
            <sz val="10"/>
            <color rgb="FF000000"/>
            <rFont val="Arial"/>
            <scheme val="minor"/>
          </rPr>
          <t>Updated on 26-Jan-2026 03:26 PM by bpsdemak3321@gmail.com</t>
        </r>
      </text>
    </comment>
    <comment ref="H1733" authorId="0" shapeId="0" xr:uid="{00000000-0006-0000-0000-0000D30B0000}">
      <text>
        <r>
          <rPr>
            <sz val="10"/>
            <color rgb="FF000000"/>
            <rFont val="Arial"/>
            <scheme val="minor"/>
          </rPr>
          <t>Updated on 26-Jan-2026 03:26 PM by bpsdemak3321@gmail.com</t>
        </r>
      </text>
    </comment>
    <comment ref="G1734" authorId="0" shapeId="0" xr:uid="{00000000-0006-0000-0000-0000D40B0000}">
      <text>
        <r>
          <rPr>
            <sz val="10"/>
            <color rgb="FF000000"/>
            <rFont val="Arial"/>
            <scheme val="minor"/>
          </rPr>
          <t>Updated on 26-Jan-2026 03:27 PM by bpsdemak3321@gmail.com</t>
        </r>
      </text>
    </comment>
    <comment ref="H1734" authorId="0" shapeId="0" xr:uid="{00000000-0006-0000-0000-0000D50B0000}">
      <text>
        <r>
          <rPr>
            <sz val="10"/>
            <color rgb="FF000000"/>
            <rFont val="Arial"/>
            <scheme val="minor"/>
          </rPr>
          <t>Updated on 26-Jan-2026 03:27 PM by bpsdemak3321@gmail.com</t>
        </r>
      </text>
    </comment>
    <comment ref="G1735" authorId="0" shapeId="0" xr:uid="{00000000-0006-0000-0000-0000D6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H1735" authorId="0" shapeId="0" xr:uid="{00000000-0006-0000-0000-0000D7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G1736" authorId="0" shapeId="0" xr:uid="{00000000-0006-0000-0000-0000D8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H1736" authorId="0" shapeId="0" xr:uid="{00000000-0006-0000-0000-0000D9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G1737" authorId="0" shapeId="0" xr:uid="{00000000-0006-0000-0000-0000DA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H1737" authorId="0" shapeId="0" xr:uid="{00000000-0006-0000-0000-0000DB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G1738" authorId="0" shapeId="0" xr:uid="{00000000-0006-0000-0000-0000DC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H1738" authorId="0" shapeId="0" xr:uid="{00000000-0006-0000-0000-0000DD0B0000}">
      <text>
        <r>
          <rPr>
            <sz val="10"/>
            <color rgb="FF000000"/>
            <rFont val="Arial"/>
            <scheme val="minor"/>
          </rPr>
          <t>Updated on 26-Jan-2026 03:28 PM by bpsdemak3321@gmail.com</t>
        </r>
      </text>
    </comment>
    <comment ref="G1739" authorId="0" shapeId="0" xr:uid="{00000000-0006-0000-0000-0000DE0B0000}">
      <text>
        <r>
          <rPr>
            <sz val="10"/>
            <color rgb="FF000000"/>
            <rFont val="Arial"/>
            <scheme val="minor"/>
          </rPr>
          <t>Updated on 26-Jan-2026 03:30 PM by bpsdemak3321@gmail.com</t>
        </r>
      </text>
    </comment>
    <comment ref="H1739" authorId="0" shapeId="0" xr:uid="{00000000-0006-0000-0000-0000DF0B0000}">
      <text>
        <r>
          <rPr>
            <sz val="10"/>
            <color rgb="FF000000"/>
            <rFont val="Arial"/>
            <scheme val="minor"/>
          </rPr>
          <t>Updated on 26-Jan-2026 03:30 PM by bpsdemak3321@gmail.com</t>
        </r>
      </text>
    </comment>
    <comment ref="G1740" authorId="0" shapeId="0" xr:uid="{00000000-0006-0000-0000-0000E00B0000}">
      <text>
        <r>
          <rPr>
            <sz val="10"/>
            <color rgb="FF000000"/>
            <rFont val="Arial"/>
            <scheme val="minor"/>
          </rPr>
          <t>Updated on 26-Jan-2026 03:31 PM by bpsdemak3321@gmail.com</t>
        </r>
      </text>
    </comment>
    <comment ref="H1740" authorId="0" shapeId="0" xr:uid="{00000000-0006-0000-0000-0000E10B0000}">
      <text>
        <r>
          <rPr>
            <sz val="10"/>
            <color rgb="FF000000"/>
            <rFont val="Arial"/>
            <scheme val="minor"/>
          </rPr>
          <t>Updated on 26-Jan-2026 03:31 PM by bpsdemak3321@gmail.com</t>
        </r>
      </text>
    </comment>
    <comment ref="G1741" authorId="0" shapeId="0" xr:uid="{00000000-0006-0000-0000-0000E20B0000}">
      <text>
        <r>
          <rPr>
            <sz val="10"/>
            <color rgb="FF000000"/>
            <rFont val="Arial"/>
            <scheme val="minor"/>
          </rPr>
          <t>Updated on 26-Jan-2026 03:32 PM by bpsdemak3321@gmail.com</t>
        </r>
      </text>
    </comment>
    <comment ref="H1741" authorId="0" shapeId="0" xr:uid="{00000000-0006-0000-0000-0000E30B0000}">
      <text>
        <r>
          <rPr>
            <sz val="10"/>
            <color rgb="FF000000"/>
            <rFont val="Arial"/>
            <scheme val="minor"/>
          </rPr>
          <t>Updated on 26-Jan-2026 03:32 PM by bpsdemak3321@gmail.com</t>
        </r>
      </text>
    </comment>
    <comment ref="G1742" authorId="0" shapeId="0" xr:uid="{00000000-0006-0000-0000-0000E40B0000}">
      <text>
        <r>
          <rPr>
            <sz val="10"/>
            <color rgb="FF000000"/>
            <rFont val="Arial"/>
            <scheme val="minor"/>
          </rPr>
          <t>Updated on 26-Jan-2026 03:33 PM by bpsdemak3321@gmail.com</t>
        </r>
      </text>
    </comment>
    <comment ref="H1742" authorId="0" shapeId="0" xr:uid="{00000000-0006-0000-0000-0000E50B0000}">
      <text>
        <r>
          <rPr>
            <sz val="10"/>
            <color rgb="FF000000"/>
            <rFont val="Arial"/>
            <scheme val="minor"/>
          </rPr>
          <t>Updated on 26-Jan-2026 03:33 PM by bpsdemak3321@gmail.com</t>
        </r>
      </text>
    </comment>
    <comment ref="G1743" authorId="0" shapeId="0" xr:uid="{00000000-0006-0000-0000-0000E60B0000}">
      <text>
        <r>
          <rPr>
            <sz val="10"/>
            <color rgb="FF000000"/>
            <rFont val="Arial"/>
            <scheme val="minor"/>
          </rPr>
          <t>Updated on 26-Jan-2026 03:34 PM by bpsdemak3321@gmail.com</t>
        </r>
      </text>
    </comment>
    <comment ref="H1743" authorId="0" shapeId="0" xr:uid="{00000000-0006-0000-0000-0000E70B0000}">
      <text>
        <r>
          <rPr>
            <sz val="10"/>
            <color rgb="FF000000"/>
            <rFont val="Arial"/>
            <scheme val="minor"/>
          </rPr>
          <t>Updated on 26-Jan-2026 03:34 PM by bpsdemak3321@gmail.com</t>
        </r>
      </text>
    </comment>
    <comment ref="G1744" authorId="0" shapeId="0" xr:uid="{00000000-0006-0000-0000-0000E80B0000}">
      <text>
        <r>
          <rPr>
            <sz val="10"/>
            <color rgb="FF000000"/>
            <rFont val="Arial"/>
            <scheme val="minor"/>
          </rPr>
          <t>Updated on 26-Jan-2026 03:35 PM by bpsdemak3321@gmail.com</t>
        </r>
      </text>
    </comment>
    <comment ref="H1744" authorId="0" shapeId="0" xr:uid="{00000000-0006-0000-0000-0000E90B0000}">
      <text>
        <r>
          <rPr>
            <sz val="10"/>
            <color rgb="FF000000"/>
            <rFont val="Arial"/>
            <scheme val="minor"/>
          </rPr>
          <t>Updated on 26-Jan-2026 03:35 PM by bpsdemak3321@gmail.com</t>
        </r>
      </text>
    </comment>
    <comment ref="G1745" authorId="0" shapeId="0" xr:uid="{00000000-0006-0000-0000-0000EA0B0000}">
      <text>
        <r>
          <rPr>
            <sz val="10"/>
            <color rgb="FF000000"/>
            <rFont val="Arial"/>
            <scheme val="minor"/>
          </rPr>
          <t>Updated on 26-Jan-2026 03:39 PM by bpsdemak3321@gmail.com</t>
        </r>
      </text>
    </comment>
    <comment ref="H1745" authorId="0" shapeId="0" xr:uid="{00000000-0006-0000-0000-0000EB0B0000}">
      <text>
        <r>
          <rPr>
            <sz val="10"/>
            <color rgb="FF000000"/>
            <rFont val="Arial"/>
            <scheme val="minor"/>
          </rPr>
          <t>Updated on 26-Jan-2026 03:39 PM by bpsdemak3321@gmail.com</t>
        </r>
      </text>
    </comment>
    <comment ref="G1746" authorId="0" shapeId="0" xr:uid="{00000000-0006-0000-0000-0000EC0B0000}">
      <text>
        <r>
          <rPr>
            <sz val="10"/>
            <color rgb="FF000000"/>
            <rFont val="Arial"/>
            <scheme val="minor"/>
          </rPr>
          <t>Updated on 26-Jan-2026 03:41 PM by bpsdemak3321@gmail.com</t>
        </r>
      </text>
    </comment>
    <comment ref="H1746" authorId="0" shapeId="0" xr:uid="{00000000-0006-0000-0000-0000ED0B0000}">
      <text>
        <r>
          <rPr>
            <sz val="10"/>
            <color rgb="FF000000"/>
            <rFont val="Arial"/>
            <scheme val="minor"/>
          </rPr>
          <t>Updated on 26-Jan-2026 03:41 PM by bpsdemak3321@gmail.com</t>
        </r>
      </text>
    </comment>
    <comment ref="G1747" authorId="0" shapeId="0" xr:uid="{00000000-0006-0000-0000-0000EE0B0000}">
      <text>
        <r>
          <rPr>
            <sz val="10"/>
            <color rgb="FF000000"/>
            <rFont val="Arial"/>
            <scheme val="minor"/>
          </rPr>
          <t>Updated on 26-Jan-2026 03:41 PM by bpsdemak3321@gmail.com</t>
        </r>
      </text>
    </comment>
    <comment ref="H1747" authorId="0" shapeId="0" xr:uid="{00000000-0006-0000-0000-0000EF0B0000}">
      <text>
        <r>
          <rPr>
            <sz val="10"/>
            <color rgb="FF000000"/>
            <rFont val="Arial"/>
            <scheme val="minor"/>
          </rPr>
          <t>Updated on 26-Jan-2026 03:41 PM by bpsdemak3321@gmail.com</t>
        </r>
      </text>
    </comment>
    <comment ref="G1748" authorId="0" shapeId="0" xr:uid="{00000000-0006-0000-0000-0000F00B0000}">
      <text>
        <r>
          <rPr>
            <sz val="10"/>
            <color rgb="FF000000"/>
            <rFont val="Arial"/>
            <scheme val="minor"/>
          </rPr>
          <t>Updated on 26-Jan-2026 03:51 PM by bpsdemak3321@gmail.com</t>
        </r>
      </text>
    </comment>
    <comment ref="H1748" authorId="0" shapeId="0" xr:uid="{00000000-0006-0000-0000-0000F10B0000}">
      <text>
        <r>
          <rPr>
            <sz val="10"/>
            <color rgb="FF000000"/>
            <rFont val="Arial"/>
            <scheme val="minor"/>
          </rPr>
          <t>Updated on 26-Jan-2026 03:51 PM by bpsdemak3321@gmail.com</t>
        </r>
      </text>
    </comment>
    <comment ref="G1750" authorId="0" shapeId="0" xr:uid="{00000000-0006-0000-0000-0000F20B0000}">
      <text>
        <r>
          <rPr>
            <sz val="10"/>
            <color rgb="FF000000"/>
            <rFont val="Arial"/>
            <scheme val="minor"/>
          </rPr>
          <t>Updated on 26-Jan-2026 04:10 PM by bpsdemak3321@gmail.com</t>
        </r>
      </text>
    </comment>
    <comment ref="H1750" authorId="0" shapeId="0" xr:uid="{00000000-0006-0000-0000-0000F30B0000}">
      <text>
        <r>
          <rPr>
            <sz val="10"/>
            <color rgb="FF000000"/>
            <rFont val="Arial"/>
            <scheme val="minor"/>
          </rPr>
          <t>Updated on 26-Jan-2026 04:10 PM by bpsdemak3321@gmail.com</t>
        </r>
      </text>
    </comment>
    <comment ref="G1751" authorId="0" shapeId="0" xr:uid="{00000000-0006-0000-0000-0000F40B0000}">
      <text>
        <r>
          <rPr>
            <sz val="10"/>
            <color rgb="FF000000"/>
            <rFont val="Arial"/>
            <scheme val="minor"/>
          </rPr>
          <t>Updated on 27-Jan-2026 10:25 AM by bpsdemak3321@gmail.com</t>
        </r>
      </text>
    </comment>
    <comment ref="H1751" authorId="0" shapeId="0" xr:uid="{00000000-0006-0000-0000-0000F50B0000}">
      <text>
        <r>
          <rPr>
            <sz val="10"/>
            <color rgb="FF000000"/>
            <rFont val="Arial"/>
            <scheme val="minor"/>
          </rPr>
          <t>Updated on 27-Jan-2026 10:25 AM by bpsdemak3321@gmail.com</t>
        </r>
      </text>
    </comment>
    <comment ref="G1752" authorId="0" shapeId="0" xr:uid="{00000000-0006-0000-0000-0000F60B0000}">
      <text>
        <r>
          <rPr>
            <sz val="10"/>
            <color rgb="FF000000"/>
            <rFont val="Arial"/>
            <scheme val="minor"/>
          </rPr>
          <t>Updated on 27-Jan-2026 10:25 AM by bpsdemak3321@gmail.com</t>
        </r>
      </text>
    </comment>
    <comment ref="H1752" authorId="0" shapeId="0" xr:uid="{00000000-0006-0000-0000-0000F70B0000}">
      <text>
        <r>
          <rPr>
            <sz val="10"/>
            <color rgb="FF000000"/>
            <rFont val="Arial"/>
            <scheme val="minor"/>
          </rPr>
          <t>Updated on 27-Jan-2026 10:25 AM by bpsdemak3321@gmail.com</t>
        </r>
      </text>
    </comment>
    <comment ref="G1753" authorId="0" shapeId="0" xr:uid="{00000000-0006-0000-0000-0000F80B0000}">
      <text>
        <r>
          <rPr>
            <sz val="10"/>
            <color rgb="FF000000"/>
            <rFont val="Arial"/>
            <scheme val="minor"/>
          </rPr>
          <t>Updated on 27-Jan-2026 10:26 AM by bpsdemak3321@gmail.com</t>
        </r>
      </text>
    </comment>
    <comment ref="H1753" authorId="0" shapeId="0" xr:uid="{00000000-0006-0000-0000-0000F90B0000}">
      <text>
        <r>
          <rPr>
            <sz val="10"/>
            <color rgb="FF000000"/>
            <rFont val="Arial"/>
            <scheme val="minor"/>
          </rPr>
          <t>Updated on 27-Jan-2026 10:26 AM by bpsdemak3321@gmail.com</t>
        </r>
      </text>
    </comment>
    <comment ref="G1754" authorId="0" shapeId="0" xr:uid="{00000000-0006-0000-0000-0000FA0B0000}">
      <text>
        <r>
          <rPr>
            <sz val="10"/>
            <color rgb="FF000000"/>
            <rFont val="Arial"/>
            <scheme val="minor"/>
          </rPr>
          <t>Updated on 27-Jan-2026 10:38 AM by bpsdemak3321@gmail.com</t>
        </r>
      </text>
    </comment>
    <comment ref="H1754" authorId="0" shapeId="0" xr:uid="{00000000-0006-0000-0000-0000FB0B0000}">
      <text>
        <r>
          <rPr>
            <sz val="10"/>
            <color rgb="FF000000"/>
            <rFont val="Arial"/>
            <scheme val="minor"/>
          </rPr>
          <t>Updated on 27-Jan-2026 10:38 AM by bpsdemak3321@gmail.com</t>
        </r>
      </text>
    </comment>
    <comment ref="G1755" authorId="0" shapeId="0" xr:uid="{00000000-0006-0000-0000-0000FC0B0000}">
      <text>
        <r>
          <rPr>
            <sz val="10"/>
            <color rgb="FF000000"/>
            <rFont val="Arial"/>
            <scheme val="minor"/>
          </rPr>
          <t>Updated on 27-Jan-2026 10:39 AM by bpsdemak3321@gmail.com</t>
        </r>
      </text>
    </comment>
    <comment ref="H1755" authorId="0" shapeId="0" xr:uid="{00000000-0006-0000-0000-0000FD0B0000}">
      <text>
        <r>
          <rPr>
            <sz val="10"/>
            <color rgb="FF000000"/>
            <rFont val="Arial"/>
            <scheme val="minor"/>
          </rPr>
          <t>Updated on 27-Jan-2026 10:39 AM by bpsdemak3321@gmail.com</t>
        </r>
      </text>
    </comment>
    <comment ref="G1756" authorId="0" shapeId="0" xr:uid="{00000000-0006-0000-0000-0000FE0B0000}">
      <text>
        <r>
          <rPr>
            <sz val="10"/>
            <color rgb="FF000000"/>
            <rFont val="Arial"/>
            <scheme val="minor"/>
          </rPr>
          <t>Updated on 27-Jan-2026 11:00 AM by bpsdemak3321@gmail.com</t>
        </r>
      </text>
    </comment>
    <comment ref="H1756" authorId="0" shapeId="0" xr:uid="{00000000-0006-0000-0000-0000FF0B0000}">
      <text>
        <r>
          <rPr>
            <sz val="10"/>
            <color rgb="FF000000"/>
            <rFont val="Arial"/>
            <scheme val="minor"/>
          </rPr>
          <t>Updated on 27-Jan-2026 11:00 AM by bpsdemak3321@gmail.com</t>
        </r>
      </text>
    </comment>
    <comment ref="G1757" authorId="0" shapeId="0" xr:uid="{00000000-0006-0000-0000-0000000C0000}">
      <text>
        <r>
          <rPr>
            <sz val="10"/>
            <color rgb="FF000000"/>
            <rFont val="Arial"/>
            <scheme val="minor"/>
          </rPr>
          <t>Updated on 27-Jan-2026 11:00 AM by bpsdemak3321@gmail.com</t>
        </r>
      </text>
    </comment>
    <comment ref="H1757" authorId="0" shapeId="0" xr:uid="{00000000-0006-0000-0000-0000010C0000}">
      <text>
        <r>
          <rPr>
            <sz val="10"/>
            <color rgb="FF000000"/>
            <rFont val="Arial"/>
            <scheme val="minor"/>
          </rPr>
          <t>Updated on 27-Jan-2026 11:00 AM by bpsdemak3321@gmail.com</t>
        </r>
      </text>
    </comment>
    <comment ref="G1758" authorId="0" shapeId="0" xr:uid="{00000000-0006-0000-0000-0000020C0000}">
      <text>
        <r>
          <rPr>
            <sz val="10"/>
            <color rgb="FF000000"/>
            <rFont val="Arial"/>
            <scheme val="minor"/>
          </rPr>
          <t>Updated on 27-Jan-2026 11:01 AM by bpsdemak3321@gmail.com</t>
        </r>
      </text>
    </comment>
    <comment ref="H1758" authorId="0" shapeId="0" xr:uid="{00000000-0006-0000-0000-0000030C0000}">
      <text>
        <r>
          <rPr>
            <sz val="10"/>
            <color rgb="FF000000"/>
            <rFont val="Arial"/>
            <scheme val="minor"/>
          </rPr>
          <t>Updated on 27-Jan-2026 11:01 AM by bpsdemak3321@gmail.com</t>
        </r>
      </text>
    </comment>
    <comment ref="G1759" authorId="0" shapeId="0" xr:uid="{00000000-0006-0000-0000-0000040C0000}">
      <text>
        <r>
          <rPr>
            <sz val="10"/>
            <color rgb="FF000000"/>
            <rFont val="Arial"/>
            <scheme val="minor"/>
          </rPr>
          <t>Updated on 27-Jan-2026 11:03 AM by bpsdemak3321@gmail.com</t>
        </r>
      </text>
    </comment>
    <comment ref="H1759" authorId="0" shapeId="0" xr:uid="{00000000-0006-0000-0000-0000050C0000}">
      <text>
        <r>
          <rPr>
            <sz val="10"/>
            <color rgb="FF000000"/>
            <rFont val="Arial"/>
            <scheme val="minor"/>
          </rPr>
          <t>Updated on 27-Jan-2026 11:03 AM by bpsdemak3321@gmail.com</t>
        </r>
      </text>
    </comment>
    <comment ref="G1760" authorId="0" shapeId="0" xr:uid="{00000000-0006-0000-0000-0000060C0000}">
      <text>
        <r>
          <rPr>
            <sz val="10"/>
            <color rgb="FF000000"/>
            <rFont val="Arial"/>
            <scheme val="minor"/>
          </rPr>
          <t>Updated on 27-Jan-2026 02:58 PM by bpsdemak3321@gmail.com</t>
        </r>
      </text>
    </comment>
    <comment ref="H1760" authorId="0" shapeId="0" xr:uid="{00000000-0006-0000-0000-0000070C0000}">
      <text>
        <r>
          <rPr>
            <sz val="10"/>
            <color rgb="FF000000"/>
            <rFont val="Arial"/>
            <scheme val="minor"/>
          </rPr>
          <t>Updated on 27-Jan-2026 02:58 PM by bpsdemak3321@gmail.com</t>
        </r>
      </text>
    </comment>
    <comment ref="G1761" authorId="0" shapeId="0" xr:uid="{00000000-0006-0000-0000-0000080C0000}">
      <text>
        <r>
          <rPr>
            <sz val="10"/>
            <color rgb="FF000000"/>
            <rFont val="Arial"/>
            <scheme val="minor"/>
          </rPr>
          <t>Updated on 27-Jan-2026 02:59 PM by bpsdemak3321@gmail.com</t>
        </r>
      </text>
    </comment>
    <comment ref="H1761" authorId="0" shapeId="0" xr:uid="{00000000-0006-0000-0000-0000090C0000}">
      <text>
        <r>
          <rPr>
            <sz val="10"/>
            <color rgb="FF000000"/>
            <rFont val="Arial"/>
            <scheme val="minor"/>
          </rPr>
          <t>Updated on 27-Jan-2026 02:59 PM by bpsdemak3321@gmail.com</t>
        </r>
      </text>
    </comment>
    <comment ref="G1762" authorId="0" shapeId="0" xr:uid="{00000000-0006-0000-0000-00000A0C0000}">
      <text>
        <r>
          <rPr>
            <sz val="10"/>
            <color rgb="FF000000"/>
            <rFont val="Arial"/>
            <scheme val="minor"/>
          </rPr>
          <t>Updated on 27-Jan-2026 03:15 PM by bpsdemak3321@gmail.com</t>
        </r>
      </text>
    </comment>
    <comment ref="H1762" authorId="0" shapeId="0" xr:uid="{00000000-0006-0000-0000-00000B0C0000}">
      <text>
        <r>
          <rPr>
            <sz val="10"/>
            <color rgb="FF000000"/>
            <rFont val="Arial"/>
            <scheme val="minor"/>
          </rPr>
          <t>Updated on 27-Jan-2026 03:15 PM by bpsdemak3321@gmail.com</t>
        </r>
      </text>
    </comment>
    <comment ref="G1763" authorId="0" shapeId="0" xr:uid="{00000000-0006-0000-0000-00000C0C0000}">
      <text>
        <r>
          <rPr>
            <sz val="10"/>
            <color rgb="FF000000"/>
            <rFont val="Arial"/>
            <scheme val="minor"/>
          </rPr>
          <t>Updated on 28-Jan-2026 02:44 PM by bpsdemak3321@gmail.com</t>
        </r>
      </text>
    </comment>
    <comment ref="H1763" authorId="0" shapeId="0" xr:uid="{00000000-0006-0000-0000-00000D0C0000}">
      <text>
        <r>
          <rPr>
            <sz val="10"/>
            <color rgb="FF000000"/>
            <rFont val="Arial"/>
            <scheme val="minor"/>
          </rPr>
          <t>Updated on 28-Jan-2026 02:44 PM by bpsdemak3321@gmail.com</t>
        </r>
      </text>
    </comment>
    <comment ref="G1764" authorId="0" shapeId="0" xr:uid="{00000000-0006-0000-0000-00000E0C0000}">
      <text>
        <r>
          <rPr>
            <sz val="10"/>
            <color rgb="FF000000"/>
            <rFont val="Arial"/>
            <scheme val="minor"/>
          </rPr>
          <t>Updated on 28-Jan-2026 02:58 PM by bpsdemak3321@gmail.com</t>
        </r>
      </text>
    </comment>
    <comment ref="H1764" authorId="0" shapeId="0" xr:uid="{00000000-0006-0000-0000-00000F0C0000}">
      <text>
        <r>
          <rPr>
            <sz val="10"/>
            <color rgb="FF000000"/>
            <rFont val="Arial"/>
            <scheme val="minor"/>
          </rPr>
          <t>Updated on 28-Jan-2026 02:58 PM by bpsdemak3321@gmail.com</t>
        </r>
      </text>
    </comment>
    <comment ref="G1765" authorId="0" shapeId="0" xr:uid="{00000000-0006-0000-0000-0000100C0000}">
      <text>
        <r>
          <rPr>
            <sz val="10"/>
            <color rgb="FF000000"/>
            <rFont val="Arial"/>
            <scheme val="minor"/>
          </rPr>
          <t>Updated on 28-Jan-2026 03:01 PM by bpsdemak3321@gmail.com</t>
        </r>
      </text>
    </comment>
    <comment ref="H1765" authorId="0" shapeId="0" xr:uid="{00000000-0006-0000-0000-0000110C0000}">
      <text>
        <r>
          <rPr>
            <sz val="10"/>
            <color rgb="FF000000"/>
            <rFont val="Arial"/>
            <scheme val="minor"/>
          </rPr>
          <t>Updated on 28-Jan-2026 03:01 PM by bpsdemak3321@gmail.com</t>
        </r>
      </text>
    </comment>
    <comment ref="G1766" authorId="0" shapeId="0" xr:uid="{00000000-0006-0000-0000-0000120C0000}">
      <text>
        <r>
          <rPr>
            <sz val="10"/>
            <color rgb="FF000000"/>
            <rFont val="Arial"/>
            <scheme val="minor"/>
          </rPr>
          <t>Updated on 28-Jan-2026 03:02 PM by bpsdemak3321@gmail.com</t>
        </r>
      </text>
    </comment>
    <comment ref="H1766" authorId="0" shapeId="0" xr:uid="{00000000-0006-0000-0000-0000130C0000}">
      <text>
        <r>
          <rPr>
            <sz val="10"/>
            <color rgb="FF000000"/>
            <rFont val="Arial"/>
            <scheme val="minor"/>
          </rPr>
          <t>Updated on 28-Jan-2026 03:02 PM by bpsdemak3321@gmail.com</t>
        </r>
      </text>
    </comment>
    <comment ref="G1767" authorId="0" shapeId="0" xr:uid="{00000000-0006-0000-0000-0000140C0000}">
      <text>
        <r>
          <rPr>
            <sz val="10"/>
            <color rgb="FF000000"/>
            <rFont val="Arial"/>
            <scheme val="minor"/>
          </rPr>
          <t>Updated on 28-Jan-2026 03:05 PM by bpsdemak3321@gmail.com</t>
        </r>
      </text>
    </comment>
    <comment ref="H1767" authorId="0" shapeId="0" xr:uid="{00000000-0006-0000-0000-0000150C0000}">
      <text>
        <r>
          <rPr>
            <sz val="10"/>
            <color rgb="FF000000"/>
            <rFont val="Arial"/>
            <scheme val="minor"/>
          </rPr>
          <t>Updated on 28-Jan-2026 03:05 PM by bpsdemak3321@gmail.com</t>
        </r>
      </text>
    </comment>
    <comment ref="G1768" authorId="0" shapeId="0" xr:uid="{00000000-0006-0000-0000-0000160C0000}">
      <text>
        <r>
          <rPr>
            <sz val="10"/>
            <color rgb="FF000000"/>
            <rFont val="Arial"/>
            <scheme val="minor"/>
          </rPr>
          <t>Updated on 28-Jan-2026 03:06 PM by bpsdemak3321@gmail.com</t>
        </r>
      </text>
    </comment>
    <comment ref="H1768" authorId="0" shapeId="0" xr:uid="{00000000-0006-0000-0000-0000170C0000}">
      <text>
        <r>
          <rPr>
            <sz val="10"/>
            <color rgb="FF000000"/>
            <rFont val="Arial"/>
            <scheme val="minor"/>
          </rPr>
          <t>Updated on 28-Jan-2026 03:06 PM by bpsdemak3321@gmail.com</t>
        </r>
      </text>
    </comment>
    <comment ref="G1769" authorId="0" shapeId="0" xr:uid="{00000000-0006-0000-0000-0000180C0000}">
      <text>
        <r>
          <rPr>
            <sz val="10"/>
            <color rgb="FF000000"/>
            <rFont val="Arial"/>
            <scheme val="minor"/>
          </rPr>
          <t>Updated on 28-Jan-2026 03:06 PM by bpsdemak3321@gmail.com</t>
        </r>
      </text>
    </comment>
    <comment ref="H1769" authorId="0" shapeId="0" xr:uid="{00000000-0006-0000-0000-0000190C0000}">
      <text>
        <r>
          <rPr>
            <sz val="10"/>
            <color rgb="FF000000"/>
            <rFont val="Arial"/>
            <scheme val="minor"/>
          </rPr>
          <t>Updated on 28-Jan-2026 03:06 PM by bpsdemak3321@gmail.com</t>
        </r>
      </text>
    </comment>
    <comment ref="G1770" authorId="0" shapeId="0" xr:uid="{00000000-0006-0000-0000-00001A0C0000}">
      <text>
        <r>
          <rPr>
            <sz val="10"/>
            <color rgb="FF000000"/>
            <rFont val="Arial"/>
            <scheme val="minor"/>
          </rPr>
          <t>Updated on 28-Jan-2026 03:14 PM by bpsdemak3321@gmail.com</t>
        </r>
      </text>
    </comment>
    <comment ref="H1770" authorId="0" shapeId="0" xr:uid="{00000000-0006-0000-0000-00001B0C0000}">
      <text>
        <r>
          <rPr>
            <sz val="10"/>
            <color rgb="FF000000"/>
            <rFont val="Arial"/>
            <scheme val="minor"/>
          </rPr>
          <t>Updated on 28-Jan-2026 03:14 PM by bpsdemak3321@gmail.com</t>
        </r>
      </text>
    </comment>
    <comment ref="G1771" authorId="0" shapeId="0" xr:uid="{00000000-0006-0000-0000-00001C0C0000}">
      <text>
        <r>
          <rPr>
            <sz val="10"/>
            <color rgb="FF000000"/>
            <rFont val="Arial"/>
            <scheme val="minor"/>
          </rPr>
          <t>Updated on 28-Jan-2026 03:15 PM by bpsdemak3321@gmail.com</t>
        </r>
      </text>
    </comment>
    <comment ref="H1771" authorId="0" shapeId="0" xr:uid="{00000000-0006-0000-0000-00001D0C0000}">
      <text>
        <r>
          <rPr>
            <sz val="10"/>
            <color rgb="FF000000"/>
            <rFont val="Arial"/>
            <scheme val="minor"/>
          </rPr>
          <t>Updated on 28-Jan-2026 03:15 PM by bpsdemak3321@gmail.com</t>
        </r>
      </text>
    </comment>
    <comment ref="G1772" authorId="0" shapeId="0" xr:uid="{00000000-0006-0000-0000-00001E0C0000}">
      <text>
        <r>
          <rPr>
            <sz val="10"/>
            <color rgb="FF000000"/>
            <rFont val="Arial"/>
            <scheme val="minor"/>
          </rPr>
          <t>Updated on 28-Jan-2026 03:15 PM by bpsdemak3321@gmail.com</t>
        </r>
      </text>
    </comment>
    <comment ref="H1772" authorId="0" shapeId="0" xr:uid="{00000000-0006-0000-0000-00001F0C0000}">
      <text>
        <r>
          <rPr>
            <sz val="10"/>
            <color rgb="FF000000"/>
            <rFont val="Arial"/>
            <scheme val="minor"/>
          </rPr>
          <t>Updated on 28-Jan-2026 03:15 PM by bpsdemak3321@gmail.com</t>
        </r>
      </text>
    </comment>
    <comment ref="G1773" authorId="0" shapeId="0" xr:uid="{00000000-0006-0000-0000-0000200C0000}">
      <text>
        <r>
          <rPr>
            <sz val="10"/>
            <color rgb="FF000000"/>
            <rFont val="Arial"/>
            <scheme val="minor"/>
          </rPr>
          <t>Updated on 28-Jan-2026 03:16 PM by bpsdemak3321@gmail.com</t>
        </r>
      </text>
    </comment>
    <comment ref="H1773" authorId="0" shapeId="0" xr:uid="{00000000-0006-0000-0000-0000210C0000}">
      <text>
        <r>
          <rPr>
            <sz val="10"/>
            <color rgb="FF000000"/>
            <rFont val="Arial"/>
            <scheme val="minor"/>
          </rPr>
          <t>Updated on 28-Jan-2026 03:16 PM by bpsdemak3321@gmail.com</t>
        </r>
      </text>
    </comment>
    <comment ref="G1774" authorId="0" shapeId="0" xr:uid="{00000000-0006-0000-0000-0000220C0000}">
      <text>
        <r>
          <rPr>
            <sz val="10"/>
            <color rgb="FF000000"/>
            <rFont val="Arial"/>
            <scheme val="minor"/>
          </rPr>
          <t>Updated on 28-Jan-2026 03:17 PM by bpsdemak3321@gmail.com</t>
        </r>
      </text>
    </comment>
    <comment ref="H1774" authorId="0" shapeId="0" xr:uid="{00000000-0006-0000-0000-0000230C0000}">
      <text>
        <r>
          <rPr>
            <sz val="10"/>
            <color rgb="FF000000"/>
            <rFont val="Arial"/>
            <scheme val="minor"/>
          </rPr>
          <t>Updated on 28-Jan-2026 03:17 PM by bpsdemak3321@gmail.com</t>
        </r>
      </text>
    </comment>
    <comment ref="G1775" authorId="0" shapeId="0" xr:uid="{00000000-0006-0000-0000-0000240C0000}">
      <text>
        <r>
          <rPr>
            <sz val="10"/>
            <color rgb="FF000000"/>
            <rFont val="Arial"/>
            <scheme val="minor"/>
          </rPr>
          <t>Updated on 28-Jan-2026 03:18 PM by bpsdemak3321@gmail.com</t>
        </r>
      </text>
    </comment>
    <comment ref="H1775" authorId="0" shapeId="0" xr:uid="{00000000-0006-0000-0000-0000250C0000}">
      <text>
        <r>
          <rPr>
            <sz val="10"/>
            <color rgb="FF000000"/>
            <rFont val="Arial"/>
            <scheme val="minor"/>
          </rPr>
          <t>Updated on 28-Jan-2026 03:18 PM by bpsdemak3321@gmail.com</t>
        </r>
      </text>
    </comment>
    <comment ref="G1776" authorId="0" shapeId="0" xr:uid="{00000000-0006-0000-0000-0000260C0000}">
      <text>
        <r>
          <rPr>
            <sz val="10"/>
            <color rgb="FF000000"/>
            <rFont val="Arial"/>
            <scheme val="minor"/>
          </rPr>
          <t>Updated on 28-Jan-2026 03:37 PM by bpsdemak3321@gmail.com</t>
        </r>
      </text>
    </comment>
    <comment ref="H1776" authorId="0" shapeId="0" xr:uid="{00000000-0006-0000-0000-0000270C0000}">
      <text>
        <r>
          <rPr>
            <sz val="10"/>
            <color rgb="FF000000"/>
            <rFont val="Arial"/>
            <scheme val="minor"/>
          </rPr>
          <t>Updated on 28-Jan-2026 03:37 PM by bpsdemak3321@gmail.com</t>
        </r>
      </text>
    </comment>
    <comment ref="G1777" authorId="0" shapeId="0" xr:uid="{00000000-0006-0000-0000-0000280C0000}">
      <text>
        <r>
          <rPr>
            <sz val="10"/>
            <color rgb="FF000000"/>
            <rFont val="Arial"/>
            <scheme val="minor"/>
          </rPr>
          <t>Updated on 28-Jan-2026 03:37 PM by bpsdemak3321@gmail.com</t>
        </r>
      </text>
    </comment>
    <comment ref="H1777" authorId="0" shapeId="0" xr:uid="{00000000-0006-0000-0000-0000290C0000}">
      <text>
        <r>
          <rPr>
            <sz val="10"/>
            <color rgb="FF000000"/>
            <rFont val="Arial"/>
            <scheme val="minor"/>
          </rPr>
          <t>Updated on 28-Jan-2026 03:37 PM by bpsdemak3321@gmail.com</t>
        </r>
      </text>
    </comment>
    <comment ref="G1778" authorId="0" shapeId="0" xr:uid="{00000000-0006-0000-0000-00002A0C0000}">
      <text>
        <r>
          <rPr>
            <sz val="10"/>
            <color rgb="FF000000"/>
            <rFont val="Arial"/>
            <scheme val="minor"/>
          </rPr>
          <t>Updated on 28-Jan-2026 03:38 PM by bpsdemak3321@gmail.com</t>
        </r>
      </text>
    </comment>
    <comment ref="H1778" authorId="0" shapeId="0" xr:uid="{00000000-0006-0000-0000-00002B0C0000}">
      <text>
        <r>
          <rPr>
            <sz val="10"/>
            <color rgb="FF000000"/>
            <rFont val="Arial"/>
            <scheme val="minor"/>
          </rPr>
          <t>Updated on 28-Jan-2026 03:38 PM by bpsdemak3321@gmail.com</t>
        </r>
      </text>
    </comment>
    <comment ref="G1779" authorId="0" shapeId="0" xr:uid="{00000000-0006-0000-0000-00002C0C0000}">
      <text>
        <r>
          <rPr>
            <sz val="10"/>
            <color rgb="FF000000"/>
            <rFont val="Arial"/>
            <scheme val="minor"/>
          </rPr>
          <t>Updated on 28-Jan-2026 03:39 PM by bpsdemak3321@gmail.com</t>
        </r>
      </text>
    </comment>
    <comment ref="H1779" authorId="0" shapeId="0" xr:uid="{00000000-0006-0000-0000-00002D0C0000}">
      <text>
        <r>
          <rPr>
            <sz val="10"/>
            <color rgb="FF000000"/>
            <rFont val="Arial"/>
            <scheme val="minor"/>
          </rPr>
          <t>Updated on 28-Jan-2026 03:39 PM by bpsdemak3321@gmail.com</t>
        </r>
      </text>
    </comment>
    <comment ref="G1780" authorId="0" shapeId="0" xr:uid="{00000000-0006-0000-0000-00002E0C0000}">
      <text>
        <r>
          <rPr>
            <sz val="10"/>
            <color rgb="FF000000"/>
            <rFont val="Arial"/>
            <scheme val="minor"/>
          </rPr>
          <t>Updated on 28-Jan-2026 03:39 PM by bpsdemak3321@gmail.com</t>
        </r>
      </text>
    </comment>
    <comment ref="H1780" authorId="0" shapeId="0" xr:uid="{00000000-0006-0000-0000-00002F0C0000}">
      <text>
        <r>
          <rPr>
            <sz val="10"/>
            <color rgb="FF000000"/>
            <rFont val="Arial"/>
            <scheme val="minor"/>
          </rPr>
          <t>Updated on 28-Jan-2026 03:39 PM by bpsdemak3321@gmail.com</t>
        </r>
      </text>
    </comment>
    <comment ref="G1781" authorId="0" shapeId="0" xr:uid="{00000000-0006-0000-0000-0000300C0000}">
      <text>
        <r>
          <rPr>
            <sz val="10"/>
            <color rgb="FF000000"/>
            <rFont val="Arial"/>
            <scheme val="minor"/>
          </rPr>
          <t>Updated on 28-Jan-2026 03:39 PM by bpsdemak3321@gmail.com</t>
        </r>
      </text>
    </comment>
    <comment ref="H1781" authorId="0" shapeId="0" xr:uid="{00000000-0006-0000-0000-0000310C0000}">
      <text>
        <r>
          <rPr>
            <sz val="10"/>
            <color rgb="FF000000"/>
            <rFont val="Arial"/>
            <scheme val="minor"/>
          </rPr>
          <t>Updated on 28-Jan-2026 03:39 PM by bpsdemak3321@gmail.com</t>
        </r>
      </text>
    </comment>
    <comment ref="G1782" authorId="0" shapeId="0" xr:uid="{00000000-0006-0000-0000-0000320C0000}">
      <text>
        <r>
          <rPr>
            <sz val="10"/>
            <color rgb="FF000000"/>
            <rFont val="Arial"/>
            <scheme val="minor"/>
          </rPr>
          <t>Updated on 28-Jan-2026 05:21 PM by bpsdemak3321@gmail.com</t>
        </r>
      </text>
    </comment>
    <comment ref="H1782" authorId="0" shapeId="0" xr:uid="{00000000-0006-0000-0000-0000330C0000}">
      <text>
        <r>
          <rPr>
            <sz val="10"/>
            <color rgb="FF000000"/>
            <rFont val="Arial"/>
            <scheme val="minor"/>
          </rPr>
          <t>Updated on 28-Jan-2026 05:21 PM by bpsdemak3321@gmail.com</t>
        </r>
      </text>
    </comment>
    <comment ref="G1783" authorId="0" shapeId="0" xr:uid="{00000000-0006-0000-0000-0000340C0000}">
      <text>
        <r>
          <rPr>
            <sz val="10"/>
            <color rgb="FF000000"/>
            <rFont val="Arial"/>
            <scheme val="minor"/>
          </rPr>
          <t>Updated on 28-Jan-2026 05:22 PM by bpsdemak3321@gmail.com</t>
        </r>
      </text>
    </comment>
    <comment ref="H1783" authorId="0" shapeId="0" xr:uid="{00000000-0006-0000-0000-0000350C0000}">
      <text>
        <r>
          <rPr>
            <sz val="10"/>
            <color rgb="FF000000"/>
            <rFont val="Arial"/>
            <scheme val="minor"/>
          </rPr>
          <t>Updated on 28-Jan-2026 05:22 PM by bpsdemak3321@gmail.com</t>
        </r>
      </text>
    </comment>
    <comment ref="G1784" authorId="0" shapeId="0" xr:uid="{00000000-0006-0000-0000-0000360C0000}">
      <text>
        <r>
          <rPr>
            <sz val="10"/>
            <color rgb="FF000000"/>
            <rFont val="Arial"/>
            <scheme val="minor"/>
          </rPr>
          <t>Updated on 28-Jan-2026 05:24 PM by bpsdemak3321@gmail.com</t>
        </r>
      </text>
    </comment>
    <comment ref="H1784" authorId="0" shapeId="0" xr:uid="{00000000-0006-0000-0000-0000370C0000}">
      <text>
        <r>
          <rPr>
            <sz val="10"/>
            <color rgb="FF000000"/>
            <rFont val="Arial"/>
            <scheme val="minor"/>
          </rPr>
          <t>Updated on 28-Jan-2026 05:24 PM by bpsdemak3321@gmail.com</t>
        </r>
      </text>
    </comment>
    <comment ref="G1785" authorId="0" shapeId="0" xr:uid="{00000000-0006-0000-0000-0000380C0000}">
      <text>
        <r>
          <rPr>
            <sz val="10"/>
            <color rgb="FF000000"/>
            <rFont val="Arial"/>
            <scheme val="minor"/>
          </rPr>
          <t>Updated on 28-Jan-2026 05:24 PM by bpsdemak3321@gmail.com</t>
        </r>
      </text>
    </comment>
    <comment ref="H1785" authorId="0" shapeId="0" xr:uid="{00000000-0006-0000-0000-0000390C0000}">
      <text>
        <r>
          <rPr>
            <sz val="10"/>
            <color rgb="FF000000"/>
            <rFont val="Arial"/>
            <scheme val="minor"/>
          </rPr>
          <t>Updated on 28-Jan-2026 05:24 PM by bpsdemak3321@gmail.com</t>
        </r>
      </text>
    </comment>
    <comment ref="G1786" authorId="0" shapeId="0" xr:uid="{00000000-0006-0000-0000-00003A0C0000}">
      <text>
        <r>
          <rPr>
            <sz val="10"/>
            <color rgb="FF000000"/>
            <rFont val="Arial"/>
            <scheme val="minor"/>
          </rPr>
          <t>Updated on 28-Jan-2026 10:27 PM by bpsdemak3321@gmail.com</t>
        </r>
      </text>
    </comment>
    <comment ref="H1786" authorId="0" shapeId="0" xr:uid="{00000000-0006-0000-0000-00003B0C0000}">
      <text>
        <r>
          <rPr>
            <sz val="10"/>
            <color rgb="FF000000"/>
            <rFont val="Arial"/>
            <scheme val="minor"/>
          </rPr>
          <t>Updated on 28-Jan-2026 10:27 PM by bpsdemak3321@gmail.com</t>
        </r>
      </text>
    </comment>
    <comment ref="G1787" authorId="0" shapeId="0" xr:uid="{00000000-0006-0000-0000-00003C0C0000}">
      <text>
        <r>
          <rPr>
            <sz val="10"/>
            <color rgb="FF000000"/>
            <rFont val="Arial"/>
            <scheme val="minor"/>
          </rPr>
          <t>Updated on 28-Jan-2026 10:27 PM by bpsdemak3321@gmail.com</t>
        </r>
      </text>
    </comment>
    <comment ref="H1787" authorId="0" shapeId="0" xr:uid="{00000000-0006-0000-0000-00003D0C0000}">
      <text>
        <r>
          <rPr>
            <sz val="10"/>
            <color rgb="FF000000"/>
            <rFont val="Arial"/>
            <scheme val="minor"/>
          </rPr>
          <t>Updated on 28-Jan-2026 10:27 PM by bpsdemak3321@gmail.com</t>
        </r>
      </text>
    </comment>
    <comment ref="G1788" authorId="0" shapeId="0" xr:uid="{00000000-0006-0000-0000-00003E0C0000}">
      <text>
        <r>
          <rPr>
            <sz val="10"/>
            <color rgb="FF000000"/>
            <rFont val="Arial"/>
            <scheme val="minor"/>
          </rPr>
          <t>Updated on 28-Jan-2026 10:28 PM by bpsdemak3321@gmail.com</t>
        </r>
      </text>
    </comment>
    <comment ref="H1788" authorId="0" shapeId="0" xr:uid="{00000000-0006-0000-0000-00003F0C0000}">
      <text>
        <r>
          <rPr>
            <sz val="10"/>
            <color rgb="FF000000"/>
            <rFont val="Arial"/>
            <scheme val="minor"/>
          </rPr>
          <t>Updated on 28-Jan-2026 10:28 PM by bpsdemak3321@gmail.com</t>
        </r>
      </text>
    </comment>
    <comment ref="G1789" authorId="0" shapeId="0" xr:uid="{00000000-0006-0000-0000-0000400C0000}">
      <text>
        <r>
          <rPr>
            <sz val="10"/>
            <color rgb="FF000000"/>
            <rFont val="Arial"/>
            <scheme val="minor"/>
          </rPr>
          <t>Updated on 29-Jan-2026 07:55 AM by bpsdemak3321@gmail.com</t>
        </r>
      </text>
    </comment>
    <comment ref="H1789" authorId="0" shapeId="0" xr:uid="{00000000-0006-0000-0000-0000410C0000}">
      <text>
        <r>
          <rPr>
            <sz val="10"/>
            <color rgb="FF000000"/>
            <rFont val="Arial"/>
            <scheme val="minor"/>
          </rPr>
          <t>Updated on 29-Jan-2026 07:55 AM by bpsdemak3321@gmail.com</t>
        </r>
      </text>
    </comment>
    <comment ref="G1790" authorId="0" shapeId="0" xr:uid="{00000000-0006-0000-0000-0000420C0000}">
      <text>
        <r>
          <rPr>
            <sz val="10"/>
            <color rgb="FF000000"/>
            <rFont val="Arial"/>
            <scheme val="minor"/>
          </rPr>
          <t>Updated on 29-Jan-2026 07:57 AM by bpsdemak3321@gmail.com</t>
        </r>
      </text>
    </comment>
    <comment ref="H1790" authorId="0" shapeId="0" xr:uid="{00000000-0006-0000-0000-0000430C0000}">
      <text>
        <r>
          <rPr>
            <sz val="10"/>
            <color rgb="FF000000"/>
            <rFont val="Arial"/>
            <scheme val="minor"/>
          </rPr>
          <t>Updated on 29-Jan-2026 07:57 AM by bpsdemak3321@gmail.com</t>
        </r>
      </text>
    </comment>
    <comment ref="G1791" authorId="0" shapeId="0" xr:uid="{00000000-0006-0000-0000-0000440C0000}">
      <text>
        <r>
          <rPr>
            <sz val="10"/>
            <color rgb="FF000000"/>
            <rFont val="Arial"/>
            <scheme val="minor"/>
          </rPr>
          <t>Updated on 29-Jan-2026 09:11 AM by bpsdemak3321@gmail.com</t>
        </r>
      </text>
    </comment>
    <comment ref="H1791" authorId="0" shapeId="0" xr:uid="{00000000-0006-0000-0000-0000450C0000}">
      <text>
        <r>
          <rPr>
            <sz val="10"/>
            <color rgb="FF000000"/>
            <rFont val="Arial"/>
            <scheme val="minor"/>
          </rPr>
          <t>Updated on 29-Jan-2026 09:11 AM by bpsdemak3321@gmail.com</t>
        </r>
      </text>
    </comment>
  </commentList>
</comments>
</file>

<file path=xl/sharedStrings.xml><?xml version="1.0" encoding="utf-8"?>
<sst xmlns="http://schemas.openxmlformats.org/spreadsheetml/2006/main" count="9018" uniqueCount="5424">
  <si>
    <t>Timestamp</t>
  </si>
  <si>
    <t>NAMA PEGAWAI</t>
  </si>
  <si>
    <t>Tahun</t>
  </si>
  <si>
    <t xml:space="preserve">Bulan </t>
  </si>
  <si>
    <t>Upload File Lapkin</t>
  </si>
  <si>
    <t>[Document Studio] Organize Status #lvxiskze</t>
  </si>
  <si>
    <t>Response Edit URL</t>
  </si>
  <si>
    <t>Response ID</t>
  </si>
  <si>
    <t>M Abdul Muhshi</t>
  </si>
  <si>
    <t>March</t>
  </si>
  <si>
    <t>https://drive.google.com/open?id=1OQ6zqAevW7iM2tKB7yvfIlycA08N1gJ0</t>
  </si>
  <si>
    <t>Wiwi Wilujeng Kusumawati SE, M.M.</t>
  </si>
  <si>
    <t>https://drive.google.com/open?id=1KbMugAf8b_5iAreU1_MAHAY8QWrAH_g_</t>
  </si>
  <si>
    <t>Muna S.Si</t>
  </si>
  <si>
    <t>https://drive.google.com/open?id=1EkHOa1Xj4wlMev1Ufk7kRFV1yVBazWg8</t>
  </si>
  <si>
    <t>https://drive.google.com/open?id=1tznX9JIDY43h8NtKFQKEoz60b1c3zVfw</t>
  </si>
  <si>
    <t>Siswo Pranyoto</t>
  </si>
  <si>
    <t>https://drive.google.com/open?id=1YcLGt-9vwBwCySchq3yX9DXaPjbeV9c-</t>
  </si>
  <si>
    <t>Sukilan</t>
  </si>
  <si>
    <t>https://drive.google.com/open?id=1wcYRlM-gC9A2Aa6sHCf1D2gVy0WEquzv</t>
  </si>
  <si>
    <t>Isgiantono</t>
  </si>
  <si>
    <t>https://drive.google.com/open?id=14QjYM5H_0bIZbScESIpU5zPr9X0_AZrp</t>
  </si>
  <si>
    <t>Nunung Susanti A.Md</t>
  </si>
  <si>
    <t>https://drive.google.com/open?id=1pPdBcUCPaB79o88XYLXCAQAlfl6iiuEv</t>
  </si>
  <si>
    <t>Nur Kurniawati SST</t>
  </si>
  <si>
    <t>https://drive.google.com/open?id=1AxyV8dgxNX-H4xnxvdT-f_T9BwfyLFIA</t>
  </si>
  <si>
    <t>https://drive.google.com/open?id=133veeSBIu5D7FwGGy8CdlUYT60dT0IHB</t>
  </si>
  <si>
    <t>Ani Murwani</t>
  </si>
  <si>
    <t>https://drive.google.com/open?id=1tw-hJrhMmLnswaHUc2He54KjzMLN-CaF</t>
  </si>
  <si>
    <t>Siswo</t>
  </si>
  <si>
    <t>https://drive.google.com/open?id=1-KMlh6K2KXaHN_a4Z23d0AZ8iUhdLDbb</t>
  </si>
  <si>
    <t>Buyung Firmansyah SST</t>
  </si>
  <si>
    <t>https://drive.google.com/open?id=1PdhxHrRYb8wETMqkX6_ggrAVrWEQs05a</t>
  </si>
  <si>
    <t>Supriharto</t>
  </si>
  <si>
    <t>https://drive.google.com/open?id=1TvUf8_2_SGn9NgeDNGR7lilY8oojVcQ8</t>
  </si>
  <si>
    <t>Khusnul Khotimah A.Md</t>
  </si>
  <si>
    <t>https://drive.google.com/open?id=19UNxwDSly1DDAqT7pknD-erFyJG2CWpr</t>
  </si>
  <si>
    <t>M. Masykuri Zaen SST</t>
  </si>
  <si>
    <t>https://drive.google.com/open?id=1WsyhnlmJpQhu9kCgjPBIrdLVw9ctgL1C</t>
  </si>
  <si>
    <t>Imam Sugiarto</t>
  </si>
  <si>
    <t>https://drive.google.com/open?id=135J4AmpjPXB-8oWtJAEn_ZHcWlPv-Po1</t>
  </si>
  <si>
    <t>Evi Wahyu Wardani S.Si</t>
  </si>
  <si>
    <t>https://drive.google.com/open?id=1IuxKkxilHPJHHRFcjuffJz1SvCMoKl7p</t>
  </si>
  <si>
    <t>Ir. Budi Arif Nugroho M.Si.</t>
  </si>
  <si>
    <t>https://drive.google.com/open?id=13H8HHcmsVtF34-xxi5prRjfpYDa7hhne</t>
  </si>
  <si>
    <t>Herwastuti Dwi Oktaviani A.Md.</t>
  </si>
  <si>
    <t>https://drive.google.com/open?id=1pBBsmxFrSZ6h42cTb7uNls1Ncedby_RI</t>
  </si>
  <si>
    <t>Aji Wahyu Ramadhani SST, M.Si</t>
  </si>
  <si>
    <t>https://drive.google.com/open?id=1NWXaTIwsQYlkAn3RxO7bx4G4xlr1CVQG</t>
  </si>
  <si>
    <t>Sutrisno A.Md.</t>
  </si>
  <si>
    <t>https://drive.google.com/open?id=12bvzZ4Iylplp3l-sAfXlDrhiEqJ4PkEu</t>
  </si>
  <si>
    <t>https://drive.google.com/open?id=1RhQG1RZ-yDFR16-eyqxhls6voNFozEum</t>
  </si>
  <si>
    <t>https://drive.google.com/open?id=1coOeYsKgAE3qYm8jXiGydfgfqQKrR72p</t>
  </si>
  <si>
    <t>Aris Sutikno SE</t>
  </si>
  <si>
    <t>https://drive.google.com/open?id=1SyZU8n2mVRGdF-pwKOIB94A_5R01v-18</t>
  </si>
  <si>
    <t>https://drive.google.com/open?id=1CnW8DyZwLuwd6a-mBJ_-9Ff0wn-cQXvL</t>
  </si>
  <si>
    <t>Paramitha Hanifia SST</t>
  </si>
  <si>
    <t>https://drive.google.com/open?id=1hphIPbomF55up2f22CrfqFLEcbX6PAuB</t>
  </si>
  <si>
    <t>Suko Prayogi SP., M.E.</t>
  </si>
  <si>
    <t>https://drive.google.com/open?id=1ETuSVScVyMiiki58Aa1epQvI5OcC_dS3</t>
  </si>
  <si>
    <t>Yoyok Cahyo Nugroho, SST M.Ec.Dev</t>
  </si>
  <si>
    <t>https://drive.google.com/open?id=1dTr9Sx27EAw4W_HQIr4BYecoltszoUpN</t>
  </si>
  <si>
    <t>Edy Budi Utomo SE.</t>
  </si>
  <si>
    <t>https://drive.google.com/open?id=1XhnBh1X2FQWi-Co2mff-4Wx4LGZ4pksB</t>
  </si>
  <si>
    <t>Tri Mulyaningsih SST, M.Stat</t>
  </si>
  <si>
    <t>https://drive.google.com/open?id=1hHUlGLFDjtGuXmagGmsMczQqkldCER7P</t>
  </si>
  <si>
    <t>Sulaeman S.Stat</t>
  </si>
  <si>
    <t>https://drive.google.com/open?id=1qtE-PY6HW8AM5AHp-PzNSslJuRlsFv21</t>
  </si>
  <si>
    <t>Abdul Khalim</t>
  </si>
  <si>
    <t>https://drive.google.com/open?id=1QWIuIukhE4gQ2p-9bbtfVggnfUwcXtkp</t>
  </si>
  <si>
    <t>Musyafa'ah A.Md</t>
  </si>
  <si>
    <t>https://drive.google.com/open?id=10In2ef9D24EOSrx7o92q8JB0gUD4XWb6</t>
  </si>
  <si>
    <t>https://drive.google.com/open?id=11L8Xft7Un0VMVCVbenAela6gzYMpd1_8</t>
  </si>
  <si>
    <t>https://drive.google.com/open?id=1g4yfUZ4xX5s1C-5XrFY4Tfm36zuVYBP1</t>
  </si>
  <si>
    <t>Akmal Setiawan SST, M.T</t>
  </si>
  <si>
    <t>https://drive.google.com/open?id=1otwdF0aVjsZs0L2BJlkUTWn0JRkZJq6C</t>
  </si>
  <si>
    <t>M Abdul Aziz</t>
  </si>
  <si>
    <t>https://drive.google.com/open?id=1EFzMTo0ZKYmbdHpDgl7Wu9XyG-SE1KZ-</t>
  </si>
  <si>
    <t>April</t>
  </si>
  <si>
    <t>https://drive.google.com/open?id=1mlGu3iHAlGF1A_k3QVy-dbvBg3Whx4rq</t>
  </si>
  <si>
    <t>https://drive.google.com/open?id=1lVlM-t_lbF5KfhzIjI4zJ5R3zSiWta8q</t>
  </si>
  <si>
    <t>https://drive.google.com/open?id=1QSTyYikHND1SeLt6C7oMDbIz5IK_luPN</t>
  </si>
  <si>
    <t>https://drive.google.com/open?id=1rwS9pWctDNEGS2GTe17ypcFDevEkQvj7</t>
  </si>
  <si>
    <t>https://drive.google.com/open?id=1N62xUriWsAvGNgmmGFu6usm4IYikJOvE</t>
  </si>
  <si>
    <t>https://drive.google.com/open?id=1J3lGTvPCntXVIL8sZ_cdua4mIzDyMykv</t>
  </si>
  <si>
    <t>https://drive.google.com/open?id=1AgOW4SCxPGCNqf2HBPl5f1lCNXoPcKIQ</t>
  </si>
  <si>
    <t>https://drive.google.com/open?id=159jkLtFGSIdoNONim320ztwAVS3dl7Wq</t>
  </si>
  <si>
    <t>https://drive.google.com/open?id=1mEYZIHIIcSclA1Y9FWa0giawpA3GZhRL</t>
  </si>
  <si>
    <t>https://drive.google.com/open?id=10ACu0vrlqiuXiRRH8hc9f_JOuf69eDt-</t>
  </si>
  <si>
    <t>https://drive.google.com/open?id=1OBSIZyzoKPMq74LKOJ9xISNBX_NekaSz</t>
  </si>
  <si>
    <t>https://drive.google.com/open?id=1Vy2QeBqyBU-_F3xnM_pw2kivc7oCLyZO</t>
  </si>
  <si>
    <t>https://drive.google.com/open?id=177RIqaNNWyutZsLvsHtU8UMvv-tWeVJy</t>
  </si>
  <si>
    <t>https://drive.google.com/open?id=1pRn_6UFYUJiD1K9fJo3DoarF6WMoNQF7</t>
  </si>
  <si>
    <t>https://drive.google.com/open?id=1r1sNbJqBnITG8j-qFA-mVCp3ilPPuocM</t>
  </si>
  <si>
    <t>https://drive.google.com/open?id=1e0LoyzU-cie-4XthHo3kZGnqaOdg6h5q</t>
  </si>
  <si>
    <t>https://drive.google.com/open?id=1EWm8PG3hSsX0UEyyo82sJOndvirOlty-</t>
  </si>
  <si>
    <t>https://drive.google.com/open?id=1tJyX2wXnxVTS-GhNcuYuxgVv3dlpjI9a</t>
  </si>
  <si>
    <t>https://drive.google.com/open?id=1sxKoF01HD4IF0hqEatKxwYsces3o9gTD</t>
  </si>
  <si>
    <t>https://drive.google.com/open?id=1N747ev0yos3BS0J7xUpbBaEUoHdcrvLo</t>
  </si>
  <si>
    <t>https://drive.google.com/open?id=15mABNC98CNX7618ey6N4leZecMz-0Mrs</t>
  </si>
  <si>
    <t>https://drive.google.com/open?id=1YX9Z1tH4Bqg1r-iAPzWyzn_p1WhUr5K-</t>
  </si>
  <si>
    <t>https://drive.google.com/open?id=11yyzGBJLB41nygzQj9hCKkgAU-sA0TuJ</t>
  </si>
  <si>
    <t>https://drive.google.com/open?id=1z5ZhzlSOeKXLc_y3jbIsFNuJJMTeU0lr</t>
  </si>
  <si>
    <t>https://drive.google.com/open?id=11FWEzh6uI27inEZbAyVDJPVpu5rEhlRi</t>
  </si>
  <si>
    <t>https://drive.google.com/open?id=1rruF7cDYkAZh9u250gVSYl7_paTsHp-s</t>
  </si>
  <si>
    <t>https://drive.google.com/open?id=1LYz4sFHqISgB5oO5mAbmLsUJ0y1MeT09</t>
  </si>
  <si>
    <t>https://drive.google.com/open?id=1sRBJc7VYHPZpkr0MugxhcB0el8_K0Vmn</t>
  </si>
  <si>
    <t>https://drive.google.com/open?id=1Q8K3cD_ZhrJzkoxnftzUzGodT8Ram0gZ</t>
  </si>
  <si>
    <t>https://drive.google.com/open?id=1i0ydIiWOeIrW_aUgWhacXM6sexjLtwtX</t>
  </si>
  <si>
    <t>https://drive.google.com/open?id=1kZcj1AwC0f1SVS9rCiPVS9o0vLquMMwP</t>
  </si>
  <si>
    <t>May</t>
  </si>
  <si>
    <t>https://drive.google.com/open?id=1NSbaKdXcV2M56Q0SKYUsBd1YJQoCbV4a</t>
  </si>
  <si>
    <t>Rini Astuti SST</t>
  </si>
  <si>
    <t>https://drive.google.com/open?id=1Gkp39aI56X4acSDLXWytuwXhS5rQrPDN</t>
  </si>
  <si>
    <t>https://drive.google.com/open?id=1w0u1tjpvlzAvUyZruEUOtimf1lRAMTtS</t>
  </si>
  <si>
    <t>https://drive.google.com/open?id=1osPwWN3ge01g0SaUAjiiNi35b3xKvyQe</t>
  </si>
  <si>
    <t>https://drive.google.com/open?id=1hNN92_qHgw7Afkru6eBlIPz4n6C2Rlam</t>
  </si>
  <si>
    <t>https://drive.google.com/open?id=1gxbTwuha330_N9VumZp4HmBBJYQxPiRm</t>
  </si>
  <si>
    <t>https://drive.google.com/open?id=1pF6P4ZFFvX-Ta2ap37ujQjMoPlOM5RVL</t>
  </si>
  <si>
    <t>https://drive.google.com/open?id=1uG3OMIUD-OEI6qAaqgY4E7OlqTrz1ugH</t>
  </si>
  <si>
    <t>https://drive.google.com/open?id=1JW1nTcl1ve3W3icoSvo2-9XOm9fzoLth</t>
  </si>
  <si>
    <t>https://drive.google.com/open?id=1BiClsi5RHvEDrS4j8x_dyq-vZFtuOCO2</t>
  </si>
  <si>
    <t>https://drive.google.com/open?id=1m-LeJ8KpjL3ZttVNyKa2VjbcyZZCy5XG</t>
  </si>
  <si>
    <t>https://drive.google.com/open?id=1eIHssqniJDdYsOA9uq7ALj92jXfGkiZP</t>
  </si>
  <si>
    <t>https://drive.google.com/open?id=1f2GAjEEFRSrlQmJlUcb6cO4f4f9CNc6m</t>
  </si>
  <si>
    <t>https://drive.google.com/open?id=1t4BcEZU44lXkf0nM3up8phdogsyHxm0-</t>
  </si>
  <si>
    <t>https://drive.google.com/open?id=18hABIegrTeRTucu4eTeN4lrQLZovTmyO</t>
  </si>
  <si>
    <t>https://drive.google.com/open?id=1z2FEhsIYTHbBMTeEr7ZZ5WxCl5H2WYaJ</t>
  </si>
  <si>
    <t>https://drive.google.com/open?id=1T4QWXfLToOMnXR04fs8DI7NuFO650spM</t>
  </si>
  <si>
    <t>https://drive.google.com/open?id=1cXB8ozWcoC5PZylQf0-O8wIzEEY29bsv</t>
  </si>
  <si>
    <t>https://drive.google.com/open?id=1FBjrwdhXbTFWO-gg0kYXaws96pphCtKz</t>
  </si>
  <si>
    <t>https://drive.google.com/open?id=1LngpTJUfFnhJ4gYhnm6c7jxZRsvzr3nx</t>
  </si>
  <si>
    <t>https://drive.google.com/open?id=1diNC07XQ56NDwRNdwC_KTQ6qYQE0EFiP</t>
  </si>
  <si>
    <t>https://drive.google.com/open?id=1QGbFcbaKUL2GEL3WrEaSoe5QOhHRgRWL</t>
  </si>
  <si>
    <t>https://drive.google.com/open?id=1PykT7mYr4yeHePFoYc-xlbJNDeAPrH1-</t>
  </si>
  <si>
    <t>https://drive.google.com/open?id=1vPf6cmo2n3XwYI0HH_ezdLTjTDR3TQoY</t>
  </si>
  <si>
    <t>https://drive.google.com/open?id=1Re6BHejEkQV82kJxcqUs4Vam3ViUvP1Y</t>
  </si>
  <si>
    <t>https://drive.google.com/open?id=1XcYijVAUDiETPxPowI4u0i_4qWBlZUWs</t>
  </si>
  <si>
    <t>https://drive.google.com/open?id=1aPGJy6q2utVVxyfstCOT_YxQ7S34peDL</t>
  </si>
  <si>
    <t>June</t>
  </si>
  <si>
    <t>https://drive.google.com/open?id=1QPqAK8IbmlZAJna61B-GQ8_kdJIDpvAH</t>
  </si>
  <si>
    <t>https://drive.google.com/open?id=1I04ijBKkHnpo2BPXv3XEJvhkwvMUrc3Y</t>
  </si>
  <si>
    <t>https://drive.google.com/open?id=1d_1QDAnVRi4Fn8VJIYVs7_nkeHV0z0XI</t>
  </si>
  <si>
    <t>https://drive.google.com/open?id=1mNWL1rCSsGXX1o2OCHnICcoGg808oMdG</t>
  </si>
  <si>
    <t>https://drive.google.com/open?id=1TM9soPfb_E72XT6ywgnM976jjEdjYvUo</t>
  </si>
  <si>
    <t>https://drive.google.com/open?id=1UR-z5lS0aSw7PzonYgk1ZRcTNZvTbitQ</t>
  </si>
  <si>
    <t>https://drive.google.com/open?id=1XJN3zcT5clEQElp89rAPKh6XITNM3y_l</t>
  </si>
  <si>
    <t>https://drive.google.com/open?id=1epngB3OGmGpnRSK2Qgf4WDOPBxGb-iqg</t>
  </si>
  <si>
    <t>https://drive.google.com/open?id=1Nsm7hIIRJN-9-XwiNfrbnSo5RAnF-zvZ</t>
  </si>
  <si>
    <t>https://drive.google.com/open?id=1sN-ytySdHuIJ5yd1Yc59WC42tA0dZjMX</t>
  </si>
  <si>
    <t>https://drive.google.com/open?id=1QMDmF2RH66824Ju-XDK3n1CMUrPuQ_Rx</t>
  </si>
  <si>
    <t>https://drive.google.com/open?id=1Rb5PtN-6ii314zXh9qYnVIj7pLbpADYy</t>
  </si>
  <si>
    <t>https://drive.google.com/open?id=19bRHn_uMUg8BOA1RfOz1iWXBBoiCCmhC</t>
  </si>
  <si>
    <t>https://drive.google.com/open?id=1HvaRo7tV9DJ6Mo8aVMorRGJCEOX0o156</t>
  </si>
  <si>
    <t>https://drive.google.com/open?id=1gdGn9MrZh50YYOYjAroH-ws8wyFwozLB</t>
  </si>
  <si>
    <t>https://drive.google.com/open?id=1RM1lE-0hj8MlxtGtt-zJW_T9caO13Tua</t>
  </si>
  <si>
    <t>https://drive.google.com/open?id=1SAPhU51P8JhhTJhlRgDQP9sDZSFWu8sW</t>
  </si>
  <si>
    <t>https://drive.google.com/open?id=1UIdhsfPnvebeqGp5AlrURXmHmrOIzEAW</t>
  </si>
  <si>
    <t>https://drive.google.com/open?id=1iulmjk-bgK-EQQar0BEoJneGC4U1OaZs</t>
  </si>
  <si>
    <t>https://drive.google.com/open?id=1vQADMI3S82FqncrAFzFQ98WdgR488p-J</t>
  </si>
  <si>
    <t>https://drive.google.com/open?id=1gvfuB-shUvkIiSxolo7pjQSdAiu_ba8f</t>
  </si>
  <si>
    <t>https://drive.google.com/open?id=1v7Si-or1tcMVSWM4ikylX6iIspw-wsGu</t>
  </si>
  <si>
    <t>https://drive.google.com/open?id=1MC6LrioX1R7DTiVLIsf2Du3f6a-kfm0m</t>
  </si>
  <si>
    <t>https://drive.google.com/open?id=1PsbfCYvrrk1ChlmHbJHEglXh-Wx45p6R</t>
  </si>
  <si>
    <t>https://drive.google.com/open?id=1v7i_LyGyx2z-kPcIi5z2mspM8RAUSxWd</t>
  </si>
  <si>
    <t>https://drive.google.com/open?id=1_HkA0ZBgR2nuYL26HHnMKhjWh2pJr1sU</t>
  </si>
  <si>
    <t>July</t>
  </si>
  <si>
    <t>https://drive.google.com/open?id=16mjXn3MF5salgfc-di3NkwT70FybrOm8</t>
  </si>
  <si>
    <t>https://drive.google.com/open?id=1cNhqKGXfcC_phCT2y0DnVtLTh8qI7n4S</t>
  </si>
  <si>
    <t>https://drive.google.com/open?id=16sUqMhAKMykMqzVPjFUFi4nEtfm9ZFIs</t>
  </si>
  <si>
    <t>https://drive.google.com/open?id=19gT84NbtagOiN9vow1vi31EsYA3_Lfgx</t>
  </si>
  <si>
    <t>https://drive.google.com/open?id=1P1ACfUX92bYOZb9Z0fiKf-zNg--dDTRh</t>
  </si>
  <si>
    <t>https://drive.google.com/open?id=1StOgC7h57adXZD88ZRdmKubS4gjNJF2L</t>
  </si>
  <si>
    <t>https://drive.google.com/open?id=1nDcclEec3fji74_6PdqAcaxL5JVU53yS</t>
  </si>
  <si>
    <t>https://drive.google.com/open?id=1CtHPgGhfBqRWKv4GNpHhsRs79zn1fZwl</t>
  </si>
  <si>
    <t>https://drive.google.com/open?id=1Ixcw6_xyx2nyiyfH544bTO2ER038s7A0</t>
  </si>
  <si>
    <t>https://drive.google.com/open?id=1odgH3epfJul1STZ21GnkGTGGVuCYzL1D</t>
  </si>
  <si>
    <t>https://drive.google.com/open?id=1HIoqtB17qBoToIY0mTIXJ_y6INoqsMzZ</t>
  </si>
  <si>
    <t>https://drive.google.com/open?id=1_zstiFmLusGXsLJmSANxHhMxapzKvhQ9</t>
  </si>
  <si>
    <t>https://drive.google.com/open?id=1ITui2i5t6ke2pLw2bs2KU9WrVerbSw5E</t>
  </si>
  <si>
    <t>https://drive.google.com/open?id=1lp_LhkabCcYQidwyKfsI6uJg9gE7pW3r</t>
  </si>
  <si>
    <t>https://drive.google.com/open?id=1chTzVN_29O1XzfY9EXpkCy4n4Lp-PwOi</t>
  </si>
  <si>
    <t>https://drive.google.com/open?id=1G6CdJXKziCTJO_iRCvZBQgfdIRQtA5g0</t>
  </si>
  <si>
    <t>https://drive.google.com/open?id=1Uhh2U4MP4oGng_LctYzIfDbPJDfur4Qa</t>
  </si>
  <si>
    <t>https://drive.google.com/open?id=1kfz9U1nEkxakzCNaXqIBvqP18H5__J_T</t>
  </si>
  <si>
    <t>https://drive.google.com/open?id=1g3EkLpSgZudaRqC5kGW--Ym8-iZ-z5N4</t>
  </si>
  <si>
    <t>https://drive.google.com/open?id=1yWFCwW428_qoGAiU1pZ94DFdNmC2H0d4</t>
  </si>
  <si>
    <t>https://drive.google.com/open?id=1fC9xq45GWHXGTjuKkFdr9Juzv-LRawao</t>
  </si>
  <si>
    <t>https://drive.google.com/open?id=1cu22JREH7-iqJ4Ka4YuM0Np0EI-N3JeS</t>
  </si>
  <si>
    <t>https://drive.google.com/open?id=1Aoav3ERU-Mzgdx8-kG5MdCT4_L7NS5aT</t>
  </si>
  <si>
    <t>https://drive.google.com/open?id=16CeVBgiCrZ7xAI_tycaGy1-hL0PNhvwk</t>
  </si>
  <si>
    <t>https://drive.google.com/open?id=1vf5gPa8YcpM8Ngceh2D5ROvoPnIh_MP-</t>
  </si>
  <si>
    <t>https://drive.google.com/open?id=11yslGv5IqooiJuY0qlHepJi478KklaVQ</t>
  </si>
  <si>
    <t>https://drive.google.com/open?id=1NKheuGLQIZThsz7R0KtFz4fkp0g-cqgq</t>
  </si>
  <si>
    <t>https://drive.google.com/open?id=1nNbLRJU2a8xAVCbS3X4RtB6ZNEQaT68z</t>
  </si>
  <si>
    <t>https://drive.google.com/open?id=18fp1XbmTPfY4tChfzwYomoNRRjJwRRgX</t>
  </si>
  <si>
    <t>August</t>
  </si>
  <si>
    <t>https://drive.google.com/open?id=1PdcSBzILOdc7OtxsYupPFQWeEKjcU1cR</t>
  </si>
  <si>
    <t>https://drive.google.com/open?id=1GpjP84h1tR-n_a6_vVR56f2xpXZXgH3l</t>
  </si>
  <si>
    <t>https://drive.google.com/open?id=18A7qqLpVatp6zvuU-VjPSQpfcwCKyBnQ</t>
  </si>
  <si>
    <t>https://drive.google.com/open?id=1Qvrbjw7DGZ6As4brBaMl7BNhz7WnQGIY</t>
  </si>
  <si>
    <t>https://drive.google.com/open?id=1qLMi9zdd9vNC4Nk2YVc0KynXKO1bxMVN</t>
  </si>
  <si>
    <t>https://drive.google.com/open?id=1QGieGdUeTjiZIkftAPwXVRwoOMVSEjEv</t>
  </si>
  <si>
    <t>https://drive.google.com/open?id=1Y9gslqgz2ZXnrSsluVg75vQzeHBxUsux</t>
  </si>
  <si>
    <t>https://drive.google.com/open?id=12nxguvVHNFwj-uhRkbYtmOfkJA42TULb</t>
  </si>
  <si>
    <t>https://drive.google.com/open?id=1qiZsaYrElHwdVRVZ0UExV62ZNhnr_H6C</t>
  </si>
  <si>
    <t>https://drive.google.com/open?id=19JCId6THqskWFMJ8hAVQHjSvcICerlrT</t>
  </si>
  <si>
    <t>https://drive.google.com/open?id=1n69tQXB_83jN-TZpQ0FOWoSV1UaTOdug</t>
  </si>
  <si>
    <t>https://drive.google.com/open?id=1y5KV7KJGJFa-gFRmzwCzYzofMRZUw6B5</t>
  </si>
  <si>
    <t>https://drive.google.com/open?id=1IFrK_YmL1AyU3biVRRJdvadPDsjfcYvw</t>
  </si>
  <si>
    <t>https://drive.google.com/open?id=1zFtAJhEwi_JPmtFAGrOqnbBjYAl1Hk9w</t>
  </si>
  <si>
    <t>https://drive.google.com/open?id=10ADnbS9hUnq2VkBsGPRELVy41VJD4qRA</t>
  </si>
  <si>
    <t>https://drive.google.com/open?id=1xCJFacmf78ghjZ4n2KW4ax7u5BZD32tM</t>
  </si>
  <si>
    <t>https://drive.google.com/open?id=1fscqPJlAS610cHc2e-WXTa3P1mRW05W3</t>
  </si>
  <si>
    <t>https://drive.google.com/open?id=14UNNvkRSTBlbQUKI2-_-pm6qqHlzQn4G</t>
  </si>
  <si>
    <t>https://drive.google.com/open?id=1yJ5Wj4oRTP2HkNcf8BErJWWOxFRKZAYh</t>
  </si>
  <si>
    <t>https://drive.google.com/open?id=18LXzgRePvd4yasunxMNf3I2xrtXyM04I</t>
  </si>
  <si>
    <t>https://drive.google.com/open?id=1OZthiIh3stBfdn9-lJZNKl9ayNxAUzNr</t>
  </si>
  <si>
    <t>https://drive.google.com/open?id=168iEiFCO-GBQkkbwcjN7TUQsLmCe29UK</t>
  </si>
  <si>
    <t>https://drive.google.com/open?id=1F3KNykHcedvT0IQppnfbig82mdF3pbpR</t>
  </si>
  <si>
    <t>https://drive.google.com/open?id=1cprnMJc8f0zn8Z1rZvKQZaNbWBRE31rZ</t>
  </si>
  <si>
    <t>https://drive.google.com/open?id=1iIoWMaQE_7IrI8Wmz9JA3K20ioB4ecCu</t>
  </si>
  <si>
    <t>https://drive.google.com/open?id=1YVc0fVEUhIt5o4Y3_GPTZ5ydpskijqtq</t>
  </si>
  <si>
    <t>https://drive.google.com/open?id=1wj-eGRvMl7bN5SzV9qPntAFOp6BbFDlX</t>
  </si>
  <si>
    <t>https://drive.google.com/open?id=1_nLq4VBqnQQVUaGPYgUt8ys9vPO_pbxK</t>
  </si>
  <si>
    <t>https://drive.google.com/open?id=1cXzf-HK8D5JlEKaxWNN7Mk29hK-mEHqX</t>
  </si>
  <si>
    <t>https://drive.google.com/open?id=1sGe-pZbituQpGItquuy6He5jhM-zpAbC</t>
  </si>
  <si>
    <t>https://drive.google.com/open?id=1EDjcjM9WNBVqSpRX2GKslmik8z46FSOW</t>
  </si>
  <si>
    <t>September</t>
  </si>
  <si>
    <t>https://drive.google.com/open?id=1Ny4NdwBM6KuCaRFeGNNgJCmbWsCCLLGu</t>
  </si>
  <si>
    <t>https://drive.google.com/open?id=1novCllKVgO6dD5NsnU-6NnzU6MEi4SzF</t>
  </si>
  <si>
    <t>https://drive.google.com/open?id=1JPjBZx_eD6dI-qTJaCE9Rii789Qn-eEh</t>
  </si>
  <si>
    <t>https://drive.google.com/open?id=16zhj2sRo-C6K6fStkOb6Qerrxk7tIJb4</t>
  </si>
  <si>
    <t>https://drive.google.com/open?id=16GoT55xZscAoz6l-uocmpNymf9xFszOv</t>
  </si>
  <si>
    <t>https://drive.google.com/open?id=1sg_ob1sSGO6CPKtwuVOwgAxg_pUeN-7a</t>
  </si>
  <si>
    <t>https://drive.google.com/open?id=14Gxa4_uvZkWdFvKZzgajSPCwymYlBADF</t>
  </si>
  <si>
    <t>https://drive.google.com/open?id=1-FvAKGBh7wnpKha4MGpoiUGP7gV0Qjhf</t>
  </si>
  <si>
    <t>https://drive.google.com/open?id=1dd1Yv_HdLbMYgiSv0wIZ0dL9py1xLJrK</t>
  </si>
  <si>
    <t>https://drive.google.com/open?id=11hnV_uNc33DrF-m2WgG_erXhhcd3SFif</t>
  </si>
  <si>
    <t>https://drive.google.com/open?id=1AtfC5D2bRJnXyFqAFosZgsROYHWSm84L</t>
  </si>
  <si>
    <t>https://drive.google.com/open?id=1hZ8-dVXR9e292YUaln2gdsw-ZwjMtGii</t>
  </si>
  <si>
    <t>https://drive.google.com/open?id=1JAO4p6Sqhy5qpNOO6sHz_IwbZt8te79l</t>
  </si>
  <si>
    <t>https://drive.google.com/open?id=12WxsiDMzPA932nYiL9q0DtKuZdGaiDRd</t>
  </si>
  <si>
    <t>https://drive.google.com/open?id=137m6Hlq-wCm0Mg-WrH4_lcikrpxfQsAq</t>
  </si>
  <si>
    <t>https://drive.google.com/open?id=16Ux2ab2Wx5YzUu-v-tPT3C9n6XXz3ZLv</t>
  </si>
  <si>
    <t>https://drive.google.com/open?id=1qGK91zQ2GBpzA-vHheAHO5U5Xr80si4O</t>
  </si>
  <si>
    <t>https://drive.google.com/open?id=18Yl6z8icVMhjh4ifu5IaLM8zETY2ydaH</t>
  </si>
  <si>
    <t>https://drive.google.com/open?id=1dCKRU4BrlOLsHBynGFraT_ayanpNr_jO</t>
  </si>
  <si>
    <t>https://drive.google.com/open?id=1W8vPLfi1xmg-EyO4B93rtBjGPUy86wb9</t>
  </si>
  <si>
    <t>https://drive.google.com/open?id=1_hu3RktwrZjQxgbqsSKOciO7ZJ8_mmNp</t>
  </si>
  <si>
    <t>https://drive.google.com/open?id=13uhsJiTZ5QxL6ndAcjB3pu7EncO3wKmR</t>
  </si>
  <si>
    <t>https://drive.google.com/open?id=1GWpizGnmlMO3E8bcB3kKcYYIZwBxwsat</t>
  </si>
  <si>
    <t>https://drive.google.com/open?id=1MzgD5Zfz7Md4Du5Dn2E70z8FnnGJONY4</t>
  </si>
  <si>
    <t>https://drive.google.com/open?id=1Xu-O_NRQvoMu-GnfqZh1gmfHxUpiTUB_</t>
  </si>
  <si>
    <t>https://drive.google.com/open?id=1UsJX0QAxZmDfu_LuO-chGXbw-ZPT9wFw</t>
  </si>
  <si>
    <t>October</t>
  </si>
  <si>
    <t>https://drive.google.com/open?id=1BIqSQVeERMPi4PqqRdirIwYVcHFbLvXb</t>
  </si>
  <si>
    <t>https://drive.google.com/open?id=13OVd7gvg8Oj_Xa8nswNi6OfG9ED_zVuT</t>
  </si>
  <si>
    <t>https://drive.google.com/open?id=1RvM4oiiLH-3nHTAS3oSiVJWl8mxLTBsm</t>
  </si>
  <si>
    <t>https://drive.google.com/open?id=1v0KxJNWgSBQUKDasO1glRSxcQ1_vCRVh</t>
  </si>
  <si>
    <t>https://drive.google.com/open?id=1YyInJyQ23nRbyPPym4ggWqnq_7ECZqtj</t>
  </si>
  <si>
    <t>https://drive.google.com/open?id=1ZSvLw3QQ5echflE_8Knc9N4NUu52HXPY</t>
  </si>
  <si>
    <t>https://drive.google.com/open?id=1T704B4_tupajIuwSf_jQixgZnjsazZ9L</t>
  </si>
  <si>
    <t>https://drive.google.com/open?id=1nkAhYdQik7q8i3O9IFBiEE7-Dp4gJDkv</t>
  </si>
  <si>
    <t>https://drive.google.com/open?id=12wTRydd9B81RRkkvpiEbAt3dl45GFqnH</t>
  </si>
  <si>
    <t>https://drive.google.com/open?id=1N3AjoeNMW14LqgCQhBDxlKSgXgoKOPzJ</t>
  </si>
  <si>
    <t>https://drive.google.com/open?id=1WWykgsBqTgvFY4oFf1mMOPn4fnTqlMK_</t>
  </si>
  <si>
    <t>https://drive.google.com/open?id=1vDM9_bWDZ_WF7NHKx5k9vuNwkgh2jr3y</t>
  </si>
  <si>
    <t>https://drive.google.com/open?id=1T4RnL3LHfuLs01WWxPGX348uA59H4mt9</t>
  </si>
  <si>
    <t>https://drive.google.com/open?id=1AM6KQZN7xJOkdHomLf8aWNF55WHBsvkx</t>
  </si>
  <si>
    <t>https://drive.google.com/open?id=1nRgRUcV1LKe7sMpYcht8hVdwM6nbh3Pj</t>
  </si>
  <si>
    <t>https://drive.google.com/open?id=1fx-17H5aWQ72c9Fe7dqWuIgNizq9Mz4_</t>
  </si>
  <si>
    <t>https://drive.google.com/open?id=1sVwtkAjj1OP70zJdB5Xg-bJgFVYaU169</t>
  </si>
  <si>
    <t>https://drive.google.com/open?id=1dsTU4Rg04SQVtfzFqlFkHiZnsVuQEYUa</t>
  </si>
  <si>
    <t>https://drive.google.com/open?id=1cgGFWovJcgFFifh3og19ej61pd9G49Mf</t>
  </si>
  <si>
    <t>https://drive.google.com/open?id=19Ffjp6FP0BnIy-ah6WMuswkHhJ6c8cK2</t>
  </si>
  <si>
    <t>https://drive.google.com/open?id=1tfJSIeUfrE-J4nnkC7266nz8RaBkHyy1</t>
  </si>
  <si>
    <t>November</t>
  </si>
  <si>
    <t>https://drive.google.com/open?id=1fvdS6af-pWX_I7xpnAJC4q3yP8oyfD2_</t>
  </si>
  <si>
    <t>https://drive.google.com/open?id=1GdagV-8_2rMEYYPvF9LSdyrhKJvAmZ83</t>
  </si>
  <si>
    <t>https://drive.google.com/open?id=18SgcGPs797lvyepobrUw5vX9tj0v0kBt</t>
  </si>
  <si>
    <t>https://drive.google.com/open?id=1GIh0rs6pThDzzPW6xd2Iy9152rP5ROwB</t>
  </si>
  <si>
    <t>https://drive.google.com/open?id=1p1xzKFakFNdSiMvmcrRVfxXq_ffGnvs3</t>
  </si>
  <si>
    <t>https://drive.google.com/open?id=1XyFEzHx5hw-0F_FVYoD4eORHEXkU4bqm</t>
  </si>
  <si>
    <t>https://drive.google.com/open?id=1WwJ-A67jcFLWJIbZT9P8ILUDkeA0Np5s</t>
  </si>
  <si>
    <t>https://drive.google.com/open?id=1wHwnm-RpUa_AqYis9Otyg__7ws9fkIk_</t>
  </si>
  <si>
    <t>https://drive.google.com/open?id=1ByPK8T-eFrucrWwfCizWCXihaCJLUAmE</t>
  </si>
  <si>
    <t>https://drive.google.com/open?id=1TdD3lXsAbhJqDkRF-r0vAmEI9ooX3v1n</t>
  </si>
  <si>
    <t>https://drive.google.com/open?id=1uWDeh6KlZlYmnLHz2_YbrFMMT72jbviy</t>
  </si>
  <si>
    <t>https://drive.google.com/open?id=1MGVyXwWyJR2hfzfZSkssAhk61nYNZSPB</t>
  </si>
  <si>
    <t>https://drive.google.com/open?id=1dxSSxofJ5xfvFJdoQioeQb5b_5tivAnd</t>
  </si>
  <si>
    <t>https://drive.google.com/open?id=1tzL5mm5jra6QpMgse8fcavB1SSIncN1U</t>
  </si>
  <si>
    <t>https://drive.google.com/open?id=1XS72P3Um-jDAWjyFuxMQfjeIzvFVhjaW</t>
  </si>
  <si>
    <t>https://drive.google.com/open?id=1tlL8FlNqq6Rs6xVdcgsaHfIz4gbsPErH</t>
  </si>
  <si>
    <t>https://drive.google.com/open?id=1-01fPjILN13md1rZYLdf0nBk5jcJeiqI</t>
  </si>
  <si>
    <t>https://drive.google.com/open?id=1UHgjp3L0jOUXizPrEUcPQxBjQcYB7FkN</t>
  </si>
  <si>
    <t>https://drive.google.com/open?id=1P9wrvPPDHGSJwpitezyeGlx_QcNx1DDI</t>
  </si>
  <si>
    <t>https://drive.google.com/open?id=1f2cOKK3PSCQOp54XZhwgVaGtF1e2-fxe</t>
  </si>
  <si>
    <t>https://drive.google.com/open?id=1WptJ1g1hiI_VaGrrR3QZjtbNEa-6szhP</t>
  </si>
  <si>
    <t>https://drive.google.com/open?id=1rKGgsBKDRbDs1hECeLF4PQ5btGF5eTlG</t>
  </si>
  <si>
    <t>https://drive.google.com/open?id=1U_nrjGHkMNStng-vkwJKkQW7askc_WsR</t>
  </si>
  <si>
    <t>https://drive.google.com/open?id=1z0cYSLS3bZxAOkzgz1TVkMp1eMz1tf2A</t>
  </si>
  <si>
    <t>December</t>
  </si>
  <si>
    <t>https://drive.google.com/open?id=1e5xsZqbDsAA5gZoLwVGuEbmq-WHlktlr</t>
  </si>
  <si>
    <t>https://drive.google.com/open?id=1Fl85yedjwW-KbojwD-9bmG-zmC2M6ynd</t>
  </si>
  <si>
    <t>https://drive.google.com/open?id=1YISud_sGjTScFC57v6RaYVwfyvZmJwMj</t>
  </si>
  <si>
    <t>https://drive.google.com/open?id=1SFFQlKFSCD9mJOrf0tVhm3EsVI6YEiME</t>
  </si>
  <si>
    <t>https://drive.google.com/open?id=1aUy1pK4yVbZt-xbvM2z6K5G7Db5yE-Oo</t>
  </si>
  <si>
    <t>https://drive.google.com/open?id=1amIt-9nTvTc5qEr1EL3JaVdX-Y8TMbn5</t>
  </si>
  <si>
    <t>https://drive.google.com/open?id=1yS7iA-lXgKvWNpp4jrCH7NHoQXUHX5Tg</t>
  </si>
  <si>
    <t>https://drive.google.com/open?id=1eflxQzap7dxe2LuxBlqY207asN60Hps0</t>
  </si>
  <si>
    <t>https://drive.google.com/open?id=176yOZrGfHZLX-t0TQ0QLubkKn6gia52B</t>
  </si>
  <si>
    <t>https://drive.google.com/open?id=1RKXye_aV0w7jL0g7lMt0VUdxQQOeY47b</t>
  </si>
  <si>
    <t>https://drive.google.com/open?id=1a0vxVx8IHM5P1aqhzrpdSd4fXIaQgKix</t>
  </si>
  <si>
    <t>https://drive.google.com/open?id=1Qm6mc80xDd31qQ0ASrHmmwOcMhR7YdtX</t>
  </si>
  <si>
    <t>https://drive.google.com/open?id=12kbEJ3UcbechsZH7-VOWdZXZFh9AEWiW</t>
  </si>
  <si>
    <t>https://drive.google.com/open?id=1ifEbg-2f9hn7pEn5s_onjbcGtOC2C2U_</t>
  </si>
  <si>
    <t>https://drive.google.com/open?id=16sVvt1m9P1nHu4b7W6D1P1VKjez9ftkn</t>
  </si>
  <si>
    <t>January</t>
  </si>
  <si>
    <t>https://drive.google.com/open?id=1wbUN8iz5uy4jy-Ewqn38dl3A79xix9Dy</t>
  </si>
  <si>
    <t>https://drive.google.com/open?id=1n-n5pcw5p-M4wvBxTxKWtpi1D2DGAOG8</t>
  </si>
  <si>
    <t>https://drive.google.com/open?id=1hkP_H1ZzuD4yIC0_SunC8OawvkG7nE22</t>
  </si>
  <si>
    <t>https://drive.google.com/open?id=1hR3mxS1MZa0tC_vmAvAuBkozVAe94sDb</t>
  </si>
  <si>
    <t>https://drive.google.com/open?id=1ffycXc9caKeMuja6V4PnY7LuKhHLPLBC</t>
  </si>
  <si>
    <t>https://drive.google.com/open?id=1oax05wsk7I_QUO5vWmtCgpPEdaIsKpWM</t>
  </si>
  <si>
    <t>https://drive.google.com/open?id=1kvYargQexO9sJqz57NmriZmdPAP9Chxa</t>
  </si>
  <si>
    <t>https://drive.google.com/open?id=1pZlNL24xukI2DrdAH395m1iK4tf0V0-a</t>
  </si>
  <si>
    <t>https://drive.google.com/open?id=1GVBx7_IVdvlUSn_iiQZBQ6iC85xxX5mF</t>
  </si>
  <si>
    <t>https://drive.google.com/open?id=1SW0p5GSTpPvieyKvNCL3g9c34RNNS18Y</t>
  </si>
  <si>
    <t>https://drive.google.com/open?id=1xiyiKCQZvPix0vGkazOeL3_fkCxfGq7y</t>
  </si>
  <si>
    <t>Anjung Budi Cahyono</t>
  </si>
  <si>
    <t>https://drive.google.com/open?id=1Ss3XcWQVBmDavlbr-DWCGzAeQMpeSNNn</t>
  </si>
  <si>
    <t>https://drive.google.com/open?id=1MjGSKXKie3m4llu7kJWjVqQZJ8NtCki6</t>
  </si>
  <si>
    <t>https://drive.google.com/open?id=1nc1fiDTf-gb9GjkJ9-lZ1xdsZmpgbofM</t>
  </si>
  <si>
    <t>https://drive.google.com/open?id=1valgmIilRa6isIREQ15MT93E3gu6EPN7</t>
  </si>
  <si>
    <t>https://drive.google.com/open?id=1Bdqwqgg0CFH0FLk5RwDMsHch9Vzz5vRH</t>
  </si>
  <si>
    <t>https://drive.google.com/open?id=1-OOUxNSY6oRc94yu5H2FocyHrU_8qf15</t>
  </si>
  <si>
    <t>https://drive.google.com/open?id=1VgQLs-ffcSzCYSzZ4zXJLBTBwVyNAxL4</t>
  </si>
  <si>
    <t>https://drive.google.com/open?id=1UAFuyCw55gBWbY5z75Vt1ihXDZu43gJ8</t>
  </si>
  <si>
    <t>https://drive.google.com/open?id=1KzEtbnFYoeOrUrh95anVjVYhRPvhvRA_</t>
  </si>
  <si>
    <t>https://drive.google.com/open?id=1wspbtQTK6aZ2tQzd34plKHyseOXCp9lD</t>
  </si>
  <si>
    <t>https://drive.google.com/open?id=1ElIxJR2mUqiXYgHqz7OY7czzuUXYSsL9</t>
  </si>
  <si>
    <t>https://drive.google.com/open?id=1bWICIaCUHdHJoMPEWcLNzdM87_R3oSQ_</t>
  </si>
  <si>
    <t>https://drive.google.com/open?id=1fh9Q8m9dvEnXknefiOzojPQrJQVdqRLh</t>
  </si>
  <si>
    <t>https://drive.google.com/open?id=1k5psNtBwB98kuvTTMmjIoUmPaAUHQCo6</t>
  </si>
  <si>
    <t>https://drive.google.com/open?id=1hSn6i8gF7kBeQMqopvwC_0gNaUjo-8Zp</t>
  </si>
  <si>
    <t>https://drive.google.com/open?id=17AT4M2PIQb-4S_k8uEdFz2rwX8_Ei1eD</t>
  </si>
  <si>
    <t>https://drive.google.com/open?id=1P66G-lqH30LP5vmm2o2Qdr7nSuEqUjwY</t>
  </si>
  <si>
    <t>Sucipto</t>
  </si>
  <si>
    <t>https://drive.google.com/open?id=18LMBx8r8QO7R8YDSd6L3MRQSywJLnJDt</t>
  </si>
  <si>
    <t>https://drive.google.com/open?id=1MKZ5ck-X-CX7UgtB2TjUeFyefW3kDY4-</t>
  </si>
  <si>
    <t>https://drive.google.com/open?id=1Hhh1JuXo_Etnh4ApWfJfTT1Bha4NpPyH</t>
  </si>
  <si>
    <t>February</t>
  </si>
  <si>
    <t>https://drive.google.com/open?id=1QtY5-TtLqiajLgShRFpPjVeNzHLrXVyl</t>
  </si>
  <si>
    <t>https://drive.google.com/open?id=1WjBGbVHBymsHntXl3krtpGT2eqqU8u7z</t>
  </si>
  <si>
    <t>https://drive.google.com/open?id=1CIslBsIG4uXh4pKtXpKhVESncQbAD9tJ</t>
  </si>
  <si>
    <t>https://drive.google.com/open?id=1pSjJZbC9nApfE0cDeAPStWir1cs0gNeW</t>
  </si>
  <si>
    <t>https://drive.google.com/open?id=1NAOQYGEC8Piay1NKQvdwJqcB-YYK2uke</t>
  </si>
  <si>
    <t>https://drive.google.com/open?id=19_WmQWCtRNSdnP_NMAUhpGs4IpQtGgU_</t>
  </si>
  <si>
    <t>https://drive.google.com/open?id=1zXQU2UFhwo0MTMQbQr4qJVFg_1DI0VRu</t>
  </si>
  <si>
    <t>https://drive.google.com/open?id=1Er9Oq-2N-LQ4pa28kwOTWuaXZIo_u_Xc</t>
  </si>
  <si>
    <t>https://drive.google.com/open?id=1_g6uOj3QrHr5STQJOp2fu_51nAE5NMAx</t>
  </si>
  <si>
    <t>https://drive.google.com/open?id=1kfvPRkw3xI93xKGYEDpzStiaF2nDrqOn</t>
  </si>
  <si>
    <t>https://drive.google.com/open?id=1ZR0GY3_Ez87vVdGw-F-U7keQ24SYgAC_</t>
  </si>
  <si>
    <t>https://drive.google.com/open?id=1UIvxVALVfUi8xSUYBaB6h0R2uxSa5cTd</t>
  </si>
  <si>
    <t>https://drive.google.com/open?id=1g1xD8bjDjJ8oQmYuUFJ61xffPjwxG1fL</t>
  </si>
  <si>
    <t>https://drive.google.com/open?id=1lG0MxKUROEj7ZAovAxJXdZwoqwUzlMlF</t>
  </si>
  <si>
    <t>https://drive.google.com/open?id=1XyELK3tcFmrljwdkP-sgTlwbAqvPMJGZ</t>
  </si>
  <si>
    <t>https://drive.google.com/open?id=1r3yIxiQvCZqr2EN2SRGKnlFbsEPCjhPk</t>
  </si>
  <si>
    <t>https://drive.google.com/open?id=1wQLDNNJypWeJhA9M0bXf1f6RxPV46-bZ</t>
  </si>
  <si>
    <t>https://drive.google.com/open?id=1ayxqtN186LYJvkXWOH2dEW5KZN1grFbd</t>
  </si>
  <si>
    <t>https://drive.google.com/open?id=1_YFJhOM_bLb-iHgk5VNZGJ9-_LhFkx5l</t>
  </si>
  <si>
    <t>https://drive.google.com/open?id=1MyMX9ezOJBR1JJ0QQEIMyVSaYGuZ1kYt</t>
  </si>
  <si>
    <t>https://drive.google.com/open?id=1sKwwZpDvMu8_OH9BIrMkGRZXDxFptnpa</t>
  </si>
  <si>
    <t>https://drive.google.com/open?id=1OF5LjlW7jXKfQu5IQtUUdhSN3IjmK-uF</t>
  </si>
  <si>
    <t>https://drive.google.com/open?id=1Jizn_qGkwrj702x05WDW96nIWmd05fQA</t>
  </si>
  <si>
    <t>https://drive.google.com/open?id=1G_ldfg7QuNPY0NeWj3sxlnSCNY3XSa1t</t>
  </si>
  <si>
    <t>https://drive.google.com/open?id=1BNQ9U9V68CFLeO8ZVfVejBC6RcBx_3WA</t>
  </si>
  <si>
    <t>Ma'ruf Susilo Yuwono</t>
  </si>
  <si>
    <t>https://drive.google.com/open?id=10OX6ncJ_OUrZH3fCIAXZbXSZ3BuL4deD</t>
  </si>
  <si>
    <t>https://drive.google.com/open?id=1qvY6NTJ3acPGaXCpW2bWv7L5VWdOdFnQ</t>
  </si>
  <si>
    <t>https://drive.google.com/open?id=1fMM11ADl9ek1XX1xU6deMq1Kv10X_4hf</t>
  </si>
  <si>
    <t>https://drive.google.com/open?id=1q4vi7YTMa_orIoEoqg4udQp-6XVRIbXt</t>
  </si>
  <si>
    <t>https://drive.google.com/open?id=1thXO5ekbwUInVCYtlHGLMp4imO2h5sPq</t>
  </si>
  <si>
    <t>https://drive.google.com/open?id=17xDRSnXXNvdBrkL0Uqqjq63DzvvI-OjU</t>
  </si>
  <si>
    <t>https://drive.google.com/open?id=1DN27a1AmDeMR-bCH9z6OMp59VOyUO05U</t>
  </si>
  <si>
    <t>https://drive.google.com/open?id=1NbiMwSD9kZmXhOwXzhXOm_ueg5G_p1lX</t>
  </si>
  <si>
    <t>https://drive.google.com/open?id=1blEdR9k9V1xx7dVDDTpGM4Lu3SU8vrj7</t>
  </si>
  <si>
    <t>https://drive.google.com/open?id=1m00iQVGbB1-SStQDMzPjc7L54wyCq15D</t>
  </si>
  <si>
    <t>https://drive.google.com/open?id=11ZqvPVHiY4cgf8vsC_88isXZCsklzImR</t>
  </si>
  <si>
    <t>https://drive.google.com/open?id=1Hfomvwa8g-A82B20voi9Zj9wE3BWRNRw</t>
  </si>
  <si>
    <t>https://drive.google.com/open?id=1FcE5nK4IlOlpZbLd1bWfR3fpbsxkJ1-R</t>
  </si>
  <si>
    <t>https://drive.google.com/open?id=1QKBnmi37BQAnj7eRCaRgwmxIoiK-zdGA</t>
  </si>
  <si>
    <t>https://drive.google.com/open?id=1tV9jLogC62J_K_yp1cnBuJeXhXYVILBG</t>
  </si>
  <si>
    <t>https://drive.google.com/open?id=1j6nx_jhr8BTo002fu3kLzNUOktHs8HNG</t>
  </si>
  <si>
    <t>https://drive.google.com/open?id=1BGONNKz0ixA0NwlaTDoefDUFeOpsbCyN</t>
  </si>
  <si>
    <t>https://drive.google.com/open?id=10JbPe6up0ubqtST7r_QlVgWKxti-4NLq</t>
  </si>
  <si>
    <t>Moh.Saiful Hidayah Brotowiyono</t>
  </si>
  <si>
    <t>https://drive.google.com/open?id=1T6mrwawFsBFZam0eeFeQ1S7NDXFvpUEg</t>
  </si>
  <si>
    <t>https://drive.google.com/open?id=1LVqu_cywWgIyhFJWuFPoYrGc_OyekY0o</t>
  </si>
  <si>
    <t>https://drive.google.com/open?id=1yu3VIPxyL_oFCTAGz5o-0-Usreyvl03o</t>
  </si>
  <si>
    <t>https://drive.google.com/open?id=1x34jtF16Zv5rWQyPjlpUuSHLy02lQ31W</t>
  </si>
  <si>
    <t>https://drive.google.com/open?id=144yP2YOVD85NkgfIgFiG5qmrfsaMaqck</t>
  </si>
  <si>
    <t>https://drive.google.com/open?id=1cJfsRlfZ1ZhgoFPCTYMLZBcFOwfJ_qeQ</t>
  </si>
  <si>
    <t>https://drive.google.com/open?id=1_w-FxegI-612L-BgHp6eXpNPMSyfML4K</t>
  </si>
  <si>
    <t>https://drive.google.com/open?id=1jCVe1JJ2blGLf4-MNaTw4OHSaSXRwB9e</t>
  </si>
  <si>
    <t>https://drive.google.com/open?id=15jDWXZsC7yQvTzpgOBG6axZaUYBV3gHM</t>
  </si>
  <si>
    <t>https://drive.google.com/open?id=1EWndCNwf0zvrMUN3D_3J_V-nfRSh22w2</t>
  </si>
  <si>
    <t>https://drive.google.com/open?id=1IM1r1dUzbC69UvGLbEsmJ4Yp2O973561</t>
  </si>
  <si>
    <t>https://drive.google.com/open?id=1NtsfkM96osnU47tARUOX9dzWKs6--kIn</t>
  </si>
  <si>
    <t>https://drive.google.com/open?id=1eU1WZVkmIS0vJRq6l8eFIG9VY9We1uCS</t>
  </si>
  <si>
    <t>https://drive.google.com/open?id=1YCgHAMKzKyCtOi6JQ5bwD2lZEsJc-iMB</t>
  </si>
  <si>
    <t>https://drive.google.com/open?id=1Iz4yomgUgLhaVNCBShipvTPxwmq31IMg</t>
  </si>
  <si>
    <t>https://drive.google.com/open?id=1f8GcVjooIuCHjqsnNyoNfhnxz2KRwNfc</t>
  </si>
  <si>
    <t>https://drive.google.com/open?id=1CaIltYAccuojxsKUWXo98SrIONm2uzwi</t>
  </si>
  <si>
    <t>https://drive.google.com/open?id=1M-SAOCOO7L8ugwtRN5yF49YXSvTpykJM</t>
  </si>
  <si>
    <t>https://drive.google.com/open?id=16q5oHl7toP1kqa-FW2W60IWfKpuVE_b0</t>
  </si>
  <si>
    <t>https://drive.google.com/open?id=1uQIKrq2KKbxAiYchenvx_L5fW2dsksfM</t>
  </si>
  <si>
    <t>https://drive.google.com/open?id=1brTyWIUWTzYDa6OP9b-p2cMbjB0V3eQ5</t>
  </si>
  <si>
    <t>https://drive.google.com/open?id=1Jxn1mHo6XW7kYa9o7YymCIE6q2gy6b2s</t>
  </si>
  <si>
    <t>https://drive.google.com/open?id=1KKaqLyO4DdksZ8w6FrgHXTwZ6s4sDuZE</t>
  </si>
  <si>
    <t>https://drive.google.com/open?id=1HDoPCPNxuFnGeWlXDIg_9xkEtNeEAbwD</t>
  </si>
  <si>
    <t>https://drive.google.com/open?id=1Ji-2dr_vOH9sZv5zoI_6cjKN-42FUeCO</t>
  </si>
  <si>
    <t>https://drive.google.com/open?id=1KMV3LNspi_xIuKG3pLZjmqE-MaTYDOUM</t>
  </si>
  <si>
    <t>https://drive.google.com/open?id=1-G6HfhuNKSBqJuBn8GHXOfi2ReQzWUDL</t>
  </si>
  <si>
    <t>https://drive.google.com/open?id=1HXeQvudHqjqafDM_Ebm_qt9cSdXsvthv</t>
  </si>
  <si>
    <t>https://drive.google.com/open?id=185PZwo-i0l04XxIfNBtTjyV-cuoQ4MyE</t>
  </si>
  <si>
    <t>https://drive.google.com/open?id=1pQ26jeJ9H54RHSQV9AirqUWTA0toR7ou</t>
  </si>
  <si>
    <t>https://drive.google.com/open?id=19SrQ0mE6-FsF-aWuFZu0YS3W92ozUery</t>
  </si>
  <si>
    <t>https://drive.google.com/open?id=1p5F1klLZRx80GIJPCMV1n4SnqB9VANtS</t>
  </si>
  <si>
    <t>https://drive.google.com/open?id=1BsAKcmidae4cFfDctltwUM-S5nGNkyeH</t>
  </si>
  <si>
    <t>https://drive.google.com/open?id=1M5pqEo05y8DSk42sqT1qzyso2ajiisrE</t>
  </si>
  <si>
    <t>https://drive.google.com/open?id=11ULnFKjuLBhve0chx1Yh5YDfwOEgl3EK</t>
  </si>
  <si>
    <t>https://drive.google.com/open?id=1JvEVoHYbj_ITRLlbkLKY58tV5Y65IZBX</t>
  </si>
  <si>
    <t>https://drive.google.com/open?id=14mT_EjaO_GMzYfRu8rfLliqbQFo6PQDc</t>
  </si>
  <si>
    <t>https://drive.google.com/open?id=15Nmh2rCWgf07WbA84xcbFPJjPYtn_DcJ</t>
  </si>
  <si>
    <t>https://drive.google.com/open?id=1QPVlKAfQ0MzYqaLzT07kWxP86lPE9LVE</t>
  </si>
  <si>
    <t>https://drive.google.com/open?id=1yC40QA63vffSiMfRo-9HKlRZxjt0gt89</t>
  </si>
  <si>
    <t>https://drive.google.com/open?id=1ImeBx-hbAVss5Sif38niOiPKKB-teHF4</t>
  </si>
  <si>
    <t>https://drive.google.com/open?id=110udLA3nQgcVg_GnycuyOrJD5SOGURAm</t>
  </si>
  <si>
    <t>https://drive.google.com/open?id=1Le3OoYmvvLXARQ5Se2PAV64dBbbLrgCA</t>
  </si>
  <si>
    <t>https://drive.google.com/open?id=1qzsxqBI3qxiOnmgCCvSB4ORp72ZroGlW</t>
  </si>
  <si>
    <t>https://drive.google.com/open?id=1uZC3rFtrF-x60z6Aqg_PmD-O3cSrDbhq</t>
  </si>
  <si>
    <t>https://drive.google.com/open?id=1PcOnSR4Ebh6EeNVGhYzPY02o0PVbTLHD</t>
  </si>
  <si>
    <t>https://drive.google.com/open?id=1-MzO_KF2p6i98kaBcSV6AHXKY-7GHfPe</t>
  </si>
  <si>
    <t>https://drive.google.com/open?id=1bcQO58wwrtyhhoBGnzC7KmSoP5ietDED</t>
  </si>
  <si>
    <t>https://drive.google.com/open?id=1wBB-amH4ZkEkMnv_gIN1GOVnFE8zOCHc</t>
  </si>
  <si>
    <t>https://drive.google.com/open?id=1CQVSfe9M0o23G_gpzfej4OG2Al_ui13E</t>
  </si>
  <si>
    <t>https://drive.google.com/open?id=1a5CBGqzHcAMGj1G9amMLFu8HZ8PGTzX0</t>
  </si>
  <si>
    <t>https://drive.google.com/open?id=1yY4yxAcirlHC7LywR1Ww-gBEsW5Te4DQ</t>
  </si>
  <si>
    <t>https://drive.google.com/open?id=13p4gMeMN_UsqoV6NwpFz9DaTGECcTAbT</t>
  </si>
  <si>
    <t>Yudia Hasibuan</t>
  </si>
  <si>
    <t>https://drive.google.com/open?id=16uodOZ3jDEFkqy3phYfASUpR97H_pAlV</t>
  </si>
  <si>
    <t>https://drive.google.com/open?id=1ncrdsYESN2Buax0jeEvN05Or5YzOFf5N</t>
  </si>
  <si>
    <t>https://drive.google.com/open?id=1hTpgs1toYB4UDJBTX5kiqaEXb9jFn9iN</t>
  </si>
  <si>
    <t>https://drive.google.com/open?id=1PAZnuKtwItoydgsxf7WpKWOgbSQPJcSc</t>
  </si>
  <si>
    <t>https://drive.google.com/open?id=1ch9z3VaLNWIwnykJHMZJ_gmBoftwW4lm</t>
  </si>
  <si>
    <t>https://drive.google.com/open?id=17L8pCXsa-pABsS_1kgJmKvblFZBISGeC</t>
  </si>
  <si>
    <t>https://drive.google.com/open?id=1e16FYK3Ud3paK09eLOnVUXTXMan5j1yw</t>
  </si>
  <si>
    <t>https://drive.google.com/open?id=1opuW5Sfi_ZikKdy9JKE2KcGOIs7sXuDClNJZsFbslXM</t>
  </si>
  <si>
    <t>https://drive.google.com/open?id=1-aOZc12_O6I2o2jc-_wpNST1g2ewTSKN</t>
  </si>
  <si>
    <t>https://drive.google.com/open?id=1z0IhH4CNesUvJo6Rlkhc5u9uVCAhy9w1</t>
  </si>
  <si>
    <t>https://drive.google.com/open?id=1qRqKcVo58Rl3FQHfFDRakhxwwy8Qk_lH</t>
  </si>
  <si>
    <t>https://drive.google.com/open?id=1_W2aC63vUTJPEiSyfRomA85DRh26nrV6</t>
  </si>
  <si>
    <t>Lydia Mirna Wening Handayani</t>
  </si>
  <si>
    <t>https://drive.google.com/open?id=1e5_KOyEMKfU8sh0Q_TmoeYnFklh6xSd4</t>
  </si>
  <si>
    <t>https://drive.google.com/open?id=1wgbj2ry6R7GYxd0pRa3vpf6YDrNHkmr2</t>
  </si>
  <si>
    <t>https://drive.google.com/open?id=1v3MJhM_cjIV_vuVpqWrS4cgfZphTKy3I</t>
  </si>
  <si>
    <t>https://drive.google.com/open?id=1EgUKkHVcIEj5IUZCdX6PWrBCf8L1pM7K</t>
  </si>
  <si>
    <t>https://drive.google.com/open?id=17gVWXP1oSXlM71xg3bnlz4-sqWgLoABT</t>
  </si>
  <si>
    <t>https://drive.google.com/open?id=1WhJ9UTttVwjKi3Lmyn2r8IivIh4ihvvY</t>
  </si>
  <si>
    <t>https://drive.google.com/open?id=1jaIS6GJStYn1ERLb76VXmnH0RebhmKSd</t>
  </si>
  <si>
    <t>https://drive.google.com/open?id=1Jgvsf3DCckg6QAWQgDaTye95wB-MdSHh</t>
  </si>
  <si>
    <t>https://drive.google.com/open?id=1HOap5AJz99oztkmix_DoT2NOKOAdWZQf</t>
  </si>
  <si>
    <t>https://drive.google.com/open?id=1LFUiBMNkApyySecZoOJKHH-wqoKS5fTa</t>
  </si>
  <si>
    <t>https://drive.google.com/open?id=1vrOFRfiDLZcppuipoLKRVwV8GpOCWfih</t>
  </si>
  <si>
    <t>https://drive.google.com/open?id=1bMRCHdWJALZ2GeK5wyONrk32wmJ4jaut</t>
  </si>
  <si>
    <t>https://drive.google.com/open?id=1adahroTob-Qr3ZL0PPvJL0kFGW2eeNCG</t>
  </si>
  <si>
    <t>https://drive.google.com/open?id=1TFhQUjsZW7QnFWwEGynXPs4uW1O_J1HE</t>
  </si>
  <si>
    <t>https://drive.google.com/open?id=1JX74ctgmQkVCtDufjzN0y2PC74xPNZut</t>
  </si>
  <si>
    <t>https://drive.google.com/open?id=1MEjrIvCLL4CVDRiEQNCL7A6tYplaW1cI</t>
  </si>
  <si>
    <t>https://drive.google.com/open?id=1BYqP0jmu6yrRiSeehlw-jasOd7t9JgbK</t>
  </si>
  <si>
    <t>https://drive.google.com/open?id=1U_TrwyLxHu6Wk9yvBZzOiy_SRI-M_etP</t>
  </si>
  <si>
    <t>https://drive.google.com/open?id=1GaFFMM9Se5gAusMRHd1OKb_B-D_N3LLB</t>
  </si>
  <si>
    <t>https://drive.google.com/open?id=1cMBB48PP4iR-_VmMpJpFijWU3l-vKyiV</t>
  </si>
  <si>
    <t>https://drive.google.com/open?id=13mA5-5K5p988MWCs0Ju22NukT1pvcwBZ</t>
  </si>
  <si>
    <t>https://drive.google.com/open?id=1nBY6N-UhBFjNdhjAZlhFkM5UFlMQd_rE</t>
  </si>
  <si>
    <t>https://drive.google.com/open?id=1nnT-c22Cl7UQau7xTCxF-CzUcm_JuCqp</t>
  </si>
  <si>
    <t>https://drive.google.com/open?id=1v-P0i5l43DTq9lo5p8xIk9Ub7Pyq9Ja7</t>
  </si>
  <si>
    <t>https://drive.google.com/open?id=1kmgUUXrBBslG9MK8T3sOl-edvMJ3UI5i</t>
  </si>
  <si>
    <t>https://drive.google.com/open?id=1dqM-hnsYh4JnP6DBXiCVNOnNNxxcgZ4v</t>
  </si>
  <si>
    <t>https://drive.google.com/open?id=16iyrxX738uaWYijdS_O92dxD_DgGp3Sc</t>
  </si>
  <si>
    <t>https://drive.google.com/open?id=18G9a1gJObE83VvCYprN9jSHxQ_xTTPaY</t>
  </si>
  <si>
    <t>https://drive.google.com/open?id=19V50qqTl9btFRk2tkN6C5PnZECOQcA82</t>
  </si>
  <si>
    <t>https://drive.google.com/open?id=1S1O4rVxYC-KbzC4pM8HYFAzv0ACQbNk5</t>
  </si>
  <si>
    <t>https://drive.google.com/open?id=1QBkDf1MmOJhueZCfkF9gYRPsbjj2jEVO</t>
  </si>
  <si>
    <t>https://drive.google.com/open?id=16T7CEKkTdZUHyRhrSlpDbjXL8TQT_DF5</t>
  </si>
  <si>
    <t>https://drive.google.com/open?id=1uHkriPVQFeHewN6VDCR3XAmlqO9vxNCz</t>
  </si>
  <si>
    <t>https://drive.google.com/open?id=1BB3s3Qw03S7aNHwJLLKbzGUHNXsyp_QM</t>
  </si>
  <si>
    <t>https://drive.google.com/open?id=1dh8EkDhl3HLUcY3VpvQj-mWs4xeE3Nr1</t>
  </si>
  <si>
    <t>https://drive.google.com/open?id=1kC36vdEMK4k01rCSzpUkVCTf880XtnXL</t>
  </si>
  <si>
    <t>https://drive.google.com/open?id=1Aw_qxwzfoHfK4ClafjUcJkXVpWhWzc2h</t>
  </si>
  <si>
    <t>https://drive.google.com/open?id=1xk36IEKmyUpNEjyqtgWa311O-_ApJzSy</t>
  </si>
  <si>
    <t>https://drive.google.com/open?id=1OJQTZXZNZuW9ymEw-3_PkKZRJOB8-dFw</t>
  </si>
  <si>
    <t>https://drive.google.com/open?id=1dOiOdAFNWfwg9k-Hbf39nIla4MbOIxrn</t>
  </si>
  <si>
    <t>https://drive.google.com/open?id=1Dw_81hrXAEY_lxQCarXTiggxhIps1PWI</t>
  </si>
  <si>
    <t>https://drive.google.com/open?id=1M1tY3JOoHd8HpMXTuVY0LNVWiN8ajCqJ</t>
  </si>
  <si>
    <t>https://drive.google.com/open?id=1nSMAUnOQ_N944Q7yYNmoyF4ojt9YXkDY</t>
  </si>
  <si>
    <t>https://drive.google.com/open?id=1CgWZ9teNqG58OlTY0Lb0fcvE1Fc5vq8E</t>
  </si>
  <si>
    <t>https://drive.google.com/open?id=1ev581HD0YqMm0JXFLuuHpB6QyiufjCDG</t>
  </si>
  <si>
    <t>https://drive.google.com/open?id=1cT9sPitvxXFfGfP9x826yK0-1eVygv1m</t>
  </si>
  <si>
    <t>https://drive.google.com/open?id=1LjMF_MXZ-TYqB55nceNkgje4eTTV35q5</t>
  </si>
  <si>
    <t>https://drive.google.com/open?id=1C4IDqkwJBGZlNiSasY6lRytLVG12_Ccn</t>
  </si>
  <si>
    <t>https://drive.google.com/open?id=1aWE6RGNTz2tm34aYRjt1zWscFnFxE5Bv</t>
  </si>
  <si>
    <t>https://drive.google.com/open?id=1Fo9OENXRxKhtf_BuiHB8G1D6QJ_yT-EV</t>
  </si>
  <si>
    <t>https://drive.google.com/open?id=1YdArliD82mA6W-VpxFu4PkBt91AJ14pR</t>
  </si>
  <si>
    <t>https://drive.google.com/open?id=1cjeXK-KRUcbRrU1RxvfMywnIDP_vv7HB</t>
  </si>
  <si>
    <t>https://drive.google.com/open?id=1reTZepS6q0a5E-oQASG1pHOGJVP_fbu8</t>
  </si>
  <si>
    <t>https://drive.google.com/open?id=19bP0pjsK8_0rKg0R53-FOtpzTAt0O6qO</t>
  </si>
  <si>
    <t>https://drive.google.com/open?id=1oA-6goId2wz7QiiMxP0pbu-_A_UPAz2i</t>
  </si>
  <si>
    <t>https://drive.google.com/open?id=1D7_Y3NUR6Rhvf5B78xjixs8cGwqesOjc</t>
  </si>
  <si>
    <t>https://drive.google.com/open?id=14CBpkF9Ru6ivsoS7KUCA5QBq9fONvxzz</t>
  </si>
  <si>
    <t>https://drive.google.com/open?id=1X2v2U1VcT-bZIdXE9KT-9e-F6Wq1OK_L</t>
  </si>
  <si>
    <t>https://drive.google.com/open?id=1yVOKK-yWzHrcExue7IQZhHg8b79dwGaA</t>
  </si>
  <si>
    <t>https://drive.google.com/open?id=1UidZpl1wX6Pqgp_gUDPq7kG6gweDXT1_</t>
  </si>
  <si>
    <t>https://drive.google.com/open?id=1p7QatSI7gDP1cvbw5TUjwTCsOzKY5G-r</t>
  </si>
  <si>
    <t>https://drive.google.com/open?id=12mV1gDeo-dIX21BTT7RDJIQLzRQxGJYC</t>
  </si>
  <si>
    <t>https://drive.google.com/open?id=11GmEAFDSkec4lBq5N8xhpyzS8uBERxZa</t>
  </si>
  <si>
    <t>https://drive.google.com/open?id=1eryyEvaKBt93vb9Rpu1K2kP4RysuyzgW</t>
  </si>
  <si>
    <t>https://drive.google.com/open?id=1UfwtRPmp-lyV788OdcY1divZLxo-rJ-4</t>
  </si>
  <si>
    <t>https://drive.google.com/open?id=13us5Z5t0mQS4RTP2h6AbaZW78cvNO91e</t>
  </si>
  <si>
    <t>https://drive.google.com/open?id=1SpTtTkcbfH2CDGgPAfOaUko03jG4FQa8</t>
  </si>
  <si>
    <t>https://drive.google.com/open?id=14mhB2LgD5ouRa-MySy6NX-j5b3DmMtvf</t>
  </si>
  <si>
    <t>https://drive.google.com/open?id=1yf_iP2H6M208BxJgguK2-CsuQVdCYP6T</t>
  </si>
  <si>
    <t>https://drive.google.com/open?id=1pjJhWrMnABZqbmjqFw0XS8oNoCB40A7I</t>
  </si>
  <si>
    <t>https://drive.google.com/open?id=12BNumiB_lo9icliLYHamzxzu12-iGxH4</t>
  </si>
  <si>
    <t>https://drive.google.com/open?id=1hBXY60SVl1jr4toiYqVVeIWCmjDasIc8</t>
  </si>
  <si>
    <t>https://drive.google.com/open?id=1ZrTSzZ5fCNqYrbieWIixbPSCZK3jK7GT</t>
  </si>
  <si>
    <t>https://drive.google.com/open?id=1eBrec2KZ6N1qupVvni_os5W1jeFpnahm</t>
  </si>
  <si>
    <t>https://drive.google.com/open?id=1ILEsZ9CBSCwCP8WnXTGbU6ojrEgwdSLY</t>
  </si>
  <si>
    <t>https://drive.google.com/open?id=1c83xN-X_TzZfbVx9_A7bdmayxZLSFNc4</t>
  </si>
  <si>
    <t>https://drive.google.com/open?id=1nwufKc0Db-IyRAJX1AruUCIR7rXTQa8t</t>
  </si>
  <si>
    <t>https://drive.google.com/open?id=10MBEMqtGr9pwsq-jc5MdC-dxnag1qm6M</t>
  </si>
  <si>
    <t>https://drive.google.com/open?id=1vG7q3X0Ik3owXV5PGAPraT9V5UH97ywD</t>
  </si>
  <si>
    <t>https://drive.google.com/open?id=1-vhPN_-0vhWE1mv3JAmRPATBUrh0WkVC</t>
  </si>
  <si>
    <t>https://drive.google.com/open?id=151sQ3t2tXdn3_13wh0xQKc3ijEZuznQD</t>
  </si>
  <si>
    <t>https://drive.google.com/open?id=1_pwZEpNGwtpdsbB2f0Bo-ZHJQtsu5oDj</t>
  </si>
  <si>
    <t>https://drive.google.com/open?id=1IryQRAEHcbR2k7-qfDCBd8nAwH73u6Jn</t>
  </si>
  <si>
    <t>https://drive.google.com/open?id=11jpUQFDd7DdqxN-mx9oSzM2n-5ahvGpn</t>
  </si>
  <si>
    <t>https://drive.google.com/open?id=1EQ4q9qF56g9wXlfDq_1lBj_aCzn6o5yG</t>
  </si>
  <si>
    <t>https://drive.google.com/open?id=173LagAA-wZpUD3skzrkmeisE5lsUzJJ8</t>
  </si>
  <si>
    <t>https://drive.google.com/open?id=1v1LquQcV_VraO77ovxwTzOk4UTjihmnI</t>
  </si>
  <si>
    <t>https://drive.google.com/open?id=1Me4ypUbmhduwG4yhV_l9pD71NbP_5OIo</t>
  </si>
  <si>
    <t>https://drive.google.com/open?id=19HHWp-zwNxnl4Z1DwYKhJFTOfx5ZAmMh</t>
  </si>
  <si>
    <t>https://drive.google.com/open?id=1USzJbV4hebViC8XChJcaN1q-1awo7tp3</t>
  </si>
  <si>
    <t>https://drive.google.com/open?id=1jprWLsTeiMf0869hw3XF7clxfuaSFG19</t>
  </si>
  <si>
    <t>https://drive.google.com/open?id=1TNKhyGWwHBKOnKv6KEFAk_DcfbKMsRuL</t>
  </si>
  <si>
    <t>https://drive.google.com/open?id=1FIoVwJQhQcXViliClxPLB37PxUgnh8dz</t>
  </si>
  <si>
    <t>https://drive.google.com/open?id=1XQrtlEIPwhKf7eO-0X9P5_ogyMaYapDd</t>
  </si>
  <si>
    <t>https://drive.google.com/open?id=1-nwbUUk14M0-CBz2TVsRmfxrK9e51wun</t>
  </si>
  <si>
    <t>https://drive.google.com/open?id=16x66tPAceamYuS3TE4_IFD2PUt_m2buT</t>
  </si>
  <si>
    <t>https://drive.google.com/open?id=1zpgllUgz8nYLIJSzf_nJd3nFUt76aoXL</t>
  </si>
  <si>
    <t>https://drive.google.com/open?id=1Oj8X5qp2YSoP9HOPZ4miCKDQ_jAVdO12</t>
  </si>
  <si>
    <t>https://drive.google.com/open?id=13r2N8dBcXW-U8zUL2mjKCc6mbJKE4zu7</t>
  </si>
  <si>
    <t>https://drive.google.com/open?id=1heDc29AhRbX1FYlNoXi9cmqIN63HTPrr</t>
  </si>
  <si>
    <t>https://drive.google.com/open?id=1ycgGPWO_qzVHcmh2yz90x2W-t4vfksgt</t>
  </si>
  <si>
    <t>https://drive.google.com/open?id=1SjGxse9i-Y_4XH6PMqYKVWx5-9IsoLhr</t>
  </si>
  <si>
    <t>https://drive.google.com/open?id=1nZsOAXhEUciVnOwoEGUVSusL3wWbYtG2</t>
  </si>
  <si>
    <t>https://drive.google.com/open?id=1rhv6WUCxzw-iDXzEJrlTUXejVdGfZz2p</t>
  </si>
  <si>
    <t>https://drive.google.com/open?id=1Q4dQaX560qpHfcNrpeWcwWm6K6KnEVkk</t>
  </si>
  <si>
    <t>https://drive.google.com/open?id=1iPrZCtPGn1ttTZGsgcc2mubImvZoCjCS</t>
  </si>
  <si>
    <t>https://drive.google.com/open?id=1siYZNVXgug6D1mlZ1B5KY15D7bOpjfn-</t>
  </si>
  <si>
    <t>https://drive.google.com/open?id=1kxjL7Xv0D592wWbuYec6g9c9jEq8dWai</t>
  </si>
  <si>
    <t>https://drive.google.com/open?id=1TIfHiMFJSLjIVWbDPEQWXXfoE-qm0MGd</t>
  </si>
  <si>
    <t>https://drive.google.com/open?id=1VeseGM3jD06qhFpG8t6SkWkrkgwbDNWm</t>
  </si>
  <si>
    <t>https://drive.google.com/open?id=1_8HD2_omKpPZEpLUCVsACH2-Q7dtMZi6</t>
  </si>
  <si>
    <t>https://drive.google.com/open?id=1VR4GrUWC6LZ9lly1CKRmb3iAUBssG4GX</t>
  </si>
  <si>
    <t>https://drive.google.com/open?id=1zJsgWcyoiDOxJAvAfJgEu5gxacWnBCBZ</t>
  </si>
  <si>
    <t>https://drive.google.com/open?id=1kBHavmp-sHB0ZM-bk_3HHN9tsMOkrQMP</t>
  </si>
  <si>
    <t>https://drive.google.com/open?id=1Q_JZqFeNcZ8x99D0386QPaUmhfjd6r7N</t>
  </si>
  <si>
    <t>https://drive.google.com/open?id=1IGp7cxlWstK3ovzW6zupj4Qe_VCWe4yu</t>
  </si>
  <si>
    <t>https://drive.google.com/open?id=124VAxqYhPg46nb8O9mGHtWSr5b1JHsda</t>
  </si>
  <si>
    <t>https://drive.google.com/open?id=1u3EKxYSizCpiL7xY7oJU63b8Gwe62WLK</t>
  </si>
  <si>
    <t>https://drive.google.com/open?id=1GEwamwj6PVOMLV5bZSZgttv0CkPg63Nf</t>
  </si>
  <si>
    <t>https://drive.google.com/open?id=1WEerzeH08ZrG-KEE9cuifBICe-Udiff1</t>
  </si>
  <si>
    <t>https://drive.google.com/open?id=19vgNsCLNLQ-INOWXPOy7HlcmPk0R-H_Z</t>
  </si>
  <si>
    <t>https://drive.google.com/open?id=1HqiA-qpPsLxe3XOjn3WGKdmz57So8mLf</t>
  </si>
  <si>
    <t>https://drive.google.com/open?id=1E1qHj1GwcgbnXRgf0ZmkvMAaVXMiLJCX</t>
  </si>
  <si>
    <t>https://drive.google.com/open?id=1P2Yzr0zjjX3m1qtE-8Kf96bH6BfgH8IQ</t>
  </si>
  <si>
    <t>https://drive.google.com/open?id=1BYR5mvUs7Ledaw8NPDe7S-MIMjuH5hXq</t>
  </si>
  <si>
    <t>https://drive.google.com/open?id=1QmcdKxjliLk0VloZDeSxWDfjkYUJZVWZ</t>
  </si>
  <si>
    <t>https://drive.google.com/open?id=1BnCkbm0fvERzwcx0LWlz3aepLj8RcpiH</t>
  </si>
  <si>
    <t>https://drive.google.com/open?id=17T90ypNan-Cto-I3ZWMtLQcxBPT7eYau</t>
  </si>
  <si>
    <t>https://drive.google.com/open?id=1CUdH1CYlzWg-Bycy37M3K9VYuzbokfEs</t>
  </si>
  <si>
    <t>https://drive.google.com/open?id=1ZWR4qAjWmBehGMdaaaYMkxrXRPQhUOpX</t>
  </si>
  <si>
    <t>https://drive.google.com/open?id=13U3yexyjdu_WMQdjfpJh5iv87vHe_0Al</t>
  </si>
  <si>
    <t>https://drive.google.com/open?id=1Hji2dTPMY2xtOZ10FpJL2O--LIXnLwM_</t>
  </si>
  <si>
    <t>https://drive.google.com/open?id=18YhioX0kFwwbTUzSb_WvdniRS9XYAFAx</t>
  </si>
  <si>
    <t>https://drive.google.com/open?id=1Ms0hdKnO99mF4-MxpA10ec9w_pBgZ8lG</t>
  </si>
  <si>
    <t>https://drive.google.com/open?id=14IDy07cODoOcl0mpFFz7Qka9Ev0g7M3b</t>
  </si>
  <si>
    <t>https://drive.google.com/open?id=1Qh-RL0aSzeWjuE_a7ZdYr87IIpxyVghY</t>
  </si>
  <si>
    <t>https://drive.google.com/open?id=1GPaBXVMi3ii5PZziC38xj5H4vl_FVSWV</t>
  </si>
  <si>
    <t>https://drive.google.com/open?id=1LLWkTj25B-a2RUJNEn5RT_dwJxA7tpNc</t>
  </si>
  <si>
    <t>https://drive.google.com/open?id=1fOoadtmOHex1-KkbSLc8lW-pcIwafnUI</t>
  </si>
  <si>
    <t>https://drive.google.com/open?id=1PtMbdAe9SrAHqEzh0OHOuegq-ufVrL5d</t>
  </si>
  <si>
    <t>https://drive.google.com/open?id=1HzUDu7k4wZ0XKzO7oSZUMws6RbDHjfWX</t>
  </si>
  <si>
    <t>https://drive.google.com/open?id=1lkgpASpOK4isjxpEj-gUEn_KQ3rNsZTN</t>
  </si>
  <si>
    <t>https://drive.google.com/open?id=118smvradQ_hurENcqLOWJI5zcMjA2P_H</t>
  </si>
  <si>
    <t>https://drive.google.com/open?id=1VSUKP6sP8OGhye7GpansVkYVH3xf6TZz</t>
  </si>
  <si>
    <t>https://drive.google.com/open?id=1AqHmVOKgCqYZxQ89rnz0gneDXpz14eRT</t>
  </si>
  <si>
    <t>https://drive.google.com/open?id=1WuOxmCbJKhEHfM3JTBLDB81GvTxfHzgn</t>
  </si>
  <si>
    <t>https://drive.google.com/open?id=1xdU6LluaNweXVa2w5yLg2t3m-T27tMtS</t>
  </si>
  <si>
    <t>https://drive.google.com/open?id=1SxLMcRtTeO798fCeSiSDjxV1GLCw02hO</t>
  </si>
  <si>
    <t>https://drive.google.com/open?id=1Lza4j_U3hyDqlNb1tGB1KJakTJn2hd4S</t>
  </si>
  <si>
    <t>https://drive.google.com/open?id=1z5ZUD1dCtxSrcfYCo3IuiwfSBE9j6gXO</t>
  </si>
  <si>
    <t>https://drive.google.com/open?id=1atXYksQIgZl9J1wW5QAGnDUJfVticiqy</t>
  </si>
  <si>
    <t>https://drive.google.com/open?id=1BoJbax79WvKfAQjDfCA04kXLYgxRrtqZ</t>
  </si>
  <si>
    <t>https://drive.google.com/open?id=1U2And2EBKjPSi1kkI7Zqb5qFTGn5Z55D</t>
  </si>
  <si>
    <t>https://drive.google.com/open?id=1NpGITcRqa8iyux5ArvYx4TRHlb4Zk82y</t>
  </si>
  <si>
    <t>https://drive.google.com/open?id=1N5J82VE4HoUlwYtn5pIxaQ5l2cZWAfYY</t>
  </si>
  <si>
    <t>https://drive.google.com/open?id=1xjuHk-pWveplUZlT--jmaeE4stqMcSKW</t>
  </si>
  <si>
    <t>https://drive.google.com/open?id=13Qm4HvUwu6_45I8LswFp2T8U2GN16fMW</t>
  </si>
  <si>
    <t>https://drive.google.com/open?id=1cuI6JC0itL4AHl5-GBCzLfiCcZalgsZK</t>
  </si>
  <si>
    <t>https://drive.google.com/open?id=1mInkIgZVfedB6qUlzqOEfuL-fg-jXX-P</t>
  </si>
  <si>
    <t>https://drive.google.com/open?id=1SaXHvQ9SlqyF7jYkIToY67zq41nhv1Ny</t>
  </si>
  <si>
    <t>https://drive.google.com/open?id=1lXvCKeSS02rlAqT9YUp4Zim7PqcjzBsW</t>
  </si>
  <si>
    <t>https://drive.google.com/open?id=1oW7H_ayfijd_uz5DG2Y0mqGr735Pfip3</t>
  </si>
  <si>
    <t>https://drive.google.com/open?id=1DZSMi_vJMQupq37_fgBNYdN3rAIYKQfG</t>
  </si>
  <si>
    <t>https://drive.google.com/open?id=1-tFWyyJ1arRU2rDk-HYGjcDkLvLsmCyL</t>
  </si>
  <si>
    <t>https://drive.google.com/open?id=1KNOJkG5pat3mSU_db9jJgZkL3Arj1-rg</t>
  </si>
  <si>
    <t>https://drive.google.com/open?id=1IViiWQMqkjKSOA-q7UJzwia7J4mZBI4a</t>
  </si>
  <si>
    <t>https://drive.google.com/open?id=165lmQBKM20fBNHbzQKSv_89Ir_jDQGmy</t>
  </si>
  <si>
    <t>https://drive.google.com/open?id=1OpNtxOCMuJL03S9C9wwB1c28LcUhgA4u</t>
  </si>
  <si>
    <t>https://drive.google.com/open?id=10fPpTeGg0_x-0ax3aVRRkX6Rr-a4fyDb</t>
  </si>
  <si>
    <t>https://drive.google.com/open?id=16EV9PP2C9MwFc66crsIZ8I5aBTj9mJCX</t>
  </si>
  <si>
    <t>https://drive.google.com/open?id=1fwlGyBGNtrfvbAQi3fQT0qrnXRkABYRm</t>
  </si>
  <si>
    <t>https://drive.google.com/open?id=1HiaTVHpVjiG3StQsNBAkTpYXkpbmmzNE</t>
  </si>
  <si>
    <t>https://drive.google.com/open?id=1WIzqr5-vyLOJpSoiyD0jYJd1EoHLPuFo</t>
  </si>
  <si>
    <t>https://drive.google.com/open?id=1vwqA1vq7ij2_U9ywFwGw67NCDsP_X0Be</t>
  </si>
  <si>
    <t>https://drive.google.com/open?id=1OwcxKiV5gbQsTwEDFpWUt7KWdPf2FCBe</t>
  </si>
  <si>
    <t>https://drive.google.com/open?id=1_qa7OjTsBsdPrrnlHRpKYWtbQm4QApt8</t>
  </si>
  <si>
    <t>https://drive.google.com/open?id=1UvFmJ3aVd3Zgeu0UrqXysHOhRvz4y8sK</t>
  </si>
  <si>
    <t>https://drive.google.com/open?id=1XIU05p5moTyGmPpSrcrFS_geq01QrJNo</t>
  </si>
  <si>
    <t>https://drive.google.com/open?id=1sqthTsk3lOV5xc53QlJBbcV68vp8u6B9</t>
  </si>
  <si>
    <t>https://drive.google.com/open?id=1TaaB0HNnPGScTI9y3k1E4PLP1Q4rzgXV</t>
  </si>
  <si>
    <t>https://drive.google.com/open?id=1z6cFIXNlrkK0G8pizcdIJwTMxYU_dk6j</t>
  </si>
  <si>
    <t>https://drive.google.com/open?id=1O9ScgbMAzaL9__lWVJXOYkLxfp2a-55K</t>
  </si>
  <si>
    <t>https://drive.google.com/open?id=1BeFE1EmBLFewVUTPoYbRtvWBgf2v34mh</t>
  </si>
  <si>
    <t>https://drive.google.com/open?id=1GWVmvGemYp7tdhdt3-K7_Md5GpTVlWzj</t>
  </si>
  <si>
    <t>https://drive.google.com/open?id=1BS5p8-lHfQOM__rl1IcLf428e4Aepziv</t>
  </si>
  <si>
    <t>https://drive.google.com/open?id=1wg_5l9pJvW07_nZEZYwqRhrG9dePxTw4</t>
  </si>
  <si>
    <t>https://drive.google.com/open?id=1E30S3PlKpaswkTquqedcN2hvR_1_ijOZ</t>
  </si>
  <si>
    <t>https://drive.google.com/open?id=1IYZYedXDVcllI29a__-oCg0YiaOV2zWs</t>
  </si>
  <si>
    <t>https://drive.google.com/open?id=1zUAKbjeJU9QE8XY10pC4S9bXjgjHqXsM</t>
  </si>
  <si>
    <t>https://drive.google.com/open?id=1wEVcd_9QNiFC7Tz6H8VZzVELbej6v9RC</t>
  </si>
  <si>
    <t>https://drive.google.com/open?id=1RZrj7J_90wALRlpOAsVxGSL3rbwjjIop</t>
  </si>
  <si>
    <t>https://drive.google.com/open?id=11TRTkZh1ZKHu0zwgRf2lLFcdMV0AvAEQ</t>
  </si>
  <si>
    <t>https://drive.google.com/open?id=1NtfWe0nejgTrXmK4ShmBRCKyBT39OSsx</t>
  </si>
  <si>
    <t>https://drive.google.com/open?id=1sOXBgQWMfEtPRvgYP2oxaw34LEMEkqrN</t>
  </si>
  <si>
    <t>https://drive.google.com/open?id=1EEbBOm1H6pv0BIyvJeVWJYq2dmkru_Qb</t>
  </si>
  <si>
    <t>https://drive.google.com/open?id=1pKHguqDoyMZ1hAW0fb3JxOABwHBjcBpB</t>
  </si>
  <si>
    <t>https://drive.google.com/open?id=1s-XBTWQGglynePfK4o51eeHTmiX5sGAO</t>
  </si>
  <si>
    <t>https://drive.google.com/open?id=1OEpC0TK672lFPcruM8IFWFBqbwNPyRGt</t>
  </si>
  <si>
    <t>https://drive.google.com/open?id=1u0gtShmzq-BMPCJJQsV5Ka4htLLaWMoD</t>
  </si>
  <si>
    <t>https://drive.google.com/open?id=11p_AQ5udy6GNgGyExtXwVR7fihFE2skx</t>
  </si>
  <si>
    <t>https://drive.google.com/open?id=1xBasqMQA0isJMJ_zhDcOwX_WvOL2ibKG</t>
  </si>
  <si>
    <t>Ahmad Syahdi Hamid</t>
  </si>
  <si>
    <t>https://drive.google.com/open?id=1dMe_96oco43aerKrHOZJ-7r1tpRa4hur</t>
  </si>
  <si>
    <t>https://drive.google.com/open?id=1nq50HJt16m2EJ0EIbSrlK8RleJKOCwNW</t>
  </si>
  <si>
    <t>https://docs.google.com/forms/d/e/1FAIpQLSeEYwFnViiqk1AbexVe1VDR73UApmeuvfn6Yr2vN8WXjwGu2Q/viewform?edit2=2_ABaOnueSKd-kzOcFA6R4jUnbfDtpCDe86JsxVK3n4FF8zt4KKnL8FRk_PJ8WUeZqa8aDIFc&amp;source=documentstudio&amp;timestamp=1715157834093</t>
  </si>
  <si>
    <t>2_ABaOnueSKd-kzOcFA6R4jUnbfDtpCDe86JsxVK3n4FF8zt4KKnL8FRk_PJ8WUeZqa8aDIFc</t>
  </si>
  <si>
    <t>https://drive.google.com/open?id=1-4Xx1YcTjfP0lcyW843pXvnkw-6zGlv0</t>
  </si>
  <si>
    <t>https://docs.google.com/forms/d/e/1FAIpQLSeEYwFnViiqk1AbexVe1VDR73UApmeuvfn6Yr2vN8WXjwGu2Q/viewform?edit2=2_ABaOnuckTyf2Hnfuh02o49q_VmQBnHx0EbJumv1fjsKum_kywTqkc4tmnvTQ7wHYhp4RhBc&amp;source=documentstudio&amp;timestamp=1715566209355</t>
  </si>
  <si>
    <t>2_ABaOnuckTyf2Hnfuh02o49q_VmQBnHx0EbJumv1fjsKum_kywTqkc4tmnvTQ7wHYhp4RhBc</t>
  </si>
  <si>
    <t>https://drive.google.com/open?id=1EWPYiFbe6eGT9Q28R2Huma67a2gfJ1eQ</t>
  </si>
  <si>
    <t>https://docs.google.com/forms/d/e/1FAIpQLSeEYwFnViiqk1AbexVe1VDR73UApmeuvfn6Yr2vN8WXjwGu2Q/viewform?edit2=2_ABaOnufvDvMB4fEqodsNL2i5_8gXfcEhhtoEfH0C6YPnu8GvEtGgxWfK4u5sVCD5pxHWC3s&amp;source=documentstudio&amp;timestamp=1715566745763</t>
  </si>
  <si>
    <t>2_ABaOnufvDvMB4fEqodsNL2i5_8gXfcEhhtoEfH0C6YPnu8GvEtGgxWfK4u5sVCD5pxHWC3s</t>
  </si>
  <si>
    <t>https://drive.google.com/open?id=1otLQm73PTiDOB7G6eFJqgt6MlVug4Bz2</t>
  </si>
  <si>
    <t>https://docs.google.com/forms/d/e/1FAIpQLSeEYwFnViiqk1AbexVe1VDR73UApmeuvfn6Yr2vN8WXjwGu2Q/viewform?edit2=2_ABaOnufFuUljUfVMlDA9uICkOb6JqE5YnPiYWbkLxOcYIe_ysYIZGwP034XD6_0POHhPzD4&amp;source=documentstudio&amp;timestamp=1715652473302</t>
  </si>
  <si>
    <t>2_ABaOnufFuUljUfVMlDA9uICkOb6JqE5YnPiYWbkLxOcYIe_ysYIZGwP034XD6_0POHhPzD4</t>
  </si>
  <si>
    <t>https://drive.google.com/open?id=1tKoj864zW7mCk6iO3DUB8IOh0DloeaPI</t>
  </si>
  <si>
    <t>https://docs.google.com/forms/d/e/1FAIpQLSeEYwFnViiqk1AbexVe1VDR73UApmeuvfn6Yr2vN8WXjwGu2Q/viewform?edit2=2_ABaOnueH7iAnkym5HUZ6n6x7Bp3k4F8QaXVXIT-NL57IyiRnQpVk4A0tiDdKhT7QRg_SuCg&amp;source=documentstudio&amp;timestamp=1715658171887</t>
  </si>
  <si>
    <t>2_ABaOnueH7iAnkym5HUZ6n6x7Bp3k4F8QaXVXIT-NL57IyiRnQpVk4A0tiDdKhT7QRg_SuCg</t>
  </si>
  <si>
    <t>https://drive.google.com/open?id=1r3utf0PLI_FB1WWEkTFIqznYS3LogvnU</t>
  </si>
  <si>
    <t>https://docs.google.com/forms/d/e/1FAIpQLSeEYwFnViiqk1AbexVe1VDR73UApmeuvfn6Yr2vN8WXjwGu2Q/viewform?edit2=2_ABaOnuftjKx08Rq4RRZoegl3Xe4awRLHuXoDbM78AiV47aAQu7Mhor022fmgGX4NhDNNS7w&amp;source=documentstudio&amp;timestamp=1715658279463</t>
  </si>
  <si>
    <t>2_ABaOnuftjKx08Rq4RRZoegl3Xe4awRLHuXoDbM78AiV47aAQu7Mhor022fmgGX4NhDNNS7w</t>
  </si>
  <si>
    <t>Dyah Makutaning Dewi</t>
  </si>
  <si>
    <t>https://drive.google.com/open?id=1ZS6X8dWDXQPyxfyNoCkUrNTYVBzWKSG3</t>
  </si>
  <si>
    <t>https://docs.google.com/forms/d/e/1FAIpQLSeEYwFnViiqk1AbexVe1VDR73UApmeuvfn6Yr2vN8WXjwGu2Q/viewform?edit2=2_ABaOnueWqhaPJPCgq_dJBg_V0VTwiz4axeJwVRJ0oQ3KqRG-9eokY6wQRdfh1Xe97i2bRLE&amp;source=documentstudio&amp;timestamp=1715757323319</t>
  </si>
  <si>
    <t>2_ABaOnueWqhaPJPCgq_dJBg_V0VTwiz4axeJwVRJ0oQ3KqRG-9eokY6wQRdfh1Xe97i2bRLE</t>
  </si>
  <si>
    <t>https://drive.google.com/open?id=1aJwhmF55_qDOJRz8cOccZp40wSiAwVi6</t>
  </si>
  <si>
    <t>https://docs.google.com/forms/d/e/1FAIpQLSeEYwFnViiqk1AbexVe1VDR73UApmeuvfn6Yr2vN8WXjwGu2Q/viewform?edit2=2_ABaOnudOsCpur2_UHH1bhflK-CH8C4irFSat0rG-TpK2y-ERCAj_0ot2hLLhWPGlnqdmvE8&amp;source=documentstudio&amp;timestamp=1715759946673</t>
  </si>
  <si>
    <t>2_ABaOnudOsCpur2_UHH1bhflK-CH8C4irFSat0rG-TpK2y-ERCAj_0ot2hLLhWPGlnqdmvE8</t>
  </si>
  <si>
    <t>https://drive.google.com/open?id=1wUWs9AMZLUEcWapr_iL8EiMmWzi97tUg</t>
  </si>
  <si>
    <t>https://docs.google.com/forms/d/e/1FAIpQLSeEYwFnViiqk1AbexVe1VDR73UApmeuvfn6Yr2vN8WXjwGu2Q/viewform?edit2=2_ABaOnudLs7rXiLFVtSHnuWvHhF9zXZbDcSsGju8Cpg1DoXGfrMx3QpGm1OU8vrM1fnxJrVE&amp;source=documentstudio&amp;timestamp=1715904985006</t>
  </si>
  <si>
    <t>2_ABaOnudLs7rXiLFVtSHnuWvHhF9zXZbDcSsGju8Cpg1DoXGfrMx3QpGm1OU8vrM1fnxJrVE</t>
  </si>
  <si>
    <t>Rifki Sunu W</t>
  </si>
  <si>
    <t>https://drive.google.com/open?id=11Em-dvV7komY159oh8k2lz35S2MnFpBr</t>
  </si>
  <si>
    <t>https://docs.google.com/forms/d/e/1FAIpQLSeEYwFnViiqk1AbexVe1VDR73UApmeuvfn6Yr2vN8WXjwGu2Q/viewform?edit2=2_ABaOnufUJrCgT0ZCz9wim8eoYUmpJE0qyC2xzg16-DoActXMzlSEisn3YaWiCe0HYzJb1UM&amp;source=documentstudio&amp;timestamp=1715939265450</t>
  </si>
  <si>
    <t>2_ABaOnufUJrCgT0ZCz9wim8eoYUmpJE0qyC2xzg16-DoActXMzlSEisn3YaWiCe0HYzJb1UM</t>
  </si>
  <si>
    <t>https://drive.google.com/open?id=1MgjstW-3bytHUTbv5Wbuij2BNcnvAyfd</t>
  </si>
  <si>
    <t>https://docs.google.com/forms/d/e/1FAIpQLSeEYwFnViiqk1AbexVe1VDR73UApmeuvfn6Yr2vN8WXjwGu2Q/viewform?edit2=2_ABaOnueTfygorPpI6twd8LiXwI-7Y1AxKWIVBjqduoHxltpdrYTCD19wo12Kotc_fljbBEA&amp;source=documentstudio&amp;timestamp=1716864920237</t>
  </si>
  <si>
    <t>2_ABaOnueTfygorPpI6twd8LiXwI-7Y1AxKWIVBjqduoHxltpdrYTCD19wo12Kotc_fljbBEA</t>
  </si>
  <si>
    <t>https://drive.google.com/open?id=1FxtW-GVEJJWluKuvSSYjMxxY46cb36Tm</t>
  </si>
  <si>
    <t>https://docs.google.com/forms/d/e/1FAIpQLSeEYwFnViiqk1AbexVe1VDR73UApmeuvfn6Yr2vN8WXjwGu2Q/viewform?edit2=2_ABaOnuenePPdjiozaY9Y86gRkQ58FMhRsghsQE7zn1OFCVZQ1Wa8qvCVpuv9Zp8B1h-09aE&amp;source=documentstudio&amp;timestamp=1717383650118</t>
  </si>
  <si>
    <t>2_ABaOnuenePPdjiozaY9Y86gRkQ58FMhRsghsQE7zn1OFCVZQ1Wa8qvCVpuv9Zp8B1h-09aE</t>
  </si>
  <si>
    <t>https://drive.google.com/open?id=1ufWoRHx50g_vKCfnAfvURoBcmck5L1CN</t>
  </si>
  <si>
    <t>https://docs.google.com/forms/d/e/1FAIpQLSeEYwFnViiqk1AbexVe1VDR73UApmeuvfn6Yr2vN8WXjwGu2Q/viewform?edit2=2_ABaOnudDVArnc6ZBOGmPzPLRboa0FgHMkl3J20Lol6WKmYhanAHpu7l0AeQCzE7Ft0Yv1fU&amp;source=documentstudio&amp;timestamp=1717383913470</t>
  </si>
  <si>
    <t>2_ABaOnudDVArnc6ZBOGmPzPLRboa0FgHMkl3J20Lol6WKmYhanAHpu7l0AeQCzE7Ft0Yv1fU</t>
  </si>
  <si>
    <t>https://drive.google.com/open?id=11SMAnb8x07NbJV8lYOE3HqUbH9Lk9TUf</t>
  </si>
  <si>
    <t>https://docs.google.com/forms/d/e/1FAIpQLSeEYwFnViiqk1AbexVe1VDR73UApmeuvfn6Yr2vN8WXjwGu2Q/viewform?edit2=2_ABaOnucFgY8RatRmvILNcjat0RmYlooCfbuea0IwTlUMDKYct39fnqqzDN1RUrcsOA90sRs&amp;source=documentstudio&amp;timestamp=1717383985464</t>
  </si>
  <si>
    <t>2_ABaOnucFgY8RatRmvILNcjat0RmYlooCfbuea0IwTlUMDKYct39fnqqzDN1RUrcsOA90sRs</t>
  </si>
  <si>
    <t>https://drive.google.com/open?id=1-H9eUeXBqi95DvBzJjFP3Df1-GvYo_m8</t>
  </si>
  <si>
    <t>https://docs.google.com/forms/d/e/1FAIpQLSeEYwFnViiqk1AbexVe1VDR73UApmeuvfn6Yr2vN8WXjwGu2Q/viewform?edit2=2_ABaOnucpDLRdrWTbW8pPymljzodROI7ZX8aK74SkfkwvTQSL98dWIxUpBTXgdldPb8a2DnY&amp;source=documentstudio&amp;timestamp=1717384161142</t>
  </si>
  <si>
    <t>2_ABaOnucpDLRdrWTbW8pPymljzodROI7ZX8aK74SkfkwvTQSL98dWIxUpBTXgdldPb8a2DnY</t>
  </si>
  <si>
    <t>https://drive.google.com/open?id=1U70SHbmIeuo6CVqYzx2yiFmZL5Fve3cr</t>
  </si>
  <si>
    <t>https://docs.google.com/forms/d/e/1FAIpQLSeEYwFnViiqk1AbexVe1VDR73UApmeuvfn6Yr2vN8WXjwGu2Q/viewform?edit2=2_ABaOnufuz431wrp8eyEJ6b9GEE8AR7uqz4p7AbLmJZpES3peg1TzFe3iW1jcZzPoTMSsd0s&amp;source=documentstudio&amp;timestamp=1717384505647</t>
  </si>
  <si>
    <t>2_ABaOnufuz431wrp8eyEJ6b9GEE8AR7uqz4p7AbLmJZpES3peg1TzFe3iW1jcZzPoTMSsd0s</t>
  </si>
  <si>
    <t>https://drive.google.com/open?id=1g4aSQTw0T4Pj6cMnVOQzORzuA0HckoxY</t>
  </si>
  <si>
    <t>https://docs.google.com/forms/d/e/1FAIpQLSeEYwFnViiqk1AbexVe1VDR73UApmeuvfn6Yr2vN8WXjwGu2Q/viewform?edit2=2_ABaOnufqHoh4Y9y-2UGNnEA1Jtx18yBiqwRumLKUWCcz-Q1YHnV_4QSDAcUxy3mMysMUzVU&amp;source=documentstudio&amp;timestamp=1717384506591</t>
  </si>
  <si>
    <t>2_ABaOnufqHoh4Y9y-2UGNnEA1Jtx18yBiqwRumLKUWCcz-Q1YHnV_4QSDAcUxy3mMysMUzVU</t>
  </si>
  <si>
    <t>https://drive.google.com/open?id=1An_mFAdKeCBfU5j7mOxvaA_W6SKo109K</t>
  </si>
  <si>
    <t>https://docs.google.com/forms/d/e/1FAIpQLSeEYwFnViiqk1AbexVe1VDR73UApmeuvfn6Yr2vN8WXjwGu2Q/viewform?edit2=2_ABaOnufVyx-NRlBxRu4fTHWEPFj7c__TGxw-HYxiB0QF9vMO6RL3CItvAhu-zwkdLBm8A4w&amp;source=documentstudio&amp;timestamp=1717384596547</t>
  </si>
  <si>
    <t>2_ABaOnufVyx-NRlBxRu4fTHWEPFj7c__TGxw-HYxiB0QF9vMO6RL3CItvAhu-zwkdLBm8A4w</t>
  </si>
  <si>
    <t>https://drive.google.com/open?id=1a4CUdgLLo3lf9AqaDAYyx_cUV4jpiK6F</t>
  </si>
  <si>
    <t>https://docs.google.com/forms/d/e/1FAIpQLSeEYwFnViiqk1AbexVe1VDR73UApmeuvfn6Yr2vN8WXjwGu2Q/viewform?edit2=2_ABaOnufKJWnz_7UywoPX7CUqiWxoJcrqrcUgFZVdghFt_spAPl1CbHIPmTy3xsFAWalICzg&amp;source=documentstudio&amp;timestamp=1717384887480</t>
  </si>
  <si>
    <t>2_ABaOnufKJWnz_7UywoPX7CUqiWxoJcrqrcUgFZVdghFt_spAPl1CbHIPmTy3xsFAWalICzg</t>
  </si>
  <si>
    <t>https://drive.google.com/open?id=1Kx448R6_CjDBoUOLbhLwHgZW05LWGg71</t>
  </si>
  <si>
    <t>https://docs.google.com/forms/d/e/1FAIpQLSeEYwFnViiqk1AbexVe1VDR73UApmeuvfn6Yr2vN8WXjwGu2Q/viewform?edit2=2_ABaOnucFTbVdBaIpKXPfXZKd4aZR-MCW1XgTjoeEJDi26E2cSJ5BFOYMUioFdQH3ZXVCELw&amp;source=documentstudio&amp;timestamp=1717385293710</t>
  </si>
  <si>
    <t>2_ABaOnucFTbVdBaIpKXPfXZKd4aZR-MCW1XgTjoeEJDi26E2cSJ5BFOYMUioFdQH3ZXVCELw</t>
  </si>
  <si>
    <t>https://drive.google.com/open?id=1crbgFn5uM3S7odELLgSPcbnOo2Wbcldz</t>
  </si>
  <si>
    <t>https://docs.google.com/forms/d/e/1FAIpQLSeEYwFnViiqk1AbexVe1VDR73UApmeuvfn6Yr2vN8WXjwGu2Q/viewform?edit2=2_ABaOnudHCI5F21e9OmR-RrbHoOqXzjLUawlL7Vnl5y6vyriX_GSwM8JIqTre-sroTanWjSY&amp;source=documentstudio&amp;timestamp=1717385389113</t>
  </si>
  <si>
    <t>2_ABaOnudHCI5F21e9OmR-RrbHoOqXzjLUawlL7Vnl5y6vyriX_GSwM8JIqTre-sroTanWjSY</t>
  </si>
  <si>
    <t>https://drive.google.com/open?id=1CR_PV_c1STlqDTXr4TJrka356z_AK2Cr</t>
  </si>
  <si>
    <t>https://docs.google.com/forms/d/e/1FAIpQLSeEYwFnViiqk1AbexVe1VDR73UApmeuvfn6Yr2vN8WXjwGu2Q/viewform?edit2=2_ABaOnucxS2sRQikqujdHxkG1qJ4HYKzEmI3M9WOqgF0gNvnUrOhYH6aomjBVZVSMExXIpPk&amp;source=documentstudio&amp;timestamp=1717385396531</t>
  </si>
  <si>
    <t>2_ABaOnucxS2sRQikqujdHxkG1qJ4HYKzEmI3M9WOqgF0gNvnUrOhYH6aomjBVZVSMExXIpPk</t>
  </si>
  <si>
    <t>https://drive.google.com/open?id=1iVtldHtQLNWZwnbUTNcH5julQdQTz1m_</t>
  </si>
  <si>
    <t>https://docs.google.com/forms/d/e/1FAIpQLSeEYwFnViiqk1AbexVe1VDR73UApmeuvfn6Yr2vN8WXjwGu2Q/viewform?edit2=2_ABaOnufVwc3ToLKGRnzzgZ5FSjMyUO8IcrX6malk7Pov_tHYI5VebuR1E1-pgE30LcoUh8w&amp;source=documentstudio&amp;timestamp=1717385398285</t>
  </si>
  <si>
    <t>2_ABaOnufVwc3ToLKGRnzzgZ5FSjMyUO8IcrX6malk7Pov_tHYI5VebuR1E1-pgE30LcoUh8w</t>
  </si>
  <si>
    <t>https://drive.google.com/open?id=1tSALn1Ihjduw8Mi3u2cyWF9vVjFmvph8</t>
  </si>
  <si>
    <t>https://docs.google.com/forms/d/e/1FAIpQLSeEYwFnViiqk1AbexVe1VDR73UApmeuvfn6Yr2vN8WXjwGu2Q/viewform?edit2=2_ABaOnueYaX5sZy3_J3R3dY3phvtR7QcjOrRm91EIXtsnd-RgZYOl4WCgHYMsjql_AcGE13k&amp;source=documentstudio&amp;timestamp=1717385847980</t>
  </si>
  <si>
    <t>2_ABaOnueYaX5sZy3_J3R3dY3phvtR7QcjOrRm91EIXtsnd-RgZYOl4WCgHYMsjql_AcGE13k</t>
  </si>
  <si>
    <t>https://drive.google.com/open?id=1nOOJ1M30Df2eDIBMXLLu6aWP1hgRuGoh</t>
  </si>
  <si>
    <t>https://docs.google.com/forms/d/e/1FAIpQLSeEYwFnViiqk1AbexVe1VDR73UApmeuvfn6Yr2vN8WXjwGu2Q/viewform?edit2=2_ABaOnucbdAmoW6cXD_Y4Pl0y3qwfRzDOQI2rrPsiKqmOntiAaIMu4t_YCMGPbW1gVaBRwOg&amp;source=documentstudio&amp;timestamp=1717389086027</t>
  </si>
  <si>
    <t>2_ABaOnucbdAmoW6cXD_Y4Pl0y3qwfRzDOQI2rrPsiKqmOntiAaIMu4t_YCMGPbW1gVaBRwOg</t>
  </si>
  <si>
    <t>https://drive.google.com/open?id=1mIZyb5fgPeNMdwqt114jQoQ58TgYWoqH</t>
  </si>
  <si>
    <t>https://docs.google.com/forms/d/e/1FAIpQLSeEYwFnViiqk1AbexVe1VDR73UApmeuvfn6Yr2vN8WXjwGu2Q/viewform?edit2=2_ABaOnudN07pFF8ncdzXyz5_YThGldhonGOrDwUAS-fAa1I_hNDnq1PaBwy-wOXFEKhVAOLQ&amp;source=documentstudio&amp;timestamp=1717389116453</t>
  </si>
  <si>
    <t>2_ABaOnudN07pFF8ncdzXyz5_YThGldhonGOrDwUAS-fAa1I_hNDnq1PaBwy-wOXFEKhVAOLQ</t>
  </si>
  <si>
    <t>https://drive.google.com/open?id=1I4rMyldgrJPr5hgddT_5d01reVBe5Qdq</t>
  </si>
  <si>
    <t>https://docs.google.com/forms/d/e/1FAIpQLSeEYwFnViiqk1AbexVe1VDR73UApmeuvfn6Yr2vN8WXjwGu2Q/viewform?edit2=2_ABaOnueKcwxwE43lZbwHxaJjGsVnMqdUosPAMMAlERWPWa6_SVCGY63Q8bjyEVjCXnB_I3Y&amp;source=documentstudio&amp;timestamp=1717389162538</t>
  </si>
  <si>
    <t>2_ABaOnueKcwxwE43lZbwHxaJjGsVnMqdUosPAMMAlERWPWa6_SVCGY63Q8bjyEVjCXnB_I3Y</t>
  </si>
  <si>
    <t>https://drive.google.com/open?id=10rDINct-OMXRAzKvh5j62gjWQVux8WEI</t>
  </si>
  <si>
    <t>https://docs.google.com/forms/d/e/1FAIpQLSeEYwFnViiqk1AbexVe1VDR73UApmeuvfn6Yr2vN8WXjwGu2Q/viewform?edit2=2_ABaOnufufH3iyEc2njtrMzUx7eMBfOGO6xaBSDFQ7LbhbGQ20mxj1i2J4O5vblucfJMiRQ4&amp;source=documentstudio&amp;timestamp=1717389180664</t>
  </si>
  <si>
    <t>2_ABaOnufufH3iyEc2njtrMzUx7eMBfOGO6xaBSDFQ7LbhbGQ20mxj1i2J4O5vblucfJMiRQ4</t>
  </si>
  <si>
    <t>https://drive.google.com/open?id=1Ih5ipQHCmmqNODCQiJsI9sLnotOWm2u7</t>
  </si>
  <si>
    <t>https://docs.google.com/forms/d/e/1FAIpQLSeEYwFnViiqk1AbexVe1VDR73UApmeuvfn6Yr2vN8WXjwGu2Q/viewform?edit2=2_ABaOnudpSAu5v7W1qmjpX2G6_zj8n-u7VzVfv5RcYZO1lUz1pXoWKh9Y5V3843Wiq-b8Iz0&amp;source=documentstudio&amp;timestamp=1717389369379</t>
  </si>
  <si>
    <t>2_ABaOnudpSAu5v7W1qmjpX2G6_zj8n-u7VzVfv5RcYZO1lUz1pXoWKh9Y5V3843Wiq-b8Iz0</t>
  </si>
  <si>
    <t>https://drive.google.com/open?id=1xGFJQGWIbfTNaoEqCDj4TEUqgO-QyHaz</t>
  </si>
  <si>
    <t>https://docs.google.com/forms/d/e/1FAIpQLSeEYwFnViiqk1AbexVe1VDR73UApmeuvfn6Yr2vN8WXjwGu2Q/viewform?edit2=2_ABaOnufMNwN8UOg32zxHdmJfFrI4PbjJ5jvPFG4J28orRx64CyKMj1h_UlsspqthiQMkjVA&amp;source=documentstudio&amp;timestamp=1717389399641</t>
  </si>
  <si>
    <t>2_ABaOnufMNwN8UOg32zxHdmJfFrI4PbjJ5jvPFG4J28orRx64CyKMj1h_UlsspqthiQMkjVA</t>
  </si>
  <si>
    <t>https://drive.google.com/open?id=1bYYLubKCKA9kEqwTX9MzEs-ouncOK4gj</t>
  </si>
  <si>
    <t>https://docs.google.com/forms/d/e/1FAIpQLSeEYwFnViiqk1AbexVe1VDR73UApmeuvfn6Yr2vN8WXjwGu2Q/viewform?edit2=2_ABaOnud5tcGgAdHgJWAFDZkeK5hgGiv6S9lz7hqHp22NDE1opdEjyW8_v_7xPRKRu3qvrec&amp;source=documentstudio&amp;timestamp=1717389604192</t>
  </si>
  <si>
    <t>2_ABaOnud5tcGgAdHgJWAFDZkeK5hgGiv6S9lz7hqHp22NDE1opdEjyW8_v_7xPRKRu3qvrec</t>
  </si>
  <si>
    <t>https://drive.google.com/open?id=1Elv8ONGRw7Xr0_BsmUv25LzvBQ_rl0vj</t>
  </si>
  <si>
    <t>https://docs.google.com/forms/d/e/1FAIpQLSeEYwFnViiqk1AbexVe1VDR73UApmeuvfn6Yr2vN8WXjwGu2Q/viewform?edit2=2_ABaOnuefAgsMgnoKag1Oja8Ul9-nE7fJH3pRbqUrmoSZM-_xW7f4zQAEXtems96xlP8vBRA&amp;source=documentstudio&amp;timestamp=1717389763921</t>
  </si>
  <si>
    <t>2_ABaOnuefAgsMgnoKag1Oja8Ul9-nE7fJH3pRbqUrmoSZM-_xW7f4zQAEXtems96xlP8vBRA</t>
  </si>
  <si>
    <t>https://drive.google.com/open?id=1D51qr_sSnMdmwTge_MkiM_qczauuaXox</t>
  </si>
  <si>
    <t>https://docs.google.com/forms/d/e/1FAIpQLSeEYwFnViiqk1AbexVe1VDR73UApmeuvfn6Yr2vN8WXjwGu2Q/viewform?edit2=2_ABaOnud4Z8dtigNPKr9k80Xt8znkzwWDsYSn_Fitbnrd9yxZOP9VRrjPn_bdAWnDopIBeTk&amp;source=documentstudio&amp;timestamp=1717389830939</t>
  </si>
  <si>
    <t>2_ABaOnud4Z8dtigNPKr9k80Xt8znkzwWDsYSn_Fitbnrd9yxZOP9VRrjPn_bdAWnDopIBeTk</t>
  </si>
  <si>
    <t>https://drive.google.com/open?id=1tSpvszSDU91tz_ugUJMEdBLWvzwFLl0N</t>
  </si>
  <si>
    <t>https://docs.google.com/forms/d/e/1FAIpQLSeEYwFnViiqk1AbexVe1VDR73UApmeuvfn6Yr2vN8WXjwGu2Q/viewform?edit2=2_ABaOnueUUYV4sL004iH-I48eo9O_BHM6mAeyhwOf2-ANjyYgPMtlXEardm84Ptwl5VPyX-s&amp;source=documentstudio&amp;timestamp=1717389957981</t>
  </si>
  <si>
    <t>2_ABaOnueUUYV4sL004iH-I48eo9O_BHM6mAeyhwOf2-ANjyYgPMtlXEardm84Ptwl5VPyX-s</t>
  </si>
  <si>
    <t>https://drive.google.com/open?id=1LkWiIFeKBXl9Ty_4fRkrmXH02jcFb5t9</t>
  </si>
  <si>
    <t>https://docs.google.com/forms/d/e/1FAIpQLSeEYwFnViiqk1AbexVe1VDR73UApmeuvfn6Yr2vN8WXjwGu2Q/viewform?edit2=2_ABaOnuc6oCGDMBQHA_4yqP-dF2dIss-aRdE470_jRUbPehoaiDBEWa-VBo-3PoSh6wucms8&amp;source=documentstudio&amp;timestamp=1717394828997</t>
  </si>
  <si>
    <t>2_ABaOnuc6oCGDMBQHA_4yqP-dF2dIss-aRdE470_jRUbPehoaiDBEWa-VBo-3PoSh6wucms8</t>
  </si>
  <si>
    <t>https://drive.google.com/open?id=1-meO-pzvqNyqgrrhG8W4aFGQzhLVDOQz</t>
  </si>
  <si>
    <t>https://docs.google.com/forms/d/e/1FAIpQLSeEYwFnViiqk1AbexVe1VDR73UApmeuvfn6Yr2vN8WXjwGu2Q/viewform?edit2=2_ABaOnue5KC_kLFH-PaYIv2--SWD43nPvoRvEFk2alN1r96lcbeapsrdK8dIunLl_-hwba2c&amp;source=documentstudio&amp;timestamp=1717394866305</t>
  </si>
  <si>
    <t>2_ABaOnue5KC_kLFH-PaYIv2--SWD43nPvoRvEFk2alN1r96lcbeapsrdK8dIunLl_-hwba2c</t>
  </si>
  <si>
    <t>https://drive.google.com/open?id=10xLXHWY5-2towezUFvRnx4NYtDqx4-QL</t>
  </si>
  <si>
    <t>https://docs.google.com/forms/d/e/1FAIpQLSeEYwFnViiqk1AbexVe1VDR73UApmeuvfn6Yr2vN8WXjwGu2Q/viewform?edit2=2_ABaOnucDnWVcX3U1UWL0BWo5p8bqCw4f6yd6poWVGYCwkf5t50-4bHY2lHIifG8PGxXsfYc&amp;source=documentstudio&amp;timestamp=1717401704205</t>
  </si>
  <si>
    <t>2_ABaOnucDnWVcX3U1UWL0BWo5p8bqCw4f6yd6poWVGYCwkf5t50-4bHY2lHIifG8PGxXsfYc</t>
  </si>
  <si>
    <t>https://drive.google.com/open?id=1b3inrOyP0rhvHBOEjk0tMYF6I4rmBIVh</t>
  </si>
  <si>
    <t>https://docs.google.com/forms/d/e/1FAIpQLSeEYwFnViiqk1AbexVe1VDR73UApmeuvfn6Yr2vN8WXjwGu2Q/viewform?edit2=2_ABaOnufF3v_vVcO4CdtX2f1-kShSorxfACjV-SD9Mh1Xo_0DXfidLQTbSDeYK4ct2tMnag4&amp;source=documentstudio&amp;timestamp=1717401983262</t>
  </si>
  <si>
    <t>2_ABaOnufF3v_vVcO4CdtX2f1-kShSorxfACjV-SD9Mh1Xo_0DXfidLQTbSDeYK4ct2tMnag4</t>
  </si>
  <si>
    <t>https://drive.google.com/open?id=13U7EVeXrjtAS8IynmqRY86eLhDrciAWm</t>
  </si>
  <si>
    <t>https://docs.google.com/forms/d/e/1FAIpQLSeEYwFnViiqk1AbexVe1VDR73UApmeuvfn6Yr2vN8WXjwGu2Q/viewform?edit2=2_ABaOnucdtK0bH9yepx1XJaOFuaD_qtg2UsaC5IqDI9wLvtlaydTtLtBY6pGoDVb489qCo2s&amp;source=documentstudio&amp;timestamp=1717464370249</t>
  </si>
  <si>
    <t>2_ABaOnucdtK0bH9yepx1XJaOFuaD_qtg2UsaC5IqDI9wLvtlaydTtLtBY6pGoDVb489qCo2s</t>
  </si>
  <si>
    <t>https://drive.google.com/open?id=1MaYLoU6WfSBvBemQWsqUSUPJNJfbgWjZ</t>
  </si>
  <si>
    <t>https://docs.google.com/forms/d/e/1FAIpQLSeEYwFnViiqk1AbexVe1VDR73UApmeuvfn6Yr2vN8WXjwGu2Q/viewform?edit2=2_ABaOnucrvjNsTqySMd0ct9xiQRqdujy_yahRTKr7f-I3T5eI3eGKsb6QVEFn_TgY8Y7ozGw&amp;source=documentstudio&amp;timestamp=1717464374094</t>
  </si>
  <si>
    <t>2_ABaOnucrvjNsTqySMd0ct9xiQRqdujy_yahRTKr7f-I3T5eI3eGKsb6QVEFn_TgY8Y7ozGw</t>
  </si>
  <si>
    <t>https://drive.google.com/open?id=11jnNg7sQen8vvo78YKEt4XwCMkqBfxY0</t>
  </si>
  <si>
    <t>https://docs.google.com/forms/d/e/1FAIpQLSeEYwFnViiqk1AbexVe1VDR73UApmeuvfn6Yr2vN8WXjwGu2Q/viewform?edit2=2_ABaOnucVC3fG9dMId9UFGIYXqNh1E3-mpClw2Vc-_uwwC8fXhXJEPGlNMEeXbMu4nv_5K24&amp;source=documentstudio&amp;timestamp=1717465702786</t>
  </si>
  <si>
    <t>2_ABaOnucVC3fG9dMId9UFGIYXqNh1E3-mpClw2Vc-_uwwC8fXhXJEPGlNMEeXbMu4nv_5K24</t>
  </si>
  <si>
    <t>https://drive.google.com/open?id=1TtXwPHWZgIdm-m_rdKBpBfZjOg7RZ-IR</t>
  </si>
  <si>
    <t>https://docs.google.com/forms/d/e/1FAIpQLSeEYwFnViiqk1AbexVe1VDR73UApmeuvfn6Yr2vN8WXjwGu2Q/viewform?edit2=2_ABaOnueDjhKr2joB4gRG-qtuRKRsrhe8Fla-QPys__DmaUF467TqoEh_UTIkULFrpNctUTY&amp;source=documentstudio&amp;timestamp=1717466841865</t>
  </si>
  <si>
    <t>2_ABaOnueDjhKr2joB4gRG-qtuRKRsrhe8Fla-QPys__DmaUF467TqoEh_UTIkULFrpNctUTY</t>
  </si>
  <si>
    <t>https://drive.google.com/open?id=1jujwvDWZBYuJfnZZ_3olq4DIGj369m3q</t>
  </si>
  <si>
    <t>https://docs.google.com/forms/d/e/1FAIpQLSeEYwFnViiqk1AbexVe1VDR73UApmeuvfn6Yr2vN8WXjwGu2Q/viewform?edit2=2_ABaOnufmKg41rslmxL4THurAlDh0014kYTOy6GvkdVRFCeeOlndqFZq4qdeSXfRib42Iu9U&amp;source=documentstudio&amp;timestamp=1717468135320</t>
  </si>
  <si>
    <t>2_ABaOnufmKg41rslmxL4THurAlDh0014kYTOy6GvkdVRFCeeOlndqFZq4qdeSXfRib42Iu9U</t>
  </si>
  <si>
    <t>https://drive.google.com/open?id=1nptlXzk3QZa8Wqp9a5oY7JXWM4iHphaq</t>
  </si>
  <si>
    <t>https://docs.google.com/forms/d/e/1FAIpQLSeEYwFnViiqk1AbexVe1VDR73UApmeuvfn6Yr2vN8WXjwGu2Q/viewform?edit2=2_ABaOnudf6ueu5WSCXMi4VMVBfXkiB6pF-LhmaQy19IwdOdhXLCsrHIaGxkcqOTTZbNo3pmY&amp;source=documentstudio&amp;timestamp=1717468495550</t>
  </si>
  <si>
    <t>2_ABaOnudf6ueu5WSCXMi4VMVBfXkiB6pF-LhmaQy19IwdOdhXLCsrHIaGxkcqOTTZbNo3pmY</t>
  </si>
  <si>
    <t>https://drive.google.com/open?id=1kc5hina9c1sPvtBV0jyaxkbrU6jqpBa0</t>
  </si>
  <si>
    <t>https://docs.google.com/forms/d/e/1FAIpQLSeEYwFnViiqk1AbexVe1VDR73UApmeuvfn6Yr2vN8WXjwGu2Q/viewform?edit2=2_ABaOnucsTLV6KIowT_dLjzKawcwRYWPcr80LLPimfK2RHVN4Uczeb_e5NPKTZg2tUoE8ZKE&amp;source=documentstudio&amp;timestamp=1717548582888</t>
  </si>
  <si>
    <t>2_ABaOnucsTLV6KIowT_dLjzKawcwRYWPcr80LLPimfK2RHVN4Uczeb_e5NPKTZg2tUoE8ZKE</t>
  </si>
  <si>
    <t>https://drive.google.com/open?id=1bxU2b-SLMcd-n1iU5b4e7JGihyG8yGcz</t>
  </si>
  <si>
    <t>https://docs.google.com/forms/d/e/1FAIpQLSeEYwFnViiqk1AbexVe1VDR73UApmeuvfn6Yr2vN8WXjwGu2Q/viewform?edit2=2_ABaOnufKlAALQmT0xgMO_9AUby0ZjfcgOko1hSwZfnUpE7pxbE1hwTlZExWP21pSFmgcfIM&amp;source=documentstudio&amp;timestamp=1717552688139</t>
  </si>
  <si>
    <t>2_ABaOnufKlAALQmT0xgMO_9AUby0ZjfcgOko1hSwZfnUpE7pxbE1hwTlZExWP21pSFmgcfIM</t>
  </si>
  <si>
    <t>https://drive.google.com/open?id=1g04H1p5Z5f6yuRhLs3yKQ7P5hJ4fWyzn</t>
  </si>
  <si>
    <t>https://docs.google.com/forms/d/e/1FAIpQLSeEYwFnViiqk1AbexVe1VDR73UApmeuvfn6Yr2vN8WXjwGu2Q/viewform?edit2=2_ABaOnueLSVCl3uxSrowfyDME-sBMds1owZUIPBiNXAnIDwI9U6pDoVX2EKc-Eh4XhRTb8TQ&amp;source=documentstudio&amp;timestamp=1717553050715</t>
  </si>
  <si>
    <t>2_ABaOnueLSVCl3uxSrowfyDME-sBMds1owZUIPBiNXAnIDwI9U6pDoVX2EKc-Eh4XhRTb8TQ</t>
  </si>
  <si>
    <t>https://drive.google.com/open?id=1f88SBbU7ll05LgFtfIMZ6n-s1_fjXkTG</t>
  </si>
  <si>
    <t>https://docs.google.com/forms/d/e/1FAIpQLSeEYwFnViiqk1AbexVe1VDR73UApmeuvfn6Yr2vN8WXjwGu2Q/viewform?edit2=2_ABaOnuerD2YNVc9k_11TWNJ414HOK7ae6ZbWscHmYzl-HNmdJ4zOEmhwC4Y5SmExZh5_pmg&amp;source=documentstudio&amp;timestamp=1717555699879</t>
  </si>
  <si>
    <t>2_ABaOnuerD2YNVc9k_11TWNJ414HOK7ae6ZbWscHmYzl-HNmdJ4zOEmhwC4Y5SmExZh5_pmg</t>
  </si>
  <si>
    <t>https://drive.google.com/open?id=1WzD1GcUlFZsd8bn4Zo7Z_fpeSnSTnK2b</t>
  </si>
  <si>
    <t>https://docs.google.com/forms/d/e/1FAIpQLSeEYwFnViiqk1AbexVe1VDR73UApmeuvfn6Yr2vN8WXjwGu2Q/viewform?edit2=2_ABaOnucwcXutUnJf0_alrAUmgsq_WXxXYPPE-JBmdAcwlIGmckiJ_5eOwA3_WWbyreoHY9k&amp;source=documentstudio&amp;timestamp=1717558968655</t>
  </si>
  <si>
    <t>2_ABaOnucwcXutUnJf0_alrAUmgsq_WXxXYPPE-JBmdAcwlIGmckiJ_5eOwA3_WWbyreoHY9k</t>
  </si>
  <si>
    <t>https://drive.google.com/open?id=1ArgQvTZ7C4KL1NNSkgzFD26-mCzq24GC</t>
  </si>
  <si>
    <t>https://docs.google.com/forms/d/e/1FAIpQLSeEYwFnViiqk1AbexVe1VDR73UApmeuvfn6Yr2vN8WXjwGu2Q/viewform?edit2=2_ABaOnueHZ_VANt0b_pJjbvJ0lOVvRr9P6FF_hALaQBEdYZhGuOoQ3NuDCaZYxCoTsWqiR4c&amp;source=documentstudio&amp;timestamp=1717559535203</t>
  </si>
  <si>
    <t>2_ABaOnueHZ_VANt0b_pJjbvJ0lOVvRr9P6FF_hALaQBEdYZhGuOoQ3NuDCaZYxCoTsWqiR4c</t>
  </si>
  <si>
    <t>https://drive.google.com/open?id=1wrMDFRwdgvBxnU1HEz50fncDPKJ7Ne_5</t>
  </si>
  <si>
    <t>https://docs.google.com/forms/d/e/1FAIpQLSeEYwFnViiqk1AbexVe1VDR73UApmeuvfn6Yr2vN8WXjwGu2Q/viewform?edit2=2_ABaOnue6UsGLo8iPpd0xllfOk2uEdH5cLUBsBElFrXvqsETwMdZ94Xq_ezolf-7-6cVRtB8&amp;source=documentstudio&amp;timestamp=1717559623641</t>
  </si>
  <si>
    <t>2_ABaOnue6UsGLo8iPpd0xllfOk2uEdH5cLUBsBElFrXvqsETwMdZ94Xq_ezolf-7-6cVRtB8</t>
  </si>
  <si>
    <t>https://drive.google.com/open?id=1Xwec-7YXYQ9-MAhimaBjrqNIA3vnPIdE</t>
  </si>
  <si>
    <t>https://docs.google.com/forms/d/e/1FAIpQLSeEYwFnViiqk1AbexVe1VDR73UApmeuvfn6Yr2vN8WXjwGu2Q/viewform?edit2=2_ABaOnud8mV6nQb3y8gyj_s6-rRyzTVNXy4n0ZVP4plRiWvvnctPvdaac0dG01kYJv1Lsjnc&amp;source=documentstudio&amp;timestamp=1717559667546</t>
  </si>
  <si>
    <t>2_ABaOnud8mV6nQb3y8gyj_s6-rRyzTVNXy4n0ZVP4plRiWvvnctPvdaac0dG01kYJv1Lsjnc</t>
  </si>
  <si>
    <t>https://drive.google.com/open?id=1_LBq-QIBU-Ao6UTpKRb85Sn9fPtyFjSU</t>
  </si>
  <si>
    <t>https://docs.google.com/forms/d/e/1FAIpQLSeEYwFnViiqk1AbexVe1VDR73UApmeuvfn6Yr2vN8WXjwGu2Q/viewform?edit2=2_ABaOnud0mAzV__LlmQVEJ-BDa9WjMEqGDf_XdwXnycD5T2CdbSf5R4x_57vOX0xtd4odpV4&amp;source=documentstudio&amp;timestamp=1717559669135</t>
  </si>
  <si>
    <t>2_ABaOnud0mAzV__LlmQVEJ-BDa9WjMEqGDf_XdwXnycD5T2CdbSf5R4x_57vOX0xtd4odpV4</t>
  </si>
  <si>
    <t>https://drive.google.com/open?id=1nfw9nHLD2Y7VmlE43vdYUM3St8NgkfWt</t>
  </si>
  <si>
    <t>https://docs.google.com/forms/d/e/1FAIpQLSeEYwFnViiqk1AbexVe1VDR73UApmeuvfn6Yr2vN8WXjwGu2Q/viewform?edit2=2_ABaOnufYXD5UmlRa4UT0sNsVenfZP6zRfQBKxqpYkRMkYlIMCuWe_wIT5UBqszt8qMBqZQI&amp;source=documentstudio&amp;timestamp=1717568595113</t>
  </si>
  <si>
    <t>2_ABaOnufYXD5UmlRa4UT0sNsVenfZP6zRfQBKxqpYkRMkYlIMCuWe_wIT5UBqszt8qMBqZQI</t>
  </si>
  <si>
    <t>https://drive.google.com/open?id=1g5yvsGMyeH1EyivKaaOLW9KiuhdmvjyD</t>
  </si>
  <si>
    <t>https://docs.google.com/forms/d/e/1FAIpQLSeEYwFnViiqk1AbexVe1VDR73UApmeuvfn6Yr2vN8WXjwGu2Q/viewform?edit2=2_ABaOnuc2IQU82J-w4gdx4IETiJkJi6iGx5cxkXlGZUktpDwJ6FY-qi6vPFDNm-uN73f3Rxo&amp;source=documentstudio&amp;timestamp=1717573172553</t>
  </si>
  <si>
    <t>2_ABaOnuc2IQU82J-w4gdx4IETiJkJi6iGx5cxkXlGZUktpDwJ6FY-qi6vPFDNm-uN73f3Rxo</t>
  </si>
  <si>
    <t>https://drive.google.com/open?id=19F6jOgMj9YrxAzKjmxvo2FNKL5w4pXJs</t>
  </si>
  <si>
    <t>https://docs.google.com/forms/d/e/1FAIpQLSeEYwFnViiqk1AbexVe1VDR73UApmeuvfn6Yr2vN8WXjwGu2Q/viewform?edit2=2_ABaOnudIma1N0cVgLbuAKoHEVHvR8XIXu2Ye2oNC589_hJysvkS5mAVkACK9l5K1ZcxVjeM&amp;source=documentstudio&amp;timestamp=1717639232976</t>
  </si>
  <si>
    <t>2_ABaOnudIma1N0cVgLbuAKoHEVHvR8XIXu2Ye2oNC589_hJysvkS5mAVkACK9l5K1ZcxVjeM</t>
  </si>
  <si>
    <t>https://drive.google.com/open?id=1unHfI1a03XfBPm9oEazSq3DoPoVwazs8</t>
  </si>
  <si>
    <t>https://docs.google.com/forms/d/e/1FAIpQLSeEYwFnViiqk1AbexVe1VDR73UApmeuvfn6Yr2vN8WXjwGu2Q/viewform?edit2=2_ABaOnudnn1dMCArqX82-CUc_WlYc4lUD1jFDND5i9gFm-MIYWIVvjFGtL6pTGBi8Jf-UKD8&amp;source=documentstudio&amp;timestamp=1717659149893</t>
  </si>
  <si>
    <t>2_ABaOnudnn1dMCArqX82-CUc_WlYc4lUD1jFDND5i9gFm-MIYWIVvjFGtL6pTGBi8Jf-UKD8</t>
  </si>
  <si>
    <t>https://drive.google.com/open?id=12msx6aZggKfOpTJYcXLUKi7Zk8zDRA9O</t>
  </si>
  <si>
    <t>https://docs.google.com/forms/d/e/1FAIpQLSeEYwFnViiqk1AbexVe1VDR73UApmeuvfn6Yr2vN8WXjwGu2Q/viewform?edit2=2_ABaOnudPLdEqlElRGSmKuGt-0bMiEZbxBUQD0j0T1gUV5hggxLwHILbP4LhXhG2QdKldx64&amp;source=documentstudio&amp;timestamp=1717983886284</t>
  </si>
  <si>
    <t>2_ABaOnudPLdEqlElRGSmKuGt-0bMiEZbxBUQD0j0T1gUV5hggxLwHILbP4LhXhG2QdKldx64</t>
  </si>
  <si>
    <t>https://drive.google.com/open?id=1cPRc_wnsT55jELU0Wj2BO-RvTcglKq2z</t>
  </si>
  <si>
    <t>https://docs.google.com/forms/d/e/1FAIpQLSeEYwFnViiqk1AbexVe1VDR73UApmeuvfn6Yr2vN8WXjwGu2Q/viewform?edit2=2_ABaOnudmngS5A2geIHKJ8qHS1iaanbzz9FOwf6YxZ8L2Cf-I2KB5OEU-T359kk5H1w3voQA&amp;source=documentstudio&amp;timestamp=1717985126183</t>
  </si>
  <si>
    <t>2_ABaOnudmngS5A2geIHKJ8qHS1iaanbzz9FOwf6YxZ8L2Cf-I2KB5OEU-T359kk5H1w3voQA</t>
  </si>
  <si>
    <t>https://drive.google.com/open?id=1eP3L3M6g16rkrGuxWxboL0xEa4M-LhUq</t>
  </si>
  <si>
    <t>https://docs.google.com/forms/d/e/1FAIpQLSeEYwFnViiqk1AbexVe1VDR73UApmeuvfn6Yr2vN8WXjwGu2Q/viewform?edit2=2_ABaOnuc8IvDg3wwE40lby9tOYAMpbyzX1gK28Kw77kx2K3931rYtbMayrMazb6Isz5ih6CM&amp;source=documentstudio&amp;timestamp=1717985209133</t>
  </si>
  <si>
    <t>2_ABaOnuc8IvDg3wwE40lby9tOYAMpbyzX1gK28Kw77kx2K3931rYtbMayrMazb6Isz5ih6CM</t>
  </si>
  <si>
    <t>https://drive.google.com/open?id=1zTHGG7VKf3Kpjm3mcfmsxvQTtT9hXfp-</t>
  </si>
  <si>
    <t>https://docs.google.com/forms/d/e/1FAIpQLSeEYwFnViiqk1AbexVe1VDR73UApmeuvfn6Yr2vN8WXjwGu2Q/viewform?edit2=2_ABaOnucjoW-1mLQGW0pCpR1UwQgq8EuOQP-RXEuPP41l0mBDkxK6fqJTM6yUZ-EBwhf9b2I&amp;source=documentstudio&amp;timestamp=1717987321382</t>
  </si>
  <si>
    <t>2_ABaOnucjoW-1mLQGW0pCpR1UwQgq8EuOQP-RXEuPP41l0mBDkxK6fqJTM6yUZ-EBwhf9b2I</t>
  </si>
  <si>
    <t>https://drive.google.com/open?id=1NmvgSulMCvhBBAaCcthqYYU6C48lB5VS</t>
  </si>
  <si>
    <t>https://docs.google.com/forms/d/e/1FAIpQLSeEYwFnViiqk1AbexVe1VDR73UApmeuvfn6Yr2vN8WXjwGu2Q/viewform?edit2=2_ABaOnue1VMMh8QSrK5avf_iZBZTkHyCnpylBSVomxeqUnRSMC0yoyMq73ASyuwHRLkSv4ow&amp;source=documentstudio&amp;timestamp=1717988268726</t>
  </si>
  <si>
    <t>2_ABaOnue1VMMh8QSrK5avf_iZBZTkHyCnpylBSVomxeqUnRSMC0yoyMq73ASyuwHRLkSv4ow</t>
  </si>
  <si>
    <t>https://drive.google.com/open?id=1k-Op-kSj0a24_fvF5uMynd8q0C3pPwFJ</t>
  </si>
  <si>
    <t>https://docs.google.com/forms/d/e/1FAIpQLSeEYwFnViiqk1AbexVe1VDR73UApmeuvfn6Yr2vN8WXjwGu2Q/viewform?edit2=2_ABaOnuf0SRUWu00e3LO7qBmDK3bazSji_0fLyfUwESnRq_A_-u3546fyaoBMyMppnM26OW4&amp;source=documentstudio&amp;timestamp=1717995267726</t>
  </si>
  <si>
    <t>2_ABaOnuf0SRUWu00e3LO7qBmDK3bazSji_0fLyfUwESnRq_A_-u3546fyaoBMyMppnM26OW4</t>
  </si>
  <si>
    <t>https://drive.google.com/open?id=1GC7eU-Kvcj7jx5AQE4_ivdR7F3h3xyR0</t>
  </si>
  <si>
    <t>https://docs.google.com/forms/d/e/1FAIpQLSeEYwFnViiqk1AbexVe1VDR73UApmeuvfn6Yr2vN8WXjwGu2Q/viewform?edit2=2_ABaOnucGk8C7yAb_QFWsjTeg_8SYI9SZktrFS-Ey5Nc8pIVPr_ti-gLciaP6UAQ30YP9sCM&amp;source=documentstudio&amp;timestamp=1718064556587</t>
  </si>
  <si>
    <t>2_ABaOnucGk8C7yAb_QFWsjTeg_8SYI9SZktrFS-Ey5Nc8pIVPr_ti-gLciaP6UAQ30YP9sCM</t>
  </si>
  <si>
    <t>https://drive.google.com/open?id=1JLutJaFDHPWNFCsQ0aHzrJqvyJZeG9hr</t>
  </si>
  <si>
    <t>https://docs.google.com/forms/d/e/1FAIpQLSeEYwFnViiqk1AbexVe1VDR73UApmeuvfn6Yr2vN8WXjwGu2Q/viewform?edit2=2_ABaOnue-bpmNotIAENjQmm2Xf1nQstz_gqeffnd3DgSyB-OV4k-MBos55qiEzgWqlmMKovY&amp;source=documentstudio&amp;timestamp=1718068120832</t>
  </si>
  <si>
    <t>2_ABaOnue-bpmNotIAENjQmm2Xf1nQstz_gqeffnd3DgSyB-OV4k-MBos55qiEzgWqlmMKovY</t>
  </si>
  <si>
    <t>https://drive.google.com/open?id=1Z8plkON9HEkxmnyim2H2dUARm5oi4UM6</t>
  </si>
  <si>
    <t>https://docs.google.com/forms/d/e/1FAIpQLSeEYwFnViiqk1AbexVe1VDR73UApmeuvfn6Yr2vN8WXjwGu2Q/viewform?edit2=2_ABaOnud-uqdBoAwKTxZp1XKpNE7-JX8maIzxHC4L4GFRPfPJEJSgaozfzGr7wMbfPTe6dBA&amp;source=documentstudio&amp;timestamp=1718068668845</t>
  </si>
  <si>
    <t>2_ABaOnud-uqdBoAwKTxZp1XKpNE7-JX8maIzxHC4L4GFRPfPJEJSgaozfzGr7wMbfPTe6dBA</t>
  </si>
  <si>
    <t>https://drive.google.com/open?id=1mboy7eiGZ5qFN57BrumORla4QQDtPM1U</t>
  </si>
  <si>
    <t>https://docs.google.com/forms/d/e/1FAIpQLSeEYwFnViiqk1AbexVe1VDR73UApmeuvfn6Yr2vN8WXjwGu2Q/viewform?edit2=2_ABaOnud1z0x1Ko55KDpMOto53dT7v-lvY9aYfiL7MGxPyyysWNopa36M-xBwgHvRuC84fCE&amp;source=documentstudio&amp;timestamp=1718068922889</t>
  </si>
  <si>
    <t>2_ABaOnud1z0x1Ko55KDpMOto53dT7v-lvY9aYfiL7MGxPyyysWNopa36M-xBwgHvRuC84fCE</t>
  </si>
  <si>
    <t>https://drive.google.com/open?id=1LVRG0avtg8TpNK3kxDvLHJtT6YkcX95h</t>
  </si>
  <si>
    <t>https://docs.google.com/forms/d/e/1FAIpQLSeEYwFnViiqk1AbexVe1VDR73UApmeuvfn6Yr2vN8WXjwGu2Q/viewform?edit2=2_ABaOnueadZRrW3oURCAlKEfZh5mCkE_W6Nxv-sUQvWe5H7KBtN4GanpJzQ-L8ELh7dWHMXc&amp;source=documentstudio&amp;timestamp=1718069253785</t>
  </si>
  <si>
    <t>2_ABaOnueadZRrW3oURCAlKEfZh5mCkE_W6Nxv-sUQvWe5H7KBtN4GanpJzQ-L8ELh7dWHMXc</t>
  </si>
  <si>
    <t>https://drive.google.com/open?id=1BjJuipq95xuorOp0mamXX2YHEx3s9_sG</t>
  </si>
  <si>
    <t>https://docs.google.com/forms/d/e/1FAIpQLSeEYwFnViiqk1AbexVe1VDR73UApmeuvfn6Yr2vN8WXjwGu2Q/viewform?edit2=2_ABaOnue_Uew16FLHoTPEKrKKZ1xahk6sMb0grUAVlLAorsQFZZ1RWh3W72vYqsgdzUG7gJc&amp;source=documentstudio&amp;timestamp=1718070588803</t>
  </si>
  <si>
    <t>2_ABaOnue_Uew16FLHoTPEKrKKZ1xahk6sMb0grUAVlLAorsQFZZ1RWh3W72vYqsgdzUG7gJc</t>
  </si>
  <si>
    <t>https://drive.google.com/open?id=1EXTsvDRs1zDdxvjRfXV7FlD037ykFevI</t>
  </si>
  <si>
    <t>https://docs.google.com/forms/d/e/1FAIpQLSeEYwFnViiqk1AbexVe1VDR73UApmeuvfn6Yr2vN8WXjwGu2Q/viewform?edit2=2_ABaOnueLIGArfam0S3PAWbBomSmwAzo373Qj_ZcUfzDltS636hqvhOKKTTALvfbhPJrtSmo&amp;source=documentstudio&amp;timestamp=1718074949799</t>
  </si>
  <si>
    <t>2_ABaOnueLIGArfam0S3PAWbBomSmwAzo373Qj_ZcUfzDltS636hqvhOKKTTALvfbhPJrtSmo</t>
  </si>
  <si>
    <t>https://drive.google.com/open?id=1f99KMQkbkoDlcSYiuZgiQ02RZciQ2zQ-</t>
  </si>
  <si>
    <t>https://docs.google.com/forms/d/e/1FAIpQLSeEYwFnViiqk1AbexVe1VDR73UApmeuvfn6Yr2vN8WXjwGu2Q/viewform?edit2=2_ABaOnuezkIIWpRuUQ95WCxRBzwdj1ch76ZNSScoUFxqUmFQ6227z1OUWx62DEBVx50FLoG0&amp;source=documentstudio&amp;timestamp=1718095154040</t>
  </si>
  <si>
    <t>2_ABaOnuezkIIWpRuUQ95WCxRBzwdj1ch76ZNSScoUFxqUmFQ6227z1OUWx62DEBVx50FLoG0</t>
  </si>
  <si>
    <t>Tahunan</t>
  </si>
  <si>
    <t>https://drive.google.com/open?id=1ICBz4_zLzQGcjbhysqzmhm4BCa69lfj4</t>
  </si>
  <si>
    <t>https://docs.google.com/forms/d/e/1FAIpQLSeEYwFnViiqk1AbexVe1VDR73UApmeuvfn6Yr2vN8WXjwGu2Q/viewform?edit2=2_ABaOnuexzWYgQvtg4k6aFJn6Y6C5f54m2p64uEleao4gMS6WKQVNGBHF_B_wxqxpfywKtFs&amp;source=documentstudio&amp;timestamp=1718175872259</t>
  </si>
  <si>
    <t>2_ABaOnuexzWYgQvtg4k6aFJn6Y6C5f54m2p64uEleao4gMS6WKQVNGBHF_B_wxqxpfywKtFs</t>
  </si>
  <si>
    <t>https://drive.google.com/open?id=1mXLt1erd30wCc7ralhYGCusJoJUqMDTF</t>
  </si>
  <si>
    <t>https://docs.google.com/forms/d/e/1FAIpQLSeEYwFnViiqk1AbexVe1VDR73UApmeuvfn6Yr2vN8WXjwGu2Q/viewform?edit2=2_ABaOnuc3Acsm2eHQz5Gcge9Mwi6Y_1oplGiNaJHobezIsRPaLttyeCsoOrYC1KAhTxS1hmU&amp;source=documentstudio&amp;timestamp=1718176204954</t>
  </si>
  <si>
    <t>2_ABaOnuc3Acsm2eHQz5Gcge9Mwi6Y_1oplGiNaJHobezIsRPaLttyeCsoOrYC1KAhTxS1hmU</t>
  </si>
  <si>
    <t>https://drive.google.com/open?id=1EJUOW8ogoOONfYBIiQGv1cCoRxcNbEV0</t>
  </si>
  <si>
    <t>https://docs.google.com/forms/d/e/1FAIpQLSeEYwFnViiqk1AbexVe1VDR73UApmeuvfn6Yr2vN8WXjwGu2Q/viewform?edit2=2_ABaOnuc8SYTqw6-8lCEnKW0uoE26RwgBe_lQFw0cJUJSAbGPNbbLszT_itjoS-gUdaasZdY&amp;source=documentstudio&amp;timestamp=1718176245586</t>
  </si>
  <si>
    <t>2_ABaOnuc8SYTqw6-8lCEnKW0uoE26RwgBe_lQFw0cJUJSAbGPNbbLszT_itjoS-gUdaasZdY</t>
  </si>
  <si>
    <t>https://drive.google.com/open?id=1t2QT3VVNvrsNFkO2OG42zXytcZBR-rmx</t>
  </si>
  <si>
    <t>https://docs.google.com/forms/d/e/1FAIpQLSeEYwFnViiqk1AbexVe1VDR73UApmeuvfn6Yr2vN8WXjwGu2Q/viewform?edit2=2_ABaOnuf1mGxuGsd4t3aHOHi2C5d5u1V7TuYJIzgQAznIWqXVpXVSTOXf4joOeOCuy7TFTMc&amp;source=documentstudio&amp;timestamp=1718176253869</t>
  </si>
  <si>
    <t>2_ABaOnuf1mGxuGsd4t3aHOHi2C5d5u1V7TuYJIzgQAznIWqXVpXVSTOXf4joOeOCuy7TFTMc</t>
  </si>
  <si>
    <t>https://drive.google.com/open?id=1uw2sw-uaCBxn-sZ9fVZxywO2K_dgJZ9o</t>
  </si>
  <si>
    <t>https://docs.google.com/forms/d/e/1FAIpQLSeEYwFnViiqk1AbexVe1VDR73UApmeuvfn6Yr2vN8WXjwGu2Q/viewform?edit2=2_ABaOnucpQhF7LNgAiiZhDdTKz3GMnN7x9r3Z5jMPOMG4rIKZ2aDCcqKXRGfbyLMB-BJ4j4Y&amp;source=documentstudio&amp;timestamp=1718176276552</t>
  </si>
  <si>
    <t>2_ABaOnucpQhF7LNgAiiZhDdTKz3GMnN7x9r3Z5jMPOMG4rIKZ2aDCcqKXRGfbyLMB-BJ4j4Y</t>
  </si>
  <si>
    <t>https://drive.google.com/open?id=1CbaxdG_anw2VFcwfcJbfGZm8rPqoNvhW</t>
  </si>
  <si>
    <t>https://docs.google.com/forms/d/e/1FAIpQLSeEYwFnViiqk1AbexVe1VDR73UApmeuvfn6Yr2vN8WXjwGu2Q/viewform?edit2=2_ABaOnudn2bCisDFAaa86iD_-r05iukQ_kmpF1IknYOlp50iKLtNh8AZjCreXKrzZE2zdDSM&amp;source=documentstudio&amp;timestamp=1718176305876</t>
  </si>
  <si>
    <t>2_ABaOnudn2bCisDFAaa86iD_-r05iukQ_kmpF1IknYOlp50iKLtNh8AZjCreXKrzZE2zdDSM</t>
  </si>
  <si>
    <t>https://drive.google.com/open?id=1Dd5QTBWF0syDOqnjGnpF1piB_AEHFBmk</t>
  </si>
  <si>
    <t>https://docs.google.com/forms/d/e/1FAIpQLSeEYwFnViiqk1AbexVe1VDR73UApmeuvfn6Yr2vN8WXjwGu2Q/viewform?edit2=2_ABaOnudV8wnCLKDi4i8v6dRpIHGMBBbrXF7mbdlMSts0bFxCWYqq_9TDMQFh26cdINQSr7U&amp;source=documentstudio&amp;timestamp=1718176479756</t>
  </si>
  <si>
    <t>2_ABaOnudV8wnCLKDi4i8v6dRpIHGMBBbrXF7mbdlMSts0bFxCWYqq_9TDMQFh26cdINQSr7U</t>
  </si>
  <si>
    <t>https://drive.google.com/open?id=1maJBvjnrV4P_Kmr7uB1CU-kWHuPRvsXb</t>
  </si>
  <si>
    <t>https://docs.google.com/forms/d/e/1FAIpQLSeEYwFnViiqk1AbexVe1VDR73UApmeuvfn6Yr2vN8WXjwGu2Q/viewform?edit2=2_ABaOnucMoD1MgjjCCKghctyac8BS9f52VlOIzI8USGJk7stqg6PllBlCRhL6PE_Ruaxtac4&amp;source=documentstudio&amp;timestamp=1718176484809</t>
  </si>
  <si>
    <t>2_ABaOnucMoD1MgjjCCKghctyac8BS9f52VlOIzI8USGJk7stqg6PllBlCRhL6PE_Ruaxtac4</t>
  </si>
  <si>
    <t>https://drive.google.com/open?id=1F5IlxLqwtJzLBB5dzKVb0goGFFCLGwjX</t>
  </si>
  <si>
    <t>https://docs.google.com/forms/d/e/1FAIpQLSeEYwFnViiqk1AbexVe1VDR73UApmeuvfn6Yr2vN8WXjwGu2Q/viewform?edit2=2_ABaOnudzMwvSxq_xNmGExpci-2OxeqoBKfH35eHS1r5DdEGR7IvPruaefqeSWFA4ywyQIuI&amp;source=documentstudio&amp;timestamp=1718176537260</t>
  </si>
  <si>
    <t>2_ABaOnudzMwvSxq_xNmGExpci-2OxeqoBKfH35eHS1r5DdEGR7IvPruaefqeSWFA4ywyQIuI</t>
  </si>
  <si>
    <t>https://drive.google.com/open?id=1d8wvtcOBA1paXlq0cVxmO87w8xUmk1pf</t>
  </si>
  <si>
    <t>https://docs.google.com/forms/d/e/1FAIpQLSeEYwFnViiqk1AbexVe1VDR73UApmeuvfn6Yr2vN8WXjwGu2Q/viewform?edit2=2_ABaOnuceX7_Y7cSY1biWzJ6ymk3UqAZLlxeJjRZYcPA7457xECH9stuRuMj2bd4V23tlQds&amp;source=documentstudio&amp;timestamp=1718176569560</t>
  </si>
  <si>
    <t>2_ABaOnuceX7_Y7cSY1biWzJ6ymk3UqAZLlxeJjRZYcPA7457xECH9stuRuMj2bd4V23tlQds</t>
  </si>
  <si>
    <t>https://drive.google.com/open?id=1JyIKQNgqzDPgIig2b3GS3eOgW9jT0QLH</t>
  </si>
  <si>
    <t>https://docs.google.com/forms/d/e/1FAIpQLSeEYwFnViiqk1AbexVe1VDR73UApmeuvfn6Yr2vN8WXjwGu2Q/viewform?edit2=2_ABaOnufuo-WLh9AE9pFznZWwx8DRKdRyPZy9GjicttKbQ8QMo8fydORZGxaMy9395vIzVBU&amp;source=documentstudio&amp;timestamp=1718176684815</t>
  </si>
  <si>
    <t>2_ABaOnufuo-WLh9AE9pFznZWwx8DRKdRyPZy9GjicttKbQ8QMo8fydORZGxaMy9395vIzVBU</t>
  </si>
  <si>
    <t>https://drive.google.com/open?id=1jJw98fPPLh60uM_oefzlLwjrBjZL9wpA</t>
  </si>
  <si>
    <t>https://docs.google.com/forms/d/e/1FAIpQLSeEYwFnViiqk1AbexVe1VDR73UApmeuvfn6Yr2vN8WXjwGu2Q/viewform?edit2=2_ABaOnudDtF0nQCO4AULxxrg8bkC1iu29Y_scz3ghzvTzkNfAWSSzzoeX244-d-ew3HkbyaQ&amp;source=documentstudio&amp;timestamp=1718176736985</t>
  </si>
  <si>
    <t>2_ABaOnudDtF0nQCO4AULxxrg8bkC1iu29Y_scz3ghzvTzkNfAWSSzzoeX244-d-ew3HkbyaQ</t>
  </si>
  <si>
    <t>https://drive.google.com/open?id=1rHY_gwC_2HaDMb1vVojBQ-allkMF92bM</t>
  </si>
  <si>
    <t>https://docs.google.com/forms/d/e/1FAIpQLSeEYwFnViiqk1AbexVe1VDR73UApmeuvfn6Yr2vN8WXjwGu2Q/viewform?edit2=2_ABaOnuexMdM1u8uzaWrGTlN3AtcnnlPEIv-3wNey3bHeJaBTxyyS5GcW_Ym4OZQzqCgqLkw&amp;source=documentstudio&amp;timestamp=1718176780826</t>
  </si>
  <si>
    <t>2_ABaOnuexMdM1u8uzaWrGTlN3AtcnnlPEIv-3wNey3bHeJaBTxyyS5GcW_Ym4OZQzqCgqLkw</t>
  </si>
  <si>
    <t>https://drive.google.com/open?id=1srwmqD6ILeK-tWtB5KPYD1PyFjE8vNjM</t>
  </si>
  <si>
    <t>https://docs.google.com/forms/d/e/1FAIpQLSeEYwFnViiqk1AbexVe1VDR73UApmeuvfn6Yr2vN8WXjwGu2Q/viewform?edit2=2_ABaOnudQRucfOYAPxGtFEyxrCSJX0DGP1FbAeTOU1fbvThtkSBUvA_09xXNVbVVrhDzJAio&amp;source=documentstudio&amp;timestamp=1718176964432</t>
  </si>
  <si>
    <t>2_ABaOnudQRucfOYAPxGtFEyxrCSJX0DGP1FbAeTOU1fbvThtkSBUvA_09xXNVbVVrhDzJAio</t>
  </si>
  <si>
    <t>https://drive.google.com/open?id=1QbvlpN8MOPi7Umop2GYoEWH306cdcw6_</t>
  </si>
  <si>
    <t>https://docs.google.com/forms/d/e/1FAIpQLSeEYwFnViiqk1AbexVe1VDR73UApmeuvfn6Yr2vN8WXjwGu2Q/viewform?edit2=2_ABaOnudY3vPsv5CWy1SITxYFPrM7Uo0hoB9Dj5CukNpfqvJLmozruTNg0tWxm_U54CH73ho&amp;source=documentstudio&amp;timestamp=1718177031032</t>
  </si>
  <si>
    <t>2_ABaOnudY3vPsv5CWy1SITxYFPrM7Uo0hoB9Dj5CukNpfqvJLmozruTNg0tWxm_U54CH73ho</t>
  </si>
  <si>
    <t>https://drive.google.com/open?id=1TVf_vUEuQg7WbAN52iNHrUmTse4CqLCK</t>
  </si>
  <si>
    <t>https://docs.google.com/forms/d/e/1FAIpQLSeEYwFnViiqk1AbexVe1VDR73UApmeuvfn6Yr2vN8WXjwGu2Q/viewform?edit2=2_ABaOnucsBg4fjMCY2186_9CLN08rrgTPKMKbTfCOpp57zZ9wgr_m13OvgqVWt63h52fwWKw&amp;source=documentstudio&amp;timestamp=1718177741856</t>
  </si>
  <si>
    <t>2_ABaOnucsBg4fjMCY2186_9CLN08rrgTPKMKbTfCOpp57zZ9wgr_m13OvgqVWt63h52fwWKw</t>
  </si>
  <si>
    <t>https://drive.google.com/open?id=1rhI_ejVp616gOZXQRFUBodbeP2xE802I</t>
  </si>
  <si>
    <t>https://docs.google.com/forms/d/e/1FAIpQLSeEYwFnViiqk1AbexVe1VDR73UApmeuvfn6Yr2vN8WXjwGu2Q/viewform?edit2=2_ABaOnuc8MNQ43Gv02e1Sn6QJpgNy9xP_01Os0ilRYLYwVGm-P9eHF4fGAsiItdWY8o098fo&amp;source=documentstudio&amp;timestamp=1718178703315</t>
  </si>
  <si>
    <t>2_ABaOnuc8MNQ43Gv02e1Sn6QJpgNy9xP_01Os0ilRYLYwVGm-P9eHF4fGAsiItdWY8o098fo</t>
  </si>
  <si>
    <t>https://drive.google.com/open?id=1hrB_glmrbMaZOTH00CWBdXPyFn_D3VY0</t>
  </si>
  <si>
    <t>https://docs.google.com/forms/d/e/1FAIpQLSeEYwFnViiqk1AbexVe1VDR73UApmeuvfn6Yr2vN8WXjwGu2Q/viewform?edit2=2_ABaOnucIHVN9wlxPir8nYZ_A979u3hNB8POUn7g1Qy30GySdzT6J6wwvt5zV71_GgOFdDks&amp;source=documentstudio&amp;timestamp=1718180332055</t>
  </si>
  <si>
    <t>2_ABaOnucIHVN9wlxPir8nYZ_A979u3hNB8POUn7g1Qy30GySdzT6J6wwvt5zV71_GgOFdDks</t>
  </si>
  <si>
    <t>https://drive.google.com/open?id=1UE6DiVcRWnlKxpC69Ez7JfjpOPeL1B3E</t>
  </si>
  <si>
    <t>https://docs.google.com/forms/d/e/1FAIpQLSeEYwFnViiqk1AbexVe1VDR73UApmeuvfn6Yr2vN8WXjwGu2Q/viewform?edit2=2_ABaOnuf11fiV4XT1wLZqeHOG_bsxj5ReUzxXQTmeF4njjWpAtHJwrFOhvZeFViC3XBNZelc&amp;source=documentstudio&amp;timestamp=1718180665739</t>
  </si>
  <si>
    <t>2_ABaOnuf11fiV4XT1wLZqeHOG_bsxj5ReUzxXQTmeF4njjWpAtHJwrFOhvZeFViC3XBNZelc</t>
  </si>
  <si>
    <t>https://drive.google.com/open?id=1xB8B90J9qF-k8rUPX6YSfvFJd3f2EzXU</t>
  </si>
  <si>
    <t>https://docs.google.com/forms/d/e/1FAIpQLSeEYwFnViiqk1AbexVe1VDR73UApmeuvfn6Yr2vN8WXjwGu2Q/viewform?edit2=2_ABaOnueBoodP6kWp-UH7J4MSTSeU2RWOZ_aPGwEdGzSS7dC20TNq3skz7iyJhmOAVqh79GI&amp;source=documentstudio&amp;timestamp=1718181211204</t>
  </si>
  <si>
    <t>2_ABaOnueBoodP6kWp-UH7J4MSTSeU2RWOZ_aPGwEdGzSS7dC20TNq3skz7iyJhmOAVqh79GI</t>
  </si>
  <si>
    <t>https://drive.google.com/open?id=1pqU9GImHMsgxyDs2DcV2D3ibmwyHza08</t>
  </si>
  <si>
    <t>https://docs.google.com/forms/d/e/1FAIpQLSeEYwFnViiqk1AbexVe1VDR73UApmeuvfn6Yr2vN8WXjwGu2Q/viewform?edit2=2_ABaOnueN5mhq0jW8WD0zI3Pg2V8mEQ9WCerFNjbej0dzdNvKk9YxBpWPT4ykQKar765Owo0&amp;source=documentstudio&amp;timestamp=1718243558477</t>
  </si>
  <si>
    <t>2_ABaOnueN5mhq0jW8WD0zI3Pg2V8mEQ9WCerFNjbej0dzdNvKk9YxBpWPT4ykQKar765Owo0</t>
  </si>
  <si>
    <t>https://drive.google.com/open?id=1gQKB0EDh3KGKadeDibiEd3TAEMit3D-V</t>
  </si>
  <si>
    <t>https://docs.google.com/forms/d/e/1FAIpQLSeEYwFnViiqk1AbexVe1VDR73UApmeuvfn6Yr2vN8WXjwGu2Q/viewform?edit2=2_ABaOnucUp1_KmzaWwLeyZzbHjJk2gQa0P-FtiaTucAYWI-_NUtLRMKlddLEy2NtFMOsc-Fw&amp;source=documentstudio&amp;timestamp=1719968104999</t>
  </si>
  <si>
    <t>2_ABaOnucUp1_KmzaWwLeyZzbHjJk2gQa0P-FtiaTucAYWI-_NUtLRMKlddLEy2NtFMOsc-Fw</t>
  </si>
  <si>
    <t>https://drive.google.com/open?id=1UegSNS_GwO2WuPSczYEZs1VyRjuQr1rT</t>
  </si>
  <si>
    <t>https://docs.google.com/forms/d/e/1FAIpQLSeEYwFnViiqk1AbexVe1VDR73UApmeuvfn6Yr2vN8WXjwGu2Q/viewform?edit2=2_ABaOnueiPMR4zsAD8XneRQ66solHMtq0RMFhZpH5vEy2UVSYjEqC3rw0jE3Hi49dqWqKY2w&amp;source=documentstudio&amp;timestamp=1719968135860</t>
  </si>
  <si>
    <t>2_ABaOnueiPMR4zsAD8XneRQ66solHMtq0RMFhZpH5vEy2UVSYjEqC3rw0jE3Hi49dqWqKY2w</t>
  </si>
  <si>
    <t>https://drive.google.com/open?id=1NRJ3ly5AVPSoqmDpKuOmIojm_Azbof2K</t>
  </si>
  <si>
    <t>https://docs.google.com/forms/d/e/1FAIpQLSeEYwFnViiqk1AbexVe1VDR73UApmeuvfn6Yr2vN8WXjwGu2Q/viewform?edit2=2_ABaOnudHcyuxXMyz2LlQenOk9qE-L6m7K1VBOZBtqhSpLy90e53ulla_0zbAxdk5QZL8f5c&amp;source=documentstudio&amp;timestamp=1719968163851</t>
  </si>
  <si>
    <t>2_ABaOnudHcyuxXMyz2LlQenOk9qE-L6m7K1VBOZBtqhSpLy90e53ulla_0zbAxdk5QZL8f5c</t>
  </si>
  <si>
    <t>Henri Wagiyanto</t>
  </si>
  <si>
    <t>https://drive.google.com/open?id=12o0HZbYwQsB--xchgs9e1oRS4bVI10GX</t>
  </si>
  <si>
    <t>https://docs.google.com/forms/d/e/1FAIpQLSeEYwFnViiqk1AbexVe1VDR73UApmeuvfn6Yr2vN8WXjwGu2Q/viewform?edit2=2_ABaOnueqrMEVGQRdW0j9xILo4U1GPhgKVyIdlvhdvQqfYhaqQR2gUA7EkuKBSo6IErE5shc&amp;source=documentstudio&amp;timestamp=1720052727527</t>
  </si>
  <si>
    <t>2_ABaOnueqrMEVGQRdW0j9xILo4U1GPhgKVyIdlvhdvQqfYhaqQR2gUA7EkuKBSo6IErE5shc</t>
  </si>
  <si>
    <t>https://drive.google.com/open?id=1W4Dt1IXzDJlh4l44-j_DkQ7jaf3vYaxK</t>
  </si>
  <si>
    <t>https://docs.google.com/forms/d/e/1FAIpQLSeEYwFnViiqk1AbexVe1VDR73UApmeuvfn6Yr2vN8WXjwGu2Q/viewform?edit2=2_ABaOnufNfG4XCD9eWKcOv-2la80kiheGHqezUuzrUoywW1oCiN5Pc0bQriI7Z32I8V4PVU4&amp;source=documentstudio&amp;timestamp=1720401800769</t>
  </si>
  <si>
    <t>2_ABaOnufNfG4XCD9eWKcOv-2la80kiheGHqezUuzrUoywW1oCiN5Pc0bQriI7Z32I8V4PVU4</t>
  </si>
  <si>
    <t>https://drive.google.com/open?id=1_g3D959a6-pasW39qULvZaNMYsgTl1V3</t>
  </si>
  <si>
    <t>https://docs.google.com/forms/d/e/1FAIpQLSeEYwFnViiqk1AbexVe1VDR73UApmeuvfn6Yr2vN8WXjwGu2Q/viewform?edit2=2_ABaOnuddyq7afHaqZhDhpz9fe_hsDYzlaBjRva9NWzCv3SPm7bzhCLd_YaEx0eYcF-3JZR0&amp;source=documentstudio&amp;timestamp=1720406640031</t>
  </si>
  <si>
    <t>2_ABaOnuddyq7afHaqZhDhpz9fe_hsDYzlaBjRva9NWzCv3SPm7bzhCLd_YaEx0eYcF-3JZR0</t>
  </si>
  <si>
    <t>https://drive.google.com/open?id=1jcKGCp8rcCTZYjYjGmB-fvchQtNNNUFH</t>
  </si>
  <si>
    <t>https://docs.google.com/forms/d/e/1FAIpQLSeEYwFnViiqk1AbexVe1VDR73UApmeuvfn6Yr2vN8WXjwGu2Q/viewform?edit2=2_ABaOnucQgnMuGbkTQmLNVUJs50_QVmsiXom8pOnVFJOg2F_3O6i1Wfn3T2ACZaokJab00qU&amp;source=documentstudio&amp;timestamp=1720406866474</t>
  </si>
  <si>
    <t>2_ABaOnucQgnMuGbkTQmLNVUJs50_QVmsiXom8pOnVFJOg2F_3O6i1Wfn3T2ACZaokJab00qU</t>
  </si>
  <si>
    <t>Budhi Setyono</t>
  </si>
  <si>
    <t>https://drive.google.com/open?id=1tQM_JDMu9rXuvZxNuaBxLrY0Kj7iyeoU</t>
  </si>
  <si>
    <t>https://docs.google.com/forms/d/e/1FAIpQLSeEYwFnViiqk1AbexVe1VDR73UApmeuvfn6Yr2vN8WXjwGu2Q/viewform?edit2=2_ABaOnucGR6m3TxSnKl1X2wUXsmohu9uUiRPaN7iSxs9zcytViIbtpfbgq7Oen38ekr9cRhU&amp;source=documentstudio&amp;timestamp=1720408137238</t>
  </si>
  <si>
    <t>2_ABaOnucGR6m3TxSnKl1X2wUXsmohu9uUiRPaN7iSxs9zcytViIbtpfbgq7Oen38ekr9cRhU</t>
  </si>
  <si>
    <t>https://drive.google.com/open?id=1QqBvh646y5X9Tricjh1w3FmlN45-OFnT</t>
  </si>
  <si>
    <t>https://docs.google.com/forms/d/e/1FAIpQLSeEYwFnViiqk1AbexVe1VDR73UApmeuvfn6Yr2vN8WXjwGu2Q/viewform?edit2=2_ABaOnueEmu-JxFbbBSgI2_pqw9MgJFMfeXaVQGdVoqGN13Ksgfo_pJMQcODp9Hx4h3GLlNM&amp;source=documentstudio&amp;timestamp=1720410161324</t>
  </si>
  <si>
    <t>2_ABaOnueEmu-JxFbbBSgI2_pqw9MgJFMfeXaVQGdVoqGN13Ksgfo_pJMQcODp9Hx4h3GLlNM</t>
  </si>
  <si>
    <t>https://drive.google.com/open?id=1eFAX8HkUmvXEzYNFBHw6jPH9A0mz2gUD</t>
  </si>
  <si>
    <t>https://docs.google.com/forms/d/e/1FAIpQLSeEYwFnViiqk1AbexVe1VDR73UApmeuvfn6Yr2vN8WXjwGu2Q/viewform?edit2=2_ABaOnuextTE7LnMSVhCaSQt8RVVYAuzhl5YdOL7UPtAsMqN-cebs9Gj7N85AfFylWdL9Pt8&amp;source=documentstudio&amp;timestamp=1720410205717</t>
  </si>
  <si>
    <t>2_ABaOnuextTE7LnMSVhCaSQt8RVVYAuzhl5YdOL7UPtAsMqN-cebs9Gj7N85AfFylWdL9Pt8</t>
  </si>
  <si>
    <t>https://drive.google.com/open?id=10x_WTBXYgbgVUWRIS-hm8U_aFdIyKpdZ</t>
  </si>
  <si>
    <t>https://docs.google.com/forms/d/e/1FAIpQLSeEYwFnViiqk1AbexVe1VDR73UApmeuvfn6Yr2vN8WXjwGu2Q/viewform?edit2=2_ABaOnufj37uN6W50NVEw0g7vYxrMpH0Dz5lDRKlufVf50VQvqHpQ1KyrXx-pS3_ddD36woI&amp;source=documentstudio&amp;timestamp=1720410483290</t>
  </si>
  <si>
    <t>2_ABaOnufj37uN6W50NVEw0g7vYxrMpH0Dz5lDRKlufVf50VQvqHpQ1KyrXx-pS3_ddD36woI</t>
  </si>
  <si>
    <t>https://drive.google.com/open?id=1c5awmlQfMHogI6jrVxvTpRAsWL7sx3Ma</t>
  </si>
  <si>
    <t>https://docs.google.com/forms/d/e/1FAIpQLSeEYwFnViiqk1AbexVe1VDR73UApmeuvfn6Yr2vN8WXjwGu2Q/viewform?edit2=2_ABaOnucteVkzZU4mKfTJaiL6A5RZ4XxXt9qdlKT37MvzqhDebfiSgCra8_4X2zJcP7vlGI4&amp;source=documentstudio&amp;timestamp=1720412936246</t>
  </si>
  <si>
    <t>2_ABaOnucteVkzZU4mKfTJaiL6A5RZ4XxXt9qdlKT37MvzqhDebfiSgCra8_4X2zJcP7vlGI4</t>
  </si>
  <si>
    <t>https://drive.google.com/open?id=1CLlbF5MIFu-7ZcmG892u3WD4yeR8CAUu</t>
  </si>
  <si>
    <t>https://docs.google.com/forms/d/e/1FAIpQLSeEYwFnViiqk1AbexVe1VDR73UApmeuvfn6Yr2vN8WXjwGu2Q/viewform?edit2=2_ABaOnudkuK1AYNy201hJEAgdRH4Yn0eOvXlZ9SyD1jesgddVltW3yxFU0xqe1W5sXzs9aQE&amp;source=documentstudio&amp;timestamp=1720412958041</t>
  </si>
  <si>
    <t>2_ABaOnudkuK1AYNy201hJEAgdRH4Yn0eOvXlZ9SyD1jesgddVltW3yxFU0xqe1W5sXzs9aQE</t>
  </si>
  <si>
    <t>https://drive.google.com/open?id=1IChm8nAChO_NYhaeVlmLKHxlydu3oG0G</t>
  </si>
  <si>
    <t>https://docs.google.com/forms/d/e/1FAIpQLSeEYwFnViiqk1AbexVe1VDR73UApmeuvfn6Yr2vN8WXjwGu2Q/viewform?edit2=2_ABaOnudE-YB3-z19JQUseGW2F3v9LvGG1z_QSwoTjjr7QKgrr9elQPrNizemp5kBSoC3Bz8&amp;source=documentstudio&amp;timestamp=1720415779072</t>
  </si>
  <si>
    <t>2_ABaOnudE-YB3-z19JQUseGW2F3v9LvGG1z_QSwoTjjr7QKgrr9elQPrNizemp5kBSoC3Bz8</t>
  </si>
  <si>
    <t>https://drive.google.com/open?id=1npQU-hYUFWHo3XKItUbOXTr5ZU8kT2A-</t>
  </si>
  <si>
    <t>https://docs.google.com/forms/d/e/1FAIpQLSeEYwFnViiqk1AbexVe1VDR73UApmeuvfn6Yr2vN8WXjwGu2Q/viewform?edit2=2_ABaOnudZJzhObyifMyxAyGxVV8_FvaUAPZerAvGE0MT2XyLKbg9awq3n3BB19Ok1rls-qwk&amp;source=documentstudio&amp;timestamp=1720415881527</t>
  </si>
  <si>
    <t>2_ABaOnudZJzhObyifMyxAyGxVV8_FvaUAPZerAvGE0MT2XyLKbg9awq3n3BB19Ok1rls-qwk</t>
  </si>
  <si>
    <t>https://drive.google.com/open?id=1_FIyswOJ8moM_VMVcEYSvQN17rV906QI</t>
  </si>
  <si>
    <t>https://docs.google.com/forms/d/e/1FAIpQLSeEYwFnViiqk1AbexVe1VDR73UApmeuvfn6Yr2vN8WXjwGu2Q/viewform?edit2=2_ABaOnucv7zKX4cpEhr_qO-tLQYPj9QwSejtdTACZkeuU5Z76sdRz0p1B93A1mfe1M_gdr2E&amp;source=documentstudio&amp;timestamp=1720424123449</t>
  </si>
  <si>
    <t>2_ABaOnucv7zKX4cpEhr_qO-tLQYPj9QwSejtdTACZkeuU5Z76sdRz0p1B93A1mfe1M_gdr2E</t>
  </si>
  <si>
    <t>https://drive.google.com/open?id=15XoVfqkqu-Ol2OsVwtK-5PDFrnex-mPH</t>
  </si>
  <si>
    <t>https://docs.google.com/forms/d/e/1FAIpQLSeEYwFnViiqk1AbexVe1VDR73UApmeuvfn6Yr2vN8WXjwGu2Q/viewform?edit2=2_ABaOnueXlHYqh82YYH0m-c8CgtjOteVlIokpU7aU41kBCDcvCYjK6DGdr885pAV6uSRfsD8&amp;source=documentstudio&amp;timestamp=1720425442984</t>
  </si>
  <si>
    <t>2_ABaOnueXlHYqh82YYH0m-c8CgtjOteVlIokpU7aU41kBCDcvCYjK6DGdr885pAV6uSRfsD8</t>
  </si>
  <si>
    <t>https://drive.google.com/open?id=1-GF70Ds4dr1kkfEG_Qv5D4PpR_yUJ2sH</t>
  </si>
  <si>
    <t>https://docs.google.com/forms/d/e/1FAIpQLSeEYwFnViiqk1AbexVe1VDR73UApmeuvfn6Yr2vN8WXjwGu2Q/viewform?edit2=2_ABaOnudlfKDDaMbI2iN0eBSgrYz1h_G7kxypWHpHyfG8J94kO4emAg4PLJbWDtWY72SSd2o&amp;source=documentstudio&amp;timestamp=1720428227507</t>
  </si>
  <si>
    <t>2_ABaOnudlfKDDaMbI2iN0eBSgrYz1h_G7kxypWHpHyfG8J94kO4emAg4PLJbWDtWY72SSd2o</t>
  </si>
  <si>
    <t>https://drive.google.com/open?id=1U4XKYtCHmEy1u2vOFFmW5nLP_ICoFLiL</t>
  </si>
  <si>
    <t>https://docs.google.com/forms/d/e/1FAIpQLSeEYwFnViiqk1AbexVe1VDR73UApmeuvfn6Yr2vN8WXjwGu2Q/viewform?edit2=2_ABaOnudtRr3ZeITmog7J6G4uT0DPCPThYhik95l32LQJ6dWQ8jqksk4UdPeqFxiu7lqQZRc&amp;source=documentstudio&amp;timestamp=1720428262597</t>
  </si>
  <si>
    <t>2_ABaOnudtRr3ZeITmog7J6G4uT0DPCPThYhik95l32LQJ6dWQ8jqksk4UdPeqFxiu7lqQZRc</t>
  </si>
  <si>
    <t>https://drive.google.com/open?id=19pozJary6PgiXR48g74os9Cqm4WwQvER</t>
  </si>
  <si>
    <t>https://docs.google.com/forms/d/e/1FAIpQLSeEYwFnViiqk1AbexVe1VDR73UApmeuvfn6Yr2vN8WXjwGu2Q/viewform?edit2=2_ABaOnudH_IdyKUbssDkX5GJQLvOH0PHFjwTIqqpOC4F7jr5ld1r6Il12LDkX9DHyl663Mec&amp;source=documentstudio&amp;timestamp=1720483311985</t>
  </si>
  <si>
    <t>2_ABaOnudH_IdyKUbssDkX5GJQLvOH0PHFjwTIqqpOC4F7jr5ld1r6Il12LDkX9DHyl663Mec</t>
  </si>
  <si>
    <t>https://drive.google.com/open?id=1JuzL_cnR2T10u_oi_k4bQ-PWk_VQg4Cp</t>
  </si>
  <si>
    <t>https://docs.google.com/forms/d/e/1FAIpQLSeEYwFnViiqk1AbexVe1VDR73UApmeuvfn6Yr2vN8WXjwGu2Q/viewform?edit2=2_ABaOnucVQ3O6P89Bgr5-PwMS3xgL4KW18NYm8Cp_5u2wZsN-nEFyrcLTRnNWrSf8SlJvDIk&amp;source=documentstudio&amp;timestamp=1720486624042</t>
  </si>
  <si>
    <t>2_ABaOnucVQ3O6P89Bgr5-PwMS3xgL4KW18NYm8Cp_5u2wZsN-nEFyrcLTRnNWrSf8SlJvDIk</t>
  </si>
  <si>
    <t>https://drive.google.com/open?id=1qLWNDzqMSNJj-ZMEa1l84lkqXagEpHHJ</t>
  </si>
  <si>
    <t>https://docs.google.com/forms/d/e/1FAIpQLSeEYwFnViiqk1AbexVe1VDR73UApmeuvfn6Yr2vN8WXjwGu2Q/viewform?edit2=2_ABaOnud7B8zItbPgOT_w1ySFyEK68jKiea0bYmWBRRX1XDMslgIAg12shJKsLIjGyI7jYiA&amp;source=documentstudio&amp;timestamp=1720487144536</t>
  </si>
  <si>
    <t>2_ABaOnud7B8zItbPgOT_w1ySFyEK68jKiea0bYmWBRRX1XDMslgIAg12shJKsLIjGyI7jYiA</t>
  </si>
  <si>
    <t>https://drive.google.com/open?id=1LK7rTu2EvUrSN8a3inpd7aq86i8NjEIc</t>
  </si>
  <si>
    <t>https://docs.google.com/forms/d/e/1FAIpQLSeEYwFnViiqk1AbexVe1VDR73UApmeuvfn6Yr2vN8WXjwGu2Q/viewform?edit2=2_ABaOnucM9lf6eEpaNx-tzKKr038fp2rf3p3j1AeHifd0010w_ABF8uvc2e_aNwdIusoaQPg&amp;source=documentstudio&amp;timestamp=1720487465261</t>
  </si>
  <si>
    <t>2_ABaOnucM9lf6eEpaNx-tzKKr038fp2rf3p3j1AeHifd0010w_ABF8uvc2e_aNwdIusoaQPg</t>
  </si>
  <si>
    <t>https://drive.google.com/open?id=1kiyQ2CZyorz8JZ3uNn_11TBTXEM8m6Bo</t>
  </si>
  <si>
    <t>https://docs.google.com/forms/d/e/1FAIpQLSeEYwFnViiqk1AbexVe1VDR73UApmeuvfn6Yr2vN8WXjwGu2Q/viewform?edit2=2_ABaOnufP0-Px4PbUCIZBciq02AlBwlvPjDowrDn8apQsqYmzwtm12Z63rSB5fiCA359wWgE&amp;source=documentstudio&amp;timestamp=1720487502290</t>
  </si>
  <si>
    <t>2_ABaOnufP0-Px4PbUCIZBciq02AlBwlvPjDowrDn8apQsqYmzwtm12Z63rSB5fiCA359wWgE</t>
  </si>
  <si>
    <t>https://drive.google.com/open?id=13dRjCd7XfbfWHCVAHDz9JSHGUargLr2Z</t>
  </si>
  <si>
    <t>https://docs.google.com/forms/d/e/1FAIpQLSeEYwFnViiqk1AbexVe1VDR73UApmeuvfn6Yr2vN8WXjwGu2Q/viewform?edit2=2_ABaOnuc5UCw_rS9L4vZP2qK6RkzDJNdlyq3rI6FUJeKViNND-MV1li8CoAYHT1LLaatv19k&amp;source=documentstudio&amp;timestamp=1720487507667</t>
  </si>
  <si>
    <t>2_ABaOnuc5UCw_rS9L4vZP2qK6RkzDJNdlyq3rI6FUJeKViNND-MV1li8CoAYHT1LLaatv19k</t>
  </si>
  <si>
    <t>https://drive.google.com/open?id=1IQjZjKXgdhUt2YxWyH8WJy-WvF-K7XfQ</t>
  </si>
  <si>
    <t>https://docs.google.com/forms/d/e/1FAIpQLSeEYwFnViiqk1AbexVe1VDR73UApmeuvfn6Yr2vN8WXjwGu2Q/viewform?edit2=2_ABaOnucmNCMVqeW1bzP0nkdli5MPRKNXL0A5vzW2evmSDrjpFxIjc-TommgremhpawKwtjg&amp;source=documentstudio&amp;timestamp=1720487582877</t>
  </si>
  <si>
    <t>2_ABaOnucmNCMVqeW1bzP0nkdli5MPRKNXL0A5vzW2evmSDrjpFxIjc-TommgremhpawKwtjg</t>
  </si>
  <si>
    <t>https://drive.google.com/open?id=1UAjSvEhMwDxgpbAS_JGqGqfMB_wInMul</t>
  </si>
  <si>
    <t>https://docs.google.com/forms/d/e/1FAIpQLSeEYwFnViiqk1AbexVe1VDR73UApmeuvfn6Yr2vN8WXjwGu2Q/viewform?edit2=2_ABaOnuelophNth74Xetlvl9HRuhs_7AFq8CieKEDAP-pG3LH6dT6NsBNd-h-2ePZxnY_dc8&amp;source=documentstudio&amp;timestamp=1720487794188</t>
  </si>
  <si>
    <t>2_ABaOnuelophNth74Xetlvl9HRuhs_7AFq8CieKEDAP-pG3LH6dT6NsBNd-h-2ePZxnY_dc8</t>
  </si>
  <si>
    <t>https://drive.google.com/open?id=1JKQmHy9w67qmTJ9D7Beey-XpnTF0JbqJ</t>
  </si>
  <si>
    <t>https://docs.google.com/forms/d/e/1FAIpQLSeEYwFnViiqk1AbexVe1VDR73UApmeuvfn6Yr2vN8WXjwGu2Q/viewform?edit2=2_ABaOnudgmqeGNONVP0RLj1mwav0yniDHZLMLmGEbhcBDgkonWi5B3IDp-9f2tjDChJJxCV8&amp;source=documentstudio&amp;timestamp=1720487818054</t>
  </si>
  <si>
    <t>2_ABaOnudgmqeGNONVP0RLj1mwav0yniDHZLMLmGEbhcBDgkonWi5B3IDp-9f2tjDChJJxCV8</t>
  </si>
  <si>
    <t>https://drive.google.com/open?id=1l4uPKeInm3NfQnrAlDwRA8nIru8G29qM</t>
  </si>
  <si>
    <t>https://docs.google.com/forms/d/e/1FAIpQLSeEYwFnViiqk1AbexVe1VDR73UApmeuvfn6Yr2vN8WXjwGu2Q/viewform?edit2=2_ABaOnueaj4NZXi2NI4NV0JWGi29pCzhjtYhqymiVSHA5GpClf0SQjHnQfE7cXIP3ltFeEoY&amp;source=documentstudio&amp;timestamp=1720487839462</t>
  </si>
  <si>
    <t>2_ABaOnueaj4NZXi2NI4NV0JWGi29pCzhjtYhqymiVSHA5GpClf0SQjHnQfE7cXIP3ltFeEoY</t>
  </si>
  <si>
    <t>https://drive.google.com/open?id=1F813CX5f9e9ZxQPLlzaas6_qWy05KOuF</t>
  </si>
  <si>
    <t>https://docs.google.com/forms/d/e/1FAIpQLSeEYwFnViiqk1AbexVe1VDR73UApmeuvfn6Yr2vN8WXjwGu2Q/viewform?edit2=2_ABaOnueFL7xhJdAj0DyiNMXP15pgieIjzZXkCm0P4VZQm6H_vTJh3BJAS84Kbvqsi63DB_U&amp;source=documentstudio&amp;timestamp=1720487973296</t>
  </si>
  <si>
    <t>2_ABaOnueFL7xhJdAj0DyiNMXP15pgieIjzZXkCm0P4VZQm6H_vTJh3BJAS84Kbvqsi63DB_U</t>
  </si>
  <si>
    <t>https://drive.google.com/open?id=18-qMUXIH-GiMhrW3Eb4ZzN48IwbkxQk-</t>
  </si>
  <si>
    <t>https://docs.google.com/forms/d/e/1FAIpQLSeEYwFnViiqk1AbexVe1VDR73UApmeuvfn6Yr2vN8WXjwGu2Q/viewform?edit2=2_ABaOnudWMD_K8rjj3cqdHeib4sayCZezyTAjh_LQJdZwsdJGwPM8Q-d_RIIde8uMJ-XZNe4&amp;source=documentstudio&amp;timestamp=1720488043486</t>
  </si>
  <si>
    <t>2_ABaOnudWMD_K8rjj3cqdHeib4sayCZezyTAjh_LQJdZwsdJGwPM8Q-d_RIIde8uMJ-XZNe4</t>
  </si>
  <si>
    <t>https://drive.google.com/open?id=15ZmqEPGVJJSzZsKrWF7VOMsAQkqz1Y80</t>
  </si>
  <si>
    <t>https://docs.google.com/forms/d/e/1FAIpQLSeEYwFnViiqk1AbexVe1VDR73UApmeuvfn6Yr2vN8WXjwGu2Q/viewform?edit2=2_ABaOnudrvpCnnyhg_8wKootvap6eh5Btizo_p-mKHoZ2uIhmvQJkID0pT36vhzQjEUAHJyA&amp;source=documentstudio&amp;timestamp=1720488104958</t>
  </si>
  <si>
    <t>2_ABaOnudrvpCnnyhg_8wKootvap6eh5Btizo_p-mKHoZ2uIhmvQJkID0pT36vhzQjEUAHJyA</t>
  </si>
  <si>
    <t>https://drive.google.com/open?id=1L98qxb3s-pFw9unm3zYLfAO3INqx1JJ-</t>
  </si>
  <si>
    <t>https://docs.google.com/forms/d/e/1FAIpQLSeEYwFnViiqk1AbexVe1VDR73UApmeuvfn6Yr2vN8WXjwGu2Q/viewform?edit2=2_ABaOnud789fSxW7vZMmWZElPFCct4LjJwVIiIg6QK2DeCe46O0tj54k_v6f4Y8oo6aCfThw&amp;source=documentstudio&amp;timestamp=1720488183653</t>
  </si>
  <si>
    <t>2_ABaOnud789fSxW7vZMmWZElPFCct4LjJwVIiIg6QK2DeCe46O0tj54k_v6f4Y8oo6aCfThw</t>
  </si>
  <si>
    <t>https://drive.google.com/open?id=1_20sK6sg0_0Mz1Oqc8w1NZbZrMFVvnPe</t>
  </si>
  <si>
    <t>https://docs.google.com/forms/d/e/1FAIpQLSeEYwFnViiqk1AbexVe1VDR73UApmeuvfn6Yr2vN8WXjwGu2Q/viewform?edit2=2_ABaOnucGmzQxFEFc9WnvqyllBwys9FJl8GF8HozzrEC_kNrVqKweKhC5YjNTnbycq9TAGjE&amp;source=documentstudio&amp;timestamp=1720488203778</t>
  </si>
  <si>
    <t>2_ABaOnucGmzQxFEFc9WnvqyllBwys9FJl8GF8HozzrEC_kNrVqKweKhC5YjNTnbycq9TAGjE</t>
  </si>
  <si>
    <t>https://drive.google.com/open?id=1cRw7hrRl1LDZ-jsFhwmCDdjeD_W1clwD</t>
  </si>
  <si>
    <t>https://docs.google.com/forms/d/e/1FAIpQLSeEYwFnViiqk1AbexVe1VDR73UApmeuvfn6Yr2vN8WXjwGu2Q/viewform?edit2=2_ABaOnucd81R_Y8lntbpXwWlgl5PCMliEjSlViKpifpdDe8_Voqoq7_D7_rjQjnsLNt4dOEM&amp;source=documentstudio&amp;timestamp=1720488245193</t>
  </si>
  <si>
    <t>2_ABaOnucd81R_Y8lntbpXwWlgl5PCMliEjSlViKpifpdDe8_Voqoq7_D7_rjQjnsLNt4dOEM</t>
  </si>
  <si>
    <t>https://drive.google.com/open?id=1nxxdB3gbqk8XAeJlCbM5JUudW_feeTBf</t>
  </si>
  <si>
    <t>https://docs.google.com/forms/d/e/1FAIpQLSeEYwFnViiqk1AbexVe1VDR73UApmeuvfn6Yr2vN8WXjwGu2Q/viewform?edit2=2_ABaOnudF_iu60tExvyEpjsEtweJfvrcZ8KhIMlKODMrMMcttIUlJ81DKNBRHk15_SUTGIjw&amp;source=documentstudio&amp;timestamp=1720488288387</t>
  </si>
  <si>
    <t>2_ABaOnudF_iu60tExvyEpjsEtweJfvrcZ8KhIMlKODMrMMcttIUlJ81DKNBRHk15_SUTGIjw</t>
  </si>
  <si>
    <t>https://drive.google.com/open?id=1X8Za9mAwcn9OOWIqSxb0X4R7XTrU2HOb</t>
  </si>
  <si>
    <t>https://docs.google.com/forms/d/e/1FAIpQLSeEYwFnViiqk1AbexVe1VDR73UApmeuvfn6Yr2vN8WXjwGu2Q/viewform?edit2=2_ABaOnudr2Cw8icrj9dv9mAxj34tjdd9PSX8i6X5NvzDCK_ua99FJA_JJgpusCf7-cBXftY8&amp;source=documentstudio&amp;timestamp=1720488290875</t>
  </si>
  <si>
    <t>2_ABaOnudr2Cw8icrj9dv9mAxj34tjdd9PSX8i6X5NvzDCK_ua99FJA_JJgpusCf7-cBXftY8</t>
  </si>
  <si>
    <t>https://drive.google.com/open?id=1fB9qiSOEFb_1qKrN3sxTRFdbBJqv6oEm</t>
  </si>
  <si>
    <t>https://docs.google.com/forms/d/e/1FAIpQLSeEYwFnViiqk1AbexVe1VDR73UApmeuvfn6Yr2vN8WXjwGu2Q/viewform?edit2=2_ABaOnuc7oEIPjNk8Z0YyWQdxnH4l3ocmZPVWq2n6n_iSPZ8p7Y2-NMxp8vg7tdFVhqRxzlk&amp;source=documentstudio&amp;timestamp=1720488345948</t>
  </si>
  <si>
    <t>2_ABaOnuc7oEIPjNk8Z0YyWQdxnH4l3ocmZPVWq2n6n_iSPZ8p7Y2-NMxp8vg7tdFVhqRxzlk</t>
  </si>
  <si>
    <t>https://drive.google.com/open?id=1_RNlTy3HI-rIoS7t2OWR5nuC_4eW-lSj</t>
  </si>
  <si>
    <t>https://docs.google.com/forms/d/e/1FAIpQLSeEYwFnViiqk1AbexVe1VDR73UApmeuvfn6Yr2vN8WXjwGu2Q/viewform?edit2=2_ABaOnueLrKkOXGQKNo45D9796QW3k-UkM4nfv4Dgaq6-lVIQfRZy3s4JnJu9zLzFOdkkQQo&amp;source=documentstudio&amp;timestamp=1720488672433</t>
  </si>
  <si>
    <t>2_ABaOnueLrKkOXGQKNo45D9796QW3k-UkM4nfv4Dgaq6-lVIQfRZy3s4JnJu9zLzFOdkkQQo</t>
  </si>
  <si>
    <t>https://drive.google.com/open?id=1TFdAZNuZQevnLdW2pkSig4wv5EziAp2d</t>
  </si>
  <si>
    <t>https://docs.google.com/forms/d/e/1FAIpQLSeEYwFnViiqk1AbexVe1VDR73UApmeuvfn6Yr2vN8WXjwGu2Q/viewform?edit2=2_ABaOnucrUd6pNlXIfEu0BAvipzHtRERSBSmn0gfBRhqf9ctsZOt3ysvWONAjaxPhiUu97TE&amp;source=documentstudio&amp;timestamp=1720488705412</t>
  </si>
  <si>
    <t>2_ABaOnucrUd6pNlXIfEu0BAvipzHtRERSBSmn0gfBRhqf9ctsZOt3ysvWONAjaxPhiUu97TE</t>
  </si>
  <si>
    <t>https://drive.google.com/open?id=1N8gC4Gld7u24kBdmQlb3MzB2uCsJWhfj</t>
  </si>
  <si>
    <t>https://docs.google.com/forms/d/e/1FAIpQLSeEYwFnViiqk1AbexVe1VDR73UApmeuvfn6Yr2vN8WXjwGu2Q/viewform?edit2=2_ABaOnudJrioWvZP3zHk4lhyOv-JgI8prmDGwCjmnbjjq9W4v5IOhLr9Q9cGFPES6J0gzhXk&amp;source=documentstudio&amp;timestamp=1720489151129</t>
  </si>
  <si>
    <t>2_ABaOnudJrioWvZP3zHk4lhyOv-JgI8prmDGwCjmnbjjq9W4v5IOhLr9Q9cGFPES6J0gzhXk</t>
  </si>
  <si>
    <t>https://drive.google.com/open?id=19OLIB4iZt0ciwE-rBFiRWluZQYImqVdE</t>
  </si>
  <si>
    <t>https://docs.google.com/forms/d/e/1FAIpQLSeEYwFnViiqk1AbexVe1VDR73UApmeuvfn6Yr2vN8WXjwGu2Q/viewform?edit2=2_ABaOnucP8u57i9AwQ0-NLLkRtuEhS6V9XsnYefvZQ-txgEWZIMurmqwUMTF9GVNMJBu6ZqI&amp;source=documentstudio&amp;timestamp=1720490156768</t>
  </si>
  <si>
    <t>2_ABaOnucP8u57i9AwQ0-NLLkRtuEhS6V9XsnYefvZQ-txgEWZIMurmqwUMTF9GVNMJBu6ZqI</t>
  </si>
  <si>
    <t>https://drive.google.com/open?id=14W3ziqPvfOY1qfcRPYDbu_GVnVpJLVvn</t>
  </si>
  <si>
    <t>https://docs.google.com/forms/d/e/1FAIpQLSeEYwFnViiqk1AbexVe1VDR73UApmeuvfn6Yr2vN8WXjwGu2Q/viewform?edit2=2_ABaOnucdnpE2PXpzLEKlFloSCx6e_Y-GUtUCCMLZ41t7X_mupgvPbTa59TDTMezyNt3qEWg&amp;source=documentstudio&amp;timestamp=1720490189112</t>
  </si>
  <si>
    <t>2_ABaOnucdnpE2PXpzLEKlFloSCx6e_Y-GUtUCCMLZ41t7X_mupgvPbTa59TDTMezyNt3qEWg</t>
  </si>
  <si>
    <t>https://drive.google.com/open?id=12qsjRxh9CNAhQacmagkvzFbVhAmPd-_F</t>
  </si>
  <si>
    <t>https://docs.google.com/forms/d/e/1FAIpQLSeEYwFnViiqk1AbexVe1VDR73UApmeuvfn6Yr2vN8WXjwGu2Q/viewform?edit2=2_ABaOnudDIC_QlMEQOPYYZqorMgERou90NqRN4sOU9VFwFh4TqUY44G1Vlk5nFingH4llFZI&amp;source=documentstudio&amp;timestamp=1720490217006</t>
  </si>
  <si>
    <t>2_ABaOnudDIC_QlMEQOPYYZqorMgERou90NqRN4sOU9VFwFh4TqUY44G1Vlk5nFingH4llFZI</t>
  </si>
  <si>
    <t>https://drive.google.com/open?id=1g19OaoyZ4pyyuB-9Uo2AwqcYj64banfs</t>
  </si>
  <si>
    <t>https://docs.google.com/forms/d/e/1FAIpQLSeEYwFnViiqk1AbexVe1VDR73UApmeuvfn6Yr2vN8WXjwGu2Q/viewform?edit2=2_ABaOnud36py3T4dDhVrjowG_URnlcHSZg6woumKLL_8FfOHJawVFOGpdV3l9Qa5w6mv1GxI&amp;source=documentstudio&amp;timestamp=1720490538969</t>
  </si>
  <si>
    <t>2_ABaOnud36py3T4dDhVrjowG_URnlcHSZg6woumKLL_8FfOHJawVFOGpdV3l9Qa5w6mv1GxI</t>
  </si>
  <si>
    <t>https://drive.google.com/open?id=1hxqQ5HjC23w09bY9GTbsEDHKT3mCQi84</t>
  </si>
  <si>
    <t>https://docs.google.com/forms/d/e/1FAIpQLSeEYwFnViiqk1AbexVe1VDR73UApmeuvfn6Yr2vN8WXjwGu2Q/viewform?edit2=2_ABaOnudIzj1X25gsTShrDZxDa3mp74o3Vxu2okfbuqgG2Fk4xHAYaOx9lTb75qSZaiVpKuI&amp;source=documentstudio&amp;timestamp=1720490598653</t>
  </si>
  <si>
    <t>2_ABaOnudIzj1X25gsTShrDZxDa3mp74o3Vxu2okfbuqgG2Fk4xHAYaOx9lTb75qSZaiVpKuI</t>
  </si>
  <si>
    <t>https://drive.google.com/open?id=1V9WU1lnTtuoXksZPqD5CZq2oLybWXKQa</t>
  </si>
  <si>
    <t>https://docs.google.com/forms/d/e/1FAIpQLSeEYwFnViiqk1AbexVe1VDR73UApmeuvfn6Yr2vN8WXjwGu2Q/viewform?edit2=2_ABaOnudSh-0o4DKeMuVHfZfTTMazUZKMi8rOcD2ts2Fs6yRRajSFLGvBnHCOntgBrt-h6p8&amp;source=documentstudio&amp;timestamp=1720490804534</t>
  </si>
  <si>
    <t>2_ABaOnudSh-0o4DKeMuVHfZfTTMazUZKMi8rOcD2ts2Fs6yRRajSFLGvBnHCOntgBrt-h6p8</t>
  </si>
  <si>
    <t>https://drive.google.com/open?id=1KrL2hTAVlrwM9OmCTpjANM49Sxdd6-TH</t>
  </si>
  <si>
    <t>https://docs.google.com/forms/d/e/1FAIpQLSeEYwFnViiqk1AbexVe1VDR73UApmeuvfn6Yr2vN8WXjwGu2Q/viewform?edit2=2_ABaOnueSKbhkZXRxU11E77ubi8fH9YCVTbq95IVIM9-kgDFK-Q2Vj2GB9ibf6TxqqOvCC5o&amp;source=documentstudio&amp;timestamp=1720490835928</t>
  </si>
  <si>
    <t>2_ABaOnueSKbhkZXRxU11E77ubi8fH9YCVTbq95IVIM9-kgDFK-Q2Vj2GB9ibf6TxqqOvCC5o</t>
  </si>
  <si>
    <t>https://drive.google.com/open?id=1PTItucageUCb0bL7NYb301RajR6y4GTE</t>
  </si>
  <si>
    <t>https://docs.google.com/forms/d/e/1FAIpQLSeEYwFnViiqk1AbexVe1VDR73UApmeuvfn6Yr2vN8WXjwGu2Q/viewform?edit2=2_ABaOnudBqsWnomavrfUAURVgDXwMqXQPTrKFGJBus5pjXtPy3_vvIskdBgDpN20-r4QYv6A&amp;source=documentstudio&amp;timestamp=1720492811443</t>
  </si>
  <si>
    <t>2_ABaOnudBqsWnomavrfUAURVgDXwMqXQPTrKFGJBus5pjXtPy3_vvIskdBgDpN20-r4QYv6A</t>
  </si>
  <si>
    <t>https://drive.google.com/open?id=1z8uPtD6odVUQ8ZzlXF8z8RaSNXTjB2lY</t>
  </si>
  <si>
    <t>https://docs.google.com/forms/d/e/1FAIpQLSeEYwFnViiqk1AbexVe1VDR73UApmeuvfn6Yr2vN8WXjwGu2Q/viewform?edit2=2_ABaOnudQTIxzhW1PbyfR74FPiLrAjDVoCLDTOEKjuzWWr-fDTw_xwkMv0FwzsvZbVkFUORE&amp;source=documentstudio&amp;timestamp=1720492852191</t>
  </si>
  <si>
    <t>2_ABaOnudQTIxzhW1PbyfR74FPiLrAjDVoCLDTOEKjuzWWr-fDTw_xwkMv0FwzsvZbVkFUORE</t>
  </si>
  <si>
    <t>https://drive.google.com/open?id=13uYb5onS8FuHiXFkBk_Z1H9u-lEW5XeM</t>
  </si>
  <si>
    <t>https://docs.google.com/forms/d/e/1FAIpQLSeEYwFnViiqk1AbexVe1VDR73UApmeuvfn6Yr2vN8WXjwGu2Q/viewform?edit2=2_ABaOnucLTBlnrkyD1gj53KtFWM3tlZHoR8wdYeJNth5ImzRE0OtBr0Rvdr8f7A73pB4J6eY&amp;source=documentstudio&amp;timestamp=1720492872640</t>
  </si>
  <si>
    <t>2_ABaOnucLTBlnrkyD1gj53KtFWM3tlZHoR8wdYeJNth5ImzRE0OtBr0Rvdr8f7A73pB4J6eY</t>
  </si>
  <si>
    <t>https://drive.google.com/open?id=1TRsrlgLxkqkMORiJjA6NdlSCOfLPM5GG</t>
  </si>
  <si>
    <t>https://docs.google.com/forms/d/e/1FAIpQLSeEYwFnViiqk1AbexVe1VDR73UApmeuvfn6Yr2vN8WXjwGu2Q/viewform?edit2=2_ABaOnufercI-eix_oNKDMvcZjIuaYP1__lP12O8-XGZrS_Chzuv_jn7YOGVczjyKxFqx67s&amp;source=documentstudio&amp;timestamp=1720571438390</t>
  </si>
  <si>
    <t>2_ABaOnufercI-eix_oNKDMvcZjIuaYP1__lP12O8-XGZrS_Chzuv_jn7YOGVczjyKxFqx67s</t>
  </si>
  <si>
    <t>https://drive.google.com/open?id=1Zr-Ut4JJVBzpHL6hHpjq8dYeepi6xd1Z</t>
  </si>
  <si>
    <t>https://docs.google.com/forms/d/e/1FAIpQLSeEYwFnViiqk1AbexVe1VDR73UApmeuvfn6Yr2vN8WXjwGu2Q/viewform?edit2=2_ABaOnudU3t3Zk-CeqTvYxm703vOgL-PRVzWE2SY3RCwte7cuZ_AeUMz5B2cinaIoOm7y3xw&amp;source=documentstudio&amp;timestamp=1720571472892</t>
  </si>
  <si>
    <t>2_ABaOnudU3t3Zk-CeqTvYxm703vOgL-PRVzWE2SY3RCwte7cuZ_AeUMz5B2cinaIoOm7y3xw</t>
  </si>
  <si>
    <t>https://drive.google.com/open?id=1NPfZGppuTbsx0AYmJQTk5hHU1dkwHQqE</t>
  </si>
  <si>
    <t>https://docs.google.com/forms/d/e/1FAIpQLSeEYwFnViiqk1AbexVe1VDR73UApmeuvfn6Yr2vN8WXjwGu2Q/viewform?edit2=2_ABaOnufXHxrK2A5VbWJTSLbxK27m7bwEMm__A2jB7mj8GgaiXDBv2Mj6SouE_A6z0iyQzuo&amp;source=documentstudio&amp;timestamp=1720776380271</t>
  </si>
  <si>
    <t>2_ABaOnufXHxrK2A5VbWJTSLbxK27m7bwEMm__A2jB7mj8GgaiXDBv2Mj6SouE_A6z0iyQzuo</t>
  </si>
  <si>
    <t>https://drive.google.com/open?id=1HpE02PrgrXaNCKxBWlz-kgwidhLIx1uI</t>
  </si>
  <si>
    <t>https://docs.google.com/forms/d/e/1FAIpQLSeEYwFnViiqk1AbexVe1VDR73UApmeuvfn6Yr2vN8WXjwGu2Q/viewform?edit2=2_ABaOnufv4TR88pi0lUOBoxE82lQarICGcko5TNgs_njsS-bFx1r35d7mqvP9oVwJ3o0lBV8&amp;source=documentstudio&amp;timestamp=1721030107351</t>
  </si>
  <si>
    <t>2_ABaOnufv4TR88pi0lUOBoxE82lQarICGcko5TNgs_njsS-bFx1r35d7mqvP9oVwJ3o0lBV8</t>
  </si>
  <si>
    <t>March Excel</t>
  </si>
  <si>
    <t>https://drive.google.com/open?id=158GRNrozzXbCWYcRc2vTlceGOyKi1g2F</t>
  </si>
  <si>
    <t>https://docs.google.com/forms/d/e/1FAIpQLSeEYwFnViiqk1AbexVe1VDR73UApmeuvfn6Yr2vN8WXjwGu2Q/viewform?edit2=2_ABaOnueHgcAmydC3ONiUthlFL1tcUeIW_kkl7KF8zERecFTK64ZA2XMwIxPQ8Ld0vfwo6MA&amp;source=documentstudio&amp;timestamp=1721619356344</t>
  </si>
  <si>
    <t>2_ABaOnueHgcAmydC3ONiUthlFL1tcUeIW_kkl7KF8zERecFTK64ZA2XMwIxPQ8Ld0vfwo6MA</t>
  </si>
  <si>
    <t>https://drive.google.com/open?id=1diRwDieLMyey0pntcxeW_gwMhla1_XAk</t>
  </si>
  <si>
    <t>https://docs.google.com/forms/d/e/1FAIpQLSeEYwFnViiqk1AbexVe1VDR73UApmeuvfn6Yr2vN8WXjwGu2Q/viewform?edit2=2_ABaOnueieWZopsMOamRdp6JHKD1gu5fcxzGRDix31uGB2_Tn3GPg0iG-ERqASMm5zwngCG4&amp;source=documentstudio&amp;timestamp=1721619504867</t>
  </si>
  <si>
    <t>2_ABaOnueieWZopsMOamRdp6JHKD1gu5fcxzGRDix31uGB2_Tn3GPg0iG-ERqASMm5zwngCG4</t>
  </si>
  <si>
    <t>https://drive.google.com/open?id=1hNe1SPDTJrWGKVIGveLMwPHa_C_uuKT8</t>
  </si>
  <si>
    <t>https://docs.google.com/forms/d/e/1FAIpQLSeEYwFnViiqk1AbexVe1VDR73UApmeuvfn6Yr2vN8WXjwGu2Q/viewform?edit2=2_ABaOnue4g0p6H57J0dP5H0Zge8B9dy-NpnuouopRMWoijS-TpJsd7IZd6HfuGjcc6HyiMYM&amp;source=documentstudio&amp;timestamp=1721619511955</t>
  </si>
  <si>
    <t>2_ABaOnue4g0p6H57J0dP5H0Zge8B9dy-NpnuouopRMWoijS-TpJsd7IZd6HfuGjcc6HyiMYM</t>
  </si>
  <si>
    <t>https://drive.google.com/open?id=1LBcTgrnBnBPjMNo36k4U0CLiYct5OwdK</t>
  </si>
  <si>
    <t>https://docs.google.com/forms/d/e/1FAIpQLSeEYwFnViiqk1AbexVe1VDR73UApmeuvfn6Yr2vN8WXjwGu2Q/viewform?edit2=2_ABaOnuciP8hUIFljsyzrgfFMRYmB1Y8hFFhexghRt3slopp9vmSNNlrCIO5vlZbBO80iB2A&amp;source=documentstudio&amp;timestamp=1721619629369</t>
  </si>
  <si>
    <t>2_ABaOnuciP8hUIFljsyzrgfFMRYmB1Y8hFFhexghRt3slopp9vmSNNlrCIO5vlZbBO80iB2A</t>
  </si>
  <si>
    <t>https://drive.google.com/open?id=1g_owNEKn-hoDVINOLMEGV1odsAfZXKXK</t>
  </si>
  <si>
    <t>https://docs.google.com/forms/d/e/1FAIpQLSeEYwFnViiqk1AbexVe1VDR73UApmeuvfn6Yr2vN8WXjwGu2Q/viewform?edit2=2_ABaOnudz2hrqjGuJY8RCt2swkIGvAYMjkx28Z2fnnETvD50XlYXtZx_cbvhz-QZPWxaen18&amp;source=documentstudio&amp;timestamp=1721619779510</t>
  </si>
  <si>
    <t>2_ABaOnudz2hrqjGuJY8RCt2swkIGvAYMjkx28Z2fnnETvD50XlYXtZx_cbvhz-QZPWxaen18</t>
  </si>
  <si>
    <t>https://drive.google.com/open?id=14EhvJNZo9CU6-lbef4bmXeeUhAkzOtIr</t>
  </si>
  <si>
    <t>https://docs.google.com/forms/d/e/1FAIpQLSeEYwFnViiqk1AbexVe1VDR73UApmeuvfn6Yr2vN8WXjwGu2Q/viewform?edit2=2_ABaOnufoamYxATuOJJ3Xjekqznuq542-y9UN_FqgfF1NSB3vkchdQbLn2tD0JLiU1J1iFaA&amp;source=documentstudio&amp;timestamp=1721619801350</t>
  </si>
  <si>
    <t>2_ABaOnufoamYxATuOJJ3Xjekqznuq542-y9UN_FqgfF1NSB3vkchdQbLn2tD0JLiU1J1iFaA</t>
  </si>
  <si>
    <t>https://drive.google.com/open?id=1c4JtwyM_gMiLc6Q459Ann_S-URflIK5r</t>
  </si>
  <si>
    <t>https://docs.google.com/forms/d/e/1FAIpQLSeEYwFnViiqk1AbexVe1VDR73UApmeuvfn6Yr2vN8WXjwGu2Q/viewform?edit2=2_ABaOnue1LdBYAUSvrEOmtqS0gvXucUcORAJT5Te6GGOq_A7qQ5LP_TttiobuX8LCfOYtT40&amp;source=documentstudio&amp;timestamp=1721620028722</t>
  </si>
  <si>
    <t>2_ABaOnue1LdBYAUSvrEOmtqS0gvXucUcORAJT5Te6GGOq_A7qQ5LP_TttiobuX8LCfOYtT40</t>
  </si>
  <si>
    <t>https://drive.google.com/open?id=1gkaT-YehKRhCrv0YsmY4-PFqx_SgYEHF</t>
  </si>
  <si>
    <t>https://docs.google.com/forms/d/e/1FAIpQLSeEYwFnViiqk1AbexVe1VDR73UApmeuvfn6Yr2vN8WXjwGu2Q/viewform?edit2=2_ABaOnud-0HgACE4_g2Id1b9zRhCHC0ECZH-Cks9JOASQypijgObhPP7xOGeHr94LvukONsE&amp;source=documentstudio&amp;timestamp=1721620049902</t>
  </si>
  <si>
    <t>2_ABaOnud-0HgACE4_g2Id1b9zRhCHC0ECZH-Cks9JOASQypijgObhPP7xOGeHr94LvukONsE</t>
  </si>
  <si>
    <t>Evi Wahyu Wardani</t>
  </si>
  <si>
    <t>https://drive.google.com/open?id=16ePfijsBgkSRzygMFswX6ZcAvmOjVMCF</t>
  </si>
  <si>
    <t>https://docs.google.com/forms/d/e/1FAIpQLSeEYwFnViiqk1AbexVe1VDR73UApmeuvfn6Yr2vN8WXjwGu2Q/viewform?edit2=2_ABaOnucdF4rjjjGm3CSUuie-mecxJD8GYtbEqUdSQ6rb4a1LTrq6VZq09LX_3w5Cov5JB58&amp;source=documentstudio&amp;timestamp=1721620076973</t>
  </si>
  <si>
    <t>2_ABaOnucdF4rjjjGm3CSUuie-mecxJD8GYtbEqUdSQ6rb4a1LTrq6VZq09LX_3w5Cov5JB58</t>
  </si>
  <si>
    <t>https://drive.google.com/open?id=1BL3loHP_h8ZjyuUbrI8yfdGrf4A1yNeG</t>
  </si>
  <si>
    <t>https://docs.google.com/forms/d/e/1FAIpQLSeEYwFnViiqk1AbexVe1VDR73UApmeuvfn6Yr2vN8WXjwGu2Q/viewform?edit2=2_ABaOnufqs2zpfsz0UUh26kha2ruxcWx8-umbj8vKU3-pO50AqqdPGFKLsc-UhXJaPkk3Ptk&amp;source=documentstudio&amp;timestamp=1721620107200</t>
  </si>
  <si>
    <t>2_ABaOnufqs2zpfsz0UUh26kha2ruxcWx8-umbj8vKU3-pO50AqqdPGFKLsc-UhXJaPkk3Ptk</t>
  </si>
  <si>
    <t>https://drive.google.com/open?id=1tlVqGJz66bj8gFX1MVSi0TDidfHrJg4j</t>
  </si>
  <si>
    <t>https://docs.google.com/forms/d/e/1FAIpQLSeEYwFnViiqk1AbexVe1VDR73UApmeuvfn6Yr2vN8WXjwGu2Q/viewform?edit2=2_ABaOnufX9P15mnxTZKNfI8SGj36B4kAJt6edQpywU0eGnQt1kAi7FaOrHjjuJJBZEZKvTLs&amp;source=documentstudio&amp;timestamp=1721620123810</t>
  </si>
  <si>
    <t>2_ABaOnufX9P15mnxTZKNfI8SGj36B4kAJt6edQpywU0eGnQt1kAi7FaOrHjjuJJBZEZKvTLs</t>
  </si>
  <si>
    <t>https://drive.google.com/open?id=1UgeHRqSY9BDHFNAjlWybp3oyWboKep6a</t>
  </si>
  <si>
    <t>https://docs.google.com/forms/d/e/1FAIpQLSeEYwFnViiqk1AbexVe1VDR73UApmeuvfn6Yr2vN8WXjwGu2Q/viewform?edit2=2_ABaOnud6EQP0Bqi9mjaclfj4rg8tIpp6us0Fhkq9VFNUfZ3ZEVwEHaP9v0EoK60FO5uHe44&amp;source=documentstudio&amp;timestamp=1721620244140</t>
  </si>
  <si>
    <t>2_ABaOnud6EQP0Bqi9mjaclfj4rg8tIpp6us0Fhkq9VFNUfZ3ZEVwEHaP9v0EoK60FO5uHe44</t>
  </si>
  <si>
    <t>https://drive.google.com/open?id=1KgKNbYvwAYgkVT0gmBRz30Ve6P-gSQJG</t>
  </si>
  <si>
    <t>https://docs.google.com/forms/d/e/1FAIpQLSeEYwFnViiqk1AbexVe1VDR73UApmeuvfn6Yr2vN8WXjwGu2Q/viewform?edit2=2_ABaOnue0Ag8HobwGh3qWCDOvQrxh4Ln9PqxEMUdJxjBVokV-JFTfOegfz840zdeTMWfa7FA&amp;source=documentstudio&amp;timestamp=1721620373352</t>
  </si>
  <si>
    <t>2_ABaOnue0Ag8HobwGh3qWCDOvQrxh4Ln9PqxEMUdJxjBVokV-JFTfOegfz840zdeTMWfa7FA</t>
  </si>
  <si>
    <t>https://drive.google.com/open?id=1jRmHuARjdbnPA9FSHpyKlO4hUpVEq74l</t>
  </si>
  <si>
    <t>https://docs.google.com/forms/d/e/1FAIpQLSeEYwFnViiqk1AbexVe1VDR73UApmeuvfn6Yr2vN8WXjwGu2Q/viewform?edit2=2_ABaOnue5jWZtM1Q05zjz0tHlSl8JAdbsGaeKisL5jrm65nFNYZjiVOGCgZpvnwi4dFpX2G0&amp;source=documentstudio&amp;timestamp=1721620432895</t>
  </si>
  <si>
    <t>2_ABaOnue5jWZtM1Q05zjz0tHlSl8JAdbsGaeKisL5jrm65nFNYZjiVOGCgZpvnwi4dFpX2G0</t>
  </si>
  <si>
    <t>https://drive.google.com/open?id=1G0gH_WmzhHqGh5MsbaReI-vF6br1-_ba</t>
  </si>
  <si>
    <t>https://docs.google.com/forms/d/e/1FAIpQLSeEYwFnViiqk1AbexVe1VDR73UApmeuvfn6Yr2vN8WXjwGu2Q/viewform?edit2=2_ABaOnud9gJ-CreIbxOTmoYYK4BlcEZKWT7SRp_vPSMnZSFu9I01Ovk6GFT9CZEHDb1OP_r4&amp;source=documentstudio&amp;timestamp=1721620475009</t>
  </si>
  <si>
    <t>2_ABaOnud9gJ-CreIbxOTmoYYK4BlcEZKWT7SRp_vPSMnZSFu9I01Ovk6GFT9CZEHDb1OP_r4</t>
  </si>
  <si>
    <t>https://drive.google.com/open?id=1o3__Z5PP24_s4DWv11HJ4l8RvL-7djyN</t>
  </si>
  <si>
    <t>https://docs.google.com/forms/d/e/1FAIpQLSeEYwFnViiqk1AbexVe1VDR73UApmeuvfn6Yr2vN8WXjwGu2Q/viewform?edit2=2_ABaOnucgvApB0dW4FVKRR4t8grTKQZfDFftcecIlwOGJXDI-lAyYpkcc7mpVzVx4Xv3gkrM&amp;source=documentstudio&amp;timestamp=1721620658652</t>
  </si>
  <si>
    <t>2_ABaOnucgvApB0dW4FVKRR4t8grTKQZfDFftcecIlwOGJXDI-lAyYpkcc7mpVzVx4Xv3gkrM</t>
  </si>
  <si>
    <t>https://drive.google.com/open?id=1rs7o1t3NqL6QJlquO-VkI2Xg-IK_nrLH</t>
  </si>
  <si>
    <t>https://docs.google.com/forms/d/e/1FAIpQLSeEYwFnViiqk1AbexVe1VDR73UApmeuvfn6Yr2vN8WXjwGu2Q/viewform?edit2=2_ABaOnudZFlfpBeUW0Z6mZg9ZDaiRHeq5C9A-78Q0yHO_Uzv0vpryIBz-XZ-21YjfLqrNzkE&amp;source=documentstudio&amp;timestamp=1721620858145</t>
  </si>
  <si>
    <t>2_ABaOnudZFlfpBeUW0Z6mZg9ZDaiRHeq5C9A-78Q0yHO_Uzv0vpryIBz-XZ-21YjfLqrNzkE</t>
  </si>
  <si>
    <t>https://drive.google.com/open?id=1WqEkRekTDH31-wDsaDAdCPXjdTvqyrbG</t>
  </si>
  <si>
    <t>https://docs.google.com/forms/d/e/1FAIpQLSeEYwFnViiqk1AbexVe1VDR73UApmeuvfn6Yr2vN8WXjwGu2Q/viewform?edit2=2_ABaOnudGB5q6xU7qIrVEZNaEQvv7gqUt4vnUrOENCT9oKbAeNhQr2t-5qdJwS2wAI85ie5Q&amp;source=documentstudio&amp;timestamp=1721621768711</t>
  </si>
  <si>
    <t>2_ABaOnudGB5q6xU7qIrVEZNaEQvv7gqUt4vnUrOENCT9oKbAeNhQr2t-5qdJwS2wAI85ie5Q</t>
  </si>
  <si>
    <t>https://drive.google.com/open?id=1PTiQwoD7HhYyiMAo-8KYZWbqxKiLl8Xi</t>
  </si>
  <si>
    <t>https://docs.google.com/forms/d/e/1FAIpQLSeEYwFnViiqk1AbexVe1VDR73UApmeuvfn6Yr2vN8WXjwGu2Q/viewform?edit2=2_ABaOnueaykKhcAHZ_VgAScL2NuwWdleoZMPDb4bFlUBzoZ0E7QaF2MZDWBHGSshlcNj4T74&amp;source=documentstudio&amp;timestamp=1721622182235</t>
  </si>
  <si>
    <t>2_ABaOnueaykKhcAHZ_VgAScL2NuwWdleoZMPDb4bFlUBzoZ0E7QaF2MZDWBHGSshlcNj4T74</t>
  </si>
  <si>
    <t>https://drive.google.com/open?id=108a5ygKXQ8xt3Nki0xdavBYok83izdI1</t>
  </si>
  <si>
    <t>https://docs.google.com/forms/d/e/1FAIpQLSeEYwFnViiqk1AbexVe1VDR73UApmeuvfn6Yr2vN8WXjwGu2Q/viewform?edit2=2_ABaOnufIVK-Z4b3StuQMjr2KzjhM_cnX9SKCgDuXc4jyG4lF0sSS1OHIupe1uChBnjdPxwA&amp;source=documentstudio&amp;timestamp=1721623169254</t>
  </si>
  <si>
    <t>2_ABaOnufIVK-Z4b3StuQMjr2KzjhM_cnX9SKCgDuXc4jyG4lF0sSS1OHIupe1uChBnjdPxwA</t>
  </si>
  <si>
    <t>https://drive.google.com/open?id=1S2tNem4o_T4fhWo824XwrwTgoBRQFwUv</t>
  </si>
  <si>
    <t>https://docs.google.com/forms/d/e/1FAIpQLSeEYwFnViiqk1AbexVe1VDR73UApmeuvfn6Yr2vN8WXjwGu2Q/viewform?edit2=2_ABaOnufTcwpibhYMsEL2je3agvu1-0HcV29_7Ji6VejNqI9gtajb5uKzPfzLcoKZuoyPYHY&amp;source=documentstudio&amp;timestamp=1721624377287</t>
  </si>
  <si>
    <t>2_ABaOnufTcwpibhYMsEL2je3agvu1-0HcV29_7Ji6VejNqI9gtajb5uKzPfzLcoKZuoyPYHY</t>
  </si>
  <si>
    <t>https://drive.google.com/open?id=1iAO4QscPObzaQDNu5JATpfcbwnRk8U6m</t>
  </si>
  <si>
    <t>https://docs.google.com/forms/d/e/1FAIpQLSeEYwFnViiqk1AbexVe1VDR73UApmeuvfn6Yr2vN8WXjwGu2Q/viewform?edit2=2_ABaOnuc3pm95QJv6UvebfqK7SzxGCJFep_VUhYmhnySC8nsb_zrjQmUr3NYk_C5RD6cseP0&amp;source=documentstudio&amp;timestamp=1721625790659</t>
  </si>
  <si>
    <t>2_ABaOnuc3pm95QJv6UvebfqK7SzxGCJFep_VUhYmhnySC8nsb_zrjQmUr3NYk_C5RD6cseP0</t>
  </si>
  <si>
    <t>https://drive.google.com/open?id=1ANqSPqRP7Q87Lywde-eUrL-oUzAAm-hU</t>
  </si>
  <si>
    <t>https://docs.google.com/forms/d/e/1FAIpQLSeEYwFnViiqk1AbexVe1VDR73UApmeuvfn6Yr2vN8WXjwGu2Q/viewform?edit2=2_ABaOnuexXUCLrRgybcVrkgHuAsAi80YV9zc9nLTPkTdxrZQegQfRgjBHVDiRr_kJiPJOhms&amp;source=documentstudio&amp;timestamp=1721626191446</t>
  </si>
  <si>
    <t>2_ABaOnuexXUCLrRgybcVrkgHuAsAi80YV9zc9nLTPkTdxrZQegQfRgjBHVDiRr_kJiPJOhms</t>
  </si>
  <si>
    <t>https://drive.google.com/open?id=1A5QKEIZIQyR6yxq9auQ8-iS0TycRL0PV</t>
  </si>
  <si>
    <t>https://docs.google.com/forms/d/e/1FAIpQLSeEYwFnViiqk1AbexVe1VDR73UApmeuvfn6Yr2vN8WXjwGu2Q/viewform?edit2=2_ABaOnuej_5REmw6d1Q0kzibrttEjBtl-lNsuZFYm0nCAqxBkHeTCoJ1feSZvw5r5UyL3nd4&amp;source=documentstudio&amp;timestamp=1721627438686</t>
  </si>
  <si>
    <t>2_ABaOnuej_5REmw6d1Q0kzibrttEjBtl-lNsuZFYm0nCAqxBkHeTCoJ1feSZvw5r5UyL3nd4</t>
  </si>
  <si>
    <t>https://drive.google.com/open?id=1J-w9RV9dE8Sr0FPoVDEA9DjoCLfYmgZX</t>
  </si>
  <si>
    <t>https://docs.google.com/forms/d/e/1FAIpQLSeEYwFnViiqk1AbexVe1VDR73UApmeuvfn6Yr2vN8WXjwGu2Q/viewform?edit2=2_ABaOnufclHGqTBVZ-SWxrzb8HDqPzQJVHWO3KUdUtT36gQXpQXrlxfZYpJh_ASacuV2AYXc&amp;source=documentstudio&amp;timestamp=1721629302520</t>
  </si>
  <si>
    <t>2_ABaOnufclHGqTBVZ-SWxrzb8HDqPzQJVHWO3KUdUtT36gQXpQXrlxfZYpJh_ASacuV2AYXc</t>
  </si>
  <si>
    <t>https://drive.google.com/open?id=1xk6Aza8-W6zN8wtFtul3HfR8LJr75Iii</t>
  </si>
  <si>
    <t>https://docs.google.com/forms/d/e/1FAIpQLSeEYwFnViiqk1AbexVe1VDR73UApmeuvfn6Yr2vN8WXjwGu2Q/viewform?edit2=2_ABaOnuePQnSHoXmwmftpM-eR7g-6t7XSvMh1ua7nCO0ty8gngCfpfHkCPWYqx59Y72qGHUs&amp;source=documentstudio&amp;timestamp=1721631611972</t>
  </si>
  <si>
    <t>2_ABaOnuePQnSHoXmwmftpM-eR7g-6t7XSvMh1ua7nCO0ty8gngCfpfHkCPWYqx59Y72qGHUs</t>
  </si>
  <si>
    <t>https://drive.google.com/open?id=1iI-ybP2QWTMHkBpwZo1RAaOTMbMxeypO</t>
  </si>
  <si>
    <t>https://docs.google.com/forms/d/e/1FAIpQLSeEYwFnViiqk1AbexVe1VDR73UApmeuvfn6Yr2vN8WXjwGu2Q/viewform?edit2=2_ABaOnucFQDz5hn4voUtBfPuUzgqUGL2bH20vJaeea4x-GJYVyKHPx2_0ksjdJvmK0awpzzM&amp;source=documentstudio&amp;timestamp=1721632208044</t>
  </si>
  <si>
    <t>2_ABaOnucFQDz5hn4voUtBfPuUzgqUGL2bH20vJaeea4x-GJYVyKHPx2_0ksjdJvmK0awpzzM</t>
  </si>
  <si>
    <t>https://drive.google.com/open?id=1qCvPndtjpRkLPo64EhmZy47Zh1EadVpj</t>
  </si>
  <si>
    <t>https://docs.google.com/forms/d/e/1FAIpQLSeEYwFnViiqk1AbexVe1VDR73UApmeuvfn6Yr2vN8WXjwGu2Q/viewform?edit2=2_ABaOnuc0mmfehj1VuW-29Atuy7B9t4DAnVRw2tgGtA9v0-F2KSZlwL_XzbYGQuAjw2D9V6o&amp;source=documentstudio&amp;timestamp=1721633357268</t>
  </si>
  <si>
    <t>2_ABaOnuc0mmfehj1VuW-29Atuy7B9t4DAnVRw2tgGtA9v0-F2KSZlwL_XzbYGQuAjw2D9V6o</t>
  </si>
  <si>
    <t>https://drive.google.com/open?id=1ygpiK94iIl6yFWzif1VUWa647mlcQzWp</t>
  </si>
  <si>
    <t>https://docs.google.com/forms/d/e/1FAIpQLSeEYwFnViiqk1AbexVe1VDR73UApmeuvfn6Yr2vN8WXjwGu2Q/viewform?edit2=2_ABaOnuddspnPsYRI4tDyHpz3_Pqm3ofE0nYmwBByEG5zu3BMYaKQCkTNruzPVQtnjKOIBZk&amp;source=documentstudio&amp;timestamp=1721633475410</t>
  </si>
  <si>
    <t>2_ABaOnuddspnPsYRI4tDyHpz3_Pqm3ofE0nYmwBByEG5zu3BMYaKQCkTNruzPVQtnjKOIBZk</t>
  </si>
  <si>
    <t>https://drive.google.com/open?id=1C7sF1MGHJMeVyQUcoKNrcXNyy1DdukkN</t>
  </si>
  <si>
    <t>https://docs.google.com/forms/d/e/1FAIpQLSeEYwFnViiqk1AbexVe1VDR73UApmeuvfn6Yr2vN8WXjwGu2Q/viewform?edit2=2_ABaOnuflLKQwulSxqWXQ7cJ2i3ia_RtVwqoriDW8A6ctxBDn5EZ0pM1-OUfyJrfQ6v9FJQA&amp;source=documentstudio&amp;timestamp=1721638935478</t>
  </si>
  <si>
    <t>2_ABaOnuflLKQwulSxqWXQ7cJ2i3ia_RtVwqoriDW8A6ctxBDn5EZ0pM1-OUfyJrfQ6v9FJQA</t>
  </si>
  <si>
    <t>https://drive.google.com/open?id=1dNPQzWHb1u7OzQikiSCTZ9FD7nzc89Tb</t>
  </si>
  <si>
    <t>https://docs.google.com/forms/d/e/1FAIpQLSeEYwFnViiqk1AbexVe1VDR73UApmeuvfn6Yr2vN8WXjwGu2Q/viewform?edit2=2_ABaOnufJsA7waz19LBrBMjhL6uXSmtQFNxOJlzXe2i79vsdh3iatIAzmHmsmBRRuUCAjxtE&amp;source=documentstudio&amp;timestamp=1721638964301</t>
  </si>
  <si>
    <t>2_ABaOnufJsA7waz19LBrBMjhL6uXSmtQFNxOJlzXe2i79vsdh3iatIAzmHmsmBRRuUCAjxtE</t>
  </si>
  <si>
    <t>https://drive.google.com/open?id=1irsbCMNoO9HwjNSt7siQWOTXNJ-Wk1FZ</t>
  </si>
  <si>
    <t>https://docs.google.com/forms/d/e/1FAIpQLSeEYwFnViiqk1AbexVe1VDR73UApmeuvfn6Yr2vN8WXjwGu2Q/viewform?edit2=2_ABaOnufJe3SztmAd4o9H_5GQaugQjyl45vqiQZ8RqgXtRM35qNHulTRPlIquoFTFVIXPSps&amp;source=documentstudio&amp;timestamp=1721781504913</t>
  </si>
  <si>
    <t>2_ABaOnufJe3SztmAd4o9H_5GQaugQjyl45vqiQZ8RqgXtRM35qNHulTRPlIquoFTFVIXPSps</t>
  </si>
  <si>
    <t>https://drive.google.com/open?id=1hgM52iTHLSTeBpHO6gxBG6MmBfOe8MlT</t>
  </si>
  <si>
    <t>https://docs.google.com/forms/d/e/1FAIpQLSeEYwFnViiqk1AbexVe1VDR73UApmeuvfn6Yr2vN8WXjwGu2Q/viewform?edit2=2_ABaOnuevHxNggwDDtEYCRCpwk6TbWExF9nT6lv0xTDiLLXdCNE18FXUGcc_XYx07_6JmLAs&amp;source=documentstudio&amp;timestamp=1721799754680</t>
  </si>
  <si>
    <t>2_ABaOnuevHxNggwDDtEYCRCpwk6TbWExF9nT6lv0xTDiLLXdCNE18FXUGcc_XYx07_6JmLAs</t>
  </si>
  <si>
    <t>https://drive.google.com/open?id=1XCtBgKWyUMyYRXgIDFrL77Xu8YakOvWw</t>
  </si>
  <si>
    <t>https://docs.google.com/forms/d/e/1FAIpQLSeEYwFnViiqk1AbexVe1VDR73UApmeuvfn6Yr2vN8WXjwGu2Q/viewform?edit2=2_ABaOnueWSLQ95dYDbUqZuQILJdyX8M9Z7WbFxvMp0MHE0TX3o41OQ_i6a3h6S_MhUZvXauw&amp;source=documentstudio&amp;timestamp=1721871067494</t>
  </si>
  <si>
    <t>2_ABaOnueWSLQ95dYDbUqZuQILJdyX8M9Z7WbFxvMp0MHE0TX3o41OQ_i6a3h6S_MhUZvXauw</t>
  </si>
  <si>
    <t>https://drive.google.com/open?id=1cxNDDUSFWDePRXBBL4vTcjXR8UcgFnRU</t>
  </si>
  <si>
    <t>https://docs.google.com/forms/d/e/1FAIpQLSeEYwFnViiqk1AbexVe1VDR73UApmeuvfn6Yr2vN8WXjwGu2Q/viewform?edit2=2_ABaOnuecDhwa1l5XqpvgOrEBHVd9To4Yo2sISAvlB1ud9qSCI6i7wvIi31NJjd_R_8bhSgc&amp;source=documentstudio&amp;timestamp=1722929493785</t>
  </si>
  <si>
    <t>2_ABaOnuecDhwa1l5XqpvgOrEBHVd9To4Yo2sISAvlB1ud9qSCI6i7wvIi31NJjd_R_8bhSgc</t>
  </si>
  <si>
    <t>https://drive.google.com/open?id=1cT7Ptyn84K6I7MCJvpx2WntjDar7LugE</t>
  </si>
  <si>
    <t>https://docs.google.com/forms/d/e/1FAIpQLSeEYwFnViiqk1AbexVe1VDR73UApmeuvfn6Yr2vN8WXjwGu2Q/viewform?edit2=2_ABaOnucul9rvu7-4v5EdxSDmbNoIwSoxJil3OcqpEk-Go8A2OAwDcYeoK3qx3siwGuAXD8Q&amp;source=documentstudio&amp;timestamp=1723000920300</t>
  </si>
  <si>
    <t>2_ABaOnucul9rvu7-4v5EdxSDmbNoIwSoxJil3OcqpEk-Go8A2OAwDcYeoK3qx3siwGuAXD8Q</t>
  </si>
  <si>
    <t>https://drive.google.com/open?id=1nuvMzT7O4-iAhipUP79IgQ37Y46TupKh</t>
  </si>
  <si>
    <t>https://docs.google.com/forms/d/e/1FAIpQLSeEYwFnViiqk1AbexVe1VDR73UApmeuvfn6Yr2vN8WXjwGu2Q/viewform?edit2=2_ABaOnucC9ykmEYcW2n7akls_530SgDPrnUqIxs-xq7A_tJ6ovn4O9zI8-K1JYdaGqRzFCeo&amp;source=documentstudio&amp;timestamp=1723164279058</t>
  </si>
  <si>
    <t>2_ABaOnucC9ykmEYcW2n7akls_530SgDPrnUqIxs-xq7A_tJ6ovn4O9zI8-K1JYdaGqRzFCeo</t>
  </si>
  <si>
    <t>https://drive.google.com/open?id=1VwN1Q21mPLTdFVc7vnVZ8YQjoBItzfzd</t>
  </si>
  <si>
    <t>https://docs.google.com/forms/d/e/1FAIpQLSeEYwFnViiqk1AbexVe1VDR73UApmeuvfn6Yr2vN8WXjwGu2Q/viewform?edit2=2_ABaOnueyhSSZBVQ47-T-uiwMgr9_CIXMJs64cM8ch3V_zLDTILBXf0gYOUT3-_gWJ8lO3vI&amp;source=documentstudio&amp;timestamp=1723164315990</t>
  </si>
  <si>
    <t>2_ABaOnueyhSSZBVQ47-T-uiwMgr9_CIXMJs64cM8ch3V_zLDTILBXf0gYOUT3-_gWJ8lO3vI</t>
  </si>
  <si>
    <t>https://drive.google.com/open?id=1sEhhOHEX_DtgUnfs5VcHxrnCGuEnlF2m</t>
  </si>
  <si>
    <t>https://docs.google.com/forms/d/e/1FAIpQLSeEYwFnViiqk1AbexVe1VDR73UApmeuvfn6Yr2vN8WXjwGu2Q/viewform?edit2=2_ABaOnuc5jXcPFrdU-XpNk8bIxFsLVKNGa1R03eA4xDJCp5-XKfosGDb4Ss5vLeJLKXGqBM0&amp;source=documentstudio&amp;timestamp=1723164355308</t>
  </si>
  <si>
    <t>2_ABaOnuc5jXcPFrdU-XpNk8bIxFsLVKNGa1R03eA4xDJCp5-XKfosGDb4Ss5vLeJLKXGqBM0</t>
  </si>
  <si>
    <t>https://drive.google.com/open?id=1TKaHkIYTJB3Li33FMGIaWvjS8IiigefV</t>
  </si>
  <si>
    <t>https://docs.google.com/forms/d/e/1FAIpQLSeEYwFnViiqk1AbexVe1VDR73UApmeuvfn6Yr2vN8WXjwGu2Q/viewform?edit2=2_ABaOnuegTotfR4ZIl0o3dPDW1UJhxz0fu4JIeI4P8GOEr_nFMW51sxZCY83kH5h6Z5fPfqI&amp;source=documentstudio&amp;timestamp=1723420460130</t>
  </si>
  <si>
    <t>2_ABaOnuegTotfR4ZIl0o3dPDW1UJhxz0fu4JIeI4P8GOEr_nFMW51sxZCY83kH5h6Z5fPfqI</t>
  </si>
  <si>
    <t>https://drive.google.com/open?id=1-jf5Y7GTlzZ3cr9e1LbPeFcqsVbNyTR7</t>
  </si>
  <si>
    <t>https://docs.google.com/forms/d/e/1FAIpQLSeEYwFnViiqk1AbexVe1VDR73UApmeuvfn6Yr2vN8WXjwGu2Q/viewform?edit2=2_ABaOnuc87qHY3MzK6c1tOnMPJOVPQBkHrcAJyPbFb0KjiBgtlg8316PNixiga_MHoPt5cPo&amp;source=documentstudio&amp;timestamp=1723441804540</t>
  </si>
  <si>
    <t>2_ABaOnuc87qHY3MzK6c1tOnMPJOVPQBkHrcAJyPbFb0KjiBgtlg8316PNixiga_MHoPt5cPo</t>
  </si>
  <si>
    <t>https://drive.google.com/open?id=1YaFS7WFCrP6u4nlaVsQB4Zjpl4IpP7VA</t>
  </si>
  <si>
    <t>https://docs.google.com/forms/d/e/1FAIpQLSeEYwFnViiqk1AbexVe1VDR73UApmeuvfn6Yr2vN8WXjwGu2Q/viewform?edit2=2_ABaOnufM5j6F-P7yncpUtcGCNLbJNeRcTjqyVpjT9eWscmEciEpKFnXYYunUkdWpE9s0JLc&amp;source=documentstudio&amp;timestamp=1723452704327</t>
  </si>
  <si>
    <t>2_ABaOnufM5j6F-P7yncpUtcGCNLbJNeRcTjqyVpjT9eWscmEciEpKFnXYYunUkdWpE9s0JLc</t>
  </si>
  <si>
    <t>https://drive.google.com/open?id=1X9y1IIblUfqcXAFp5azKmEhM8OXac8ZT</t>
  </si>
  <si>
    <t>https://docs.google.com/forms/d/e/1FAIpQLSeEYwFnViiqk1AbexVe1VDR73UApmeuvfn6Yr2vN8WXjwGu2Q/viewform?edit2=2_ABaOnueghgu7DYIaUbLJ_zjrYhmn3pZyS5Q1v9Dmp28H6Yu8z9e_BcuAneauY35LkztiPhw&amp;source=documentstudio&amp;timestamp=1723452857295</t>
  </si>
  <si>
    <t>2_ABaOnueghgu7DYIaUbLJ_zjrYhmn3pZyS5Q1v9Dmp28H6Yu8z9e_BcuAneauY35LkztiPhw</t>
  </si>
  <si>
    <t>https://drive.google.com/open?id=1jweLI5IOPAeCtWywPVsq-vD5vnRkiVl7</t>
  </si>
  <si>
    <t>https://docs.google.com/forms/d/e/1FAIpQLSeEYwFnViiqk1AbexVe1VDR73UApmeuvfn6Yr2vN8WXjwGu2Q/viewform?edit2=2_ABaOnufUIDLG7Rugqh0Bx89a8pyDribe7qNT1kFJyHRrH3K60BCJ_vI2h4wg0IYQiRr8AFo&amp;source=documentstudio&amp;timestamp=1723507163229</t>
  </si>
  <si>
    <t>2_ABaOnufUIDLG7Rugqh0Bx89a8pyDribe7qNT1kFJyHRrH3K60BCJ_vI2h4wg0IYQiRr8AFo</t>
  </si>
  <si>
    <t>https://drive.google.com/open?id=1szdnLVipnrJ4OJcRje1ftmmIt4u2uLwn</t>
  </si>
  <si>
    <t>https://docs.google.com/forms/d/e/1FAIpQLSeEYwFnViiqk1AbexVe1VDR73UApmeuvfn6Yr2vN8WXjwGu2Q/viewform?edit2=2_ABaOnueefQSxCQRV-O6lCuYMDl4MDZtPgwyk-bJgbv8rO0wnObSQBkG3f2OgkxmanRs5Bdo&amp;source=documentstudio&amp;timestamp=1723508690518</t>
  </si>
  <si>
    <t>2_ABaOnueefQSxCQRV-O6lCuYMDl4MDZtPgwyk-bJgbv8rO0wnObSQBkG3f2OgkxmanRs5Bdo</t>
  </si>
  <si>
    <t>https://drive.google.com/open?id=1HtsfId7fY4WJzMy174xzmN87IOsSuThY</t>
  </si>
  <si>
    <t>https://docs.google.com/forms/d/e/1FAIpQLSeEYwFnViiqk1AbexVe1VDR73UApmeuvfn6Yr2vN8WXjwGu2Q/viewform?edit2=2_ABaOnucH6xocQLj_85rQz2upoF3sjjsf5LlKV3HBrfZEBfWaSuvPGbwksnA4BvQ7d1dpRhY&amp;source=documentstudio&amp;timestamp=1723512731304</t>
  </si>
  <si>
    <t>2_ABaOnucH6xocQLj_85rQz2upoF3sjjsf5LlKV3HBrfZEBfWaSuvPGbwksnA4BvQ7d1dpRhY</t>
  </si>
  <si>
    <t>https://drive.google.com/open?id=1JY4NVkEOhZqixkho-xTkYI862tVpnSuG</t>
  </si>
  <si>
    <t>https://docs.google.com/forms/d/e/1FAIpQLSeEYwFnViiqk1AbexVe1VDR73UApmeuvfn6Yr2vN8WXjwGu2Q/viewform?edit2=2_ABaOnuegGKLcbPbcCR9CnZA9u_C7CL5uOrpR1G1q6dt_d5bIpf1VSSrfmGVUZGpYeRb-W_0&amp;source=documentstudio&amp;timestamp=1723513392552</t>
  </si>
  <si>
    <t>2_ABaOnuegGKLcbPbcCR9CnZA9u_C7CL5uOrpR1G1q6dt_d5bIpf1VSSrfmGVUZGpYeRb-W_0</t>
  </si>
  <si>
    <t>https://drive.google.com/open?id=1Lyy49cvZ5bWNwtSYqRIwoW96U_7POJ8c</t>
  </si>
  <si>
    <t>https://docs.google.com/forms/d/e/1FAIpQLSeEYwFnViiqk1AbexVe1VDR73UApmeuvfn6Yr2vN8WXjwGu2Q/viewform?edit2=2_ABaOnuc_Dxmzq-BDtkRfi_WoZaXsC1hJWuzvhfnQfyJRGHhRbXQs_i5I4ifxQeReJ1xsSJw&amp;source=documentstudio&amp;timestamp=1723515464936</t>
  </si>
  <si>
    <t>2_ABaOnuc_Dxmzq-BDtkRfi_WoZaXsC1hJWuzvhfnQfyJRGHhRbXQs_i5I4ifxQeReJ1xsSJw</t>
  </si>
  <si>
    <t>https://drive.google.com/open?id=1BSGs0ivTBYxGWuhgIms5vGnVVEwl_FGR</t>
  </si>
  <si>
    <t>https://docs.google.com/forms/d/e/1FAIpQLSeEYwFnViiqk1AbexVe1VDR73UApmeuvfn6Yr2vN8WXjwGu2Q/viewform?edit2=2_ABaOnuecuD4nAOam1PLZb10_pUIgjO005xHnhc1QctMZVAwBtPO3PeLJy0nuKMa3gLv6lnc&amp;source=documentstudio&amp;timestamp=1723515730304</t>
  </si>
  <si>
    <t>2_ABaOnuecuD4nAOam1PLZb10_pUIgjO005xHnhc1QctMZVAwBtPO3PeLJy0nuKMa3gLv6lnc</t>
  </si>
  <si>
    <t>https://drive.google.com/open?id=12e07NcmdKB7TDnAJEbYShH8Bo9X6H5yY</t>
  </si>
  <si>
    <t>https://docs.google.com/forms/d/e/1FAIpQLSeEYwFnViiqk1AbexVe1VDR73UApmeuvfn6Yr2vN8WXjwGu2Q/viewform?edit2=2_ABaOnuddnK0xZ5Z5L796Pkmai9wKrwi839t-7f0r9bYnfTwEefokrUQyO8rNVtqpXNnz45s&amp;source=documentstudio&amp;timestamp=1723528124099</t>
  </si>
  <si>
    <t>2_ABaOnuddnK0xZ5Z5L796Pkmai9wKrwi839t-7f0r9bYnfTwEefokrUQyO8rNVtqpXNnz45s</t>
  </si>
  <si>
    <t>https://drive.google.com/open?id=1_ha0SfoQF1-TlKNs4Y6cZidFu7zd1Zzj</t>
  </si>
  <si>
    <t>https://docs.google.com/forms/d/e/1FAIpQLSeEYwFnViiqk1AbexVe1VDR73UApmeuvfn6Yr2vN8WXjwGu2Q/viewform?edit2=2_ABaOnue34Z0mQeJd8Ii8pj4__7KjskMHgoAgoj11d3bu8RpWysNPtbIPF6MDahQBYToUIYE&amp;source=documentstudio&amp;timestamp=1723531693238</t>
  </si>
  <si>
    <t>2_ABaOnue34Z0mQeJd8Ii8pj4__7KjskMHgoAgoj11d3bu8RpWysNPtbIPF6MDahQBYToUIYE</t>
  </si>
  <si>
    <t>https://drive.google.com/open?id=1uC27BCOWDHrdrhaWmv7bDklGbLZzfZlH</t>
  </si>
  <si>
    <t>https://docs.google.com/forms/d/e/1FAIpQLSeEYwFnViiqk1AbexVe1VDR73UApmeuvfn6Yr2vN8WXjwGu2Q/viewform?edit2=2_ABaOnucuYqdDH2u_IxfXsZgHtCPsTIg8hYe9rScXC7LavYtMN4Us52w8xrDEv0QzquqOYrQ&amp;source=documentstudio&amp;timestamp=1723536631969</t>
  </si>
  <si>
    <t>2_ABaOnucuYqdDH2u_IxfXsZgHtCPsTIg8hYe9rScXC7LavYtMN4Us52w8xrDEv0QzquqOYrQ</t>
  </si>
  <si>
    <t>https://drive.google.com/open?id=1DAfnZpFTSPpNQNqQxhsU_qfomeV2IP3K</t>
  </si>
  <si>
    <t>https://docs.google.com/forms/d/e/1FAIpQLSeEYwFnViiqk1AbexVe1VDR73UApmeuvfn6Yr2vN8WXjwGu2Q/viewform?edit2=2_ABaOnud4mpikOjbjtQBTBlSiw0mUIV1mxmRb23JIHhnGinnMHPKHamUHOxWPGB736mOPVms&amp;source=documentstudio&amp;timestamp=1723537224449</t>
  </si>
  <si>
    <t>2_ABaOnud4mpikOjbjtQBTBlSiw0mUIV1mxmRb23JIHhnGinnMHPKHamUHOxWPGB736mOPVms</t>
  </si>
  <si>
    <t>https://drive.google.com/open?id=1-pcv-c0WnBxoPhd8Y7VduIYn2Ea27tJ9</t>
  </si>
  <si>
    <t>https://docs.google.com/forms/d/e/1FAIpQLSeEYwFnViiqk1AbexVe1VDR73UApmeuvfn6Yr2vN8WXjwGu2Q/viewform?edit2=2_ABaOnud99tL9-25lVvJ3jinOUdtM-3rfrX31m8TxXKsM7O7SzcnUiWI9AMcv42Ww6S-Ux7Q&amp;source=documentstudio&amp;timestamp=1723537299162</t>
  </si>
  <si>
    <t>2_ABaOnud99tL9-25lVvJ3jinOUdtM-3rfrX31m8TxXKsM7O7SzcnUiWI9AMcv42Ww6S-Ux7Q</t>
  </si>
  <si>
    <t>https://drive.google.com/open?id=1fTBDetmWe5hciLkIm-uxLzS8xvNxoGwk</t>
  </si>
  <si>
    <t>https://docs.google.com/forms/d/e/1FAIpQLSeEYwFnViiqk1AbexVe1VDR73UApmeuvfn6Yr2vN8WXjwGu2Q/viewform?edit2=2_ABaOnudXUyrBrTwboIg9fKFP5QL4YuB28cfhNgMBwBdSatAMxAWRR3Ayv4vEhW08i5Iki6E&amp;source=documentstudio&amp;timestamp=1723594627567</t>
  </si>
  <si>
    <t>2_ABaOnudXUyrBrTwboIg9fKFP5QL4YuB28cfhNgMBwBdSatAMxAWRR3Ayv4vEhW08i5Iki6E</t>
  </si>
  <si>
    <t>https://drive.google.com/open?id=1iXfSwJB26ZsKkP3x3nc57PlbbEDdRx9h</t>
  </si>
  <si>
    <t>https://docs.google.com/forms/d/e/1FAIpQLSeEYwFnViiqk1AbexVe1VDR73UApmeuvfn6Yr2vN8WXjwGu2Q/viewform?edit2=2_ABaOnucorRlZMp_KFXQlZpUig0fVscRpRZBFKDW4sEoh7bc8tWEtDewsxLVYrdEHw9rr0fo&amp;source=documentstudio&amp;timestamp=1723596742993</t>
  </si>
  <si>
    <t>2_ABaOnucorRlZMp_KFXQlZpUig0fVscRpRZBFKDW4sEoh7bc8tWEtDewsxLVYrdEHw9rr0fo</t>
  </si>
  <si>
    <t>https://drive.google.com/open?id=1dFMEKOHeaotAGdPKn1vfUKcPAJzWcfbZ</t>
  </si>
  <si>
    <t>https://docs.google.com/forms/d/e/1FAIpQLSeEYwFnViiqk1AbexVe1VDR73UApmeuvfn6Yr2vN8WXjwGu2Q/viewform?edit2=2_ABaOnueerLOdC6BruE6O1dTpaIqSIC2j3UXFTyoibxHpJMXoGwyDdK969LQ7JB4d4hR7Qio&amp;source=documentstudio&amp;timestamp=1723596949624</t>
  </si>
  <si>
    <t>2_ABaOnueerLOdC6BruE6O1dTpaIqSIC2j3UXFTyoibxHpJMXoGwyDdK969LQ7JB4d4hR7Qio</t>
  </si>
  <si>
    <t>https://drive.google.com/open?id=118hTgoMiadIOlo-18IpF1inZzN0rekj5</t>
  </si>
  <si>
    <t>https://docs.google.com/forms/d/e/1FAIpQLSeEYwFnViiqk1AbexVe1VDR73UApmeuvfn6Yr2vN8WXjwGu2Q/viewform?edit2=2_ABaOnueuoE8LrRZmKmcbFo99vy-0R0dcNKHDxFYBXHob-1SJak2IT6MfmQk636gJcaJ_8i8&amp;source=documentstudio&amp;timestamp=1723610349864</t>
  </si>
  <si>
    <t>2_ABaOnueuoE8LrRZmKmcbFo99vy-0R0dcNKHDxFYBXHob-1SJak2IT6MfmQk636gJcaJ_8i8</t>
  </si>
  <si>
    <t>https://drive.google.com/open?id=1dtYz09RE7AxblARpCSZJPjJ3Nv4Kapue</t>
  </si>
  <si>
    <t>https://docs.google.com/forms/d/e/1FAIpQLSeEYwFnViiqk1AbexVe1VDR73UApmeuvfn6Yr2vN8WXjwGu2Q/viewform?edit2=2_ABaOnufTZtPj75Omv0kPbbU_5f1_E8eR6OtYuTpd2bmLvXlkAou0ttRZuLtFEHUstxMCKGc&amp;source=documentstudio&amp;timestamp=1723616057484</t>
  </si>
  <si>
    <t>2_ABaOnufTZtPj75Omv0kPbbU_5f1_E8eR6OtYuTpd2bmLvXlkAou0ttRZuLtFEHUstxMCKGc</t>
  </si>
  <si>
    <t>https://drive.google.com/open?id=1gfjOGDO1MkccOfjgrcnce2GUtnHDZYup</t>
  </si>
  <si>
    <t>https://docs.google.com/forms/d/e/1FAIpQLSeEYwFnViiqk1AbexVe1VDR73UApmeuvfn6Yr2vN8WXjwGu2Q/viewform?edit2=2_ABaOnueaKivA9repZiWQ0sxj-l13bvmz0U4J9X-MIwr2CFrik6CKXDdo-1oUwl6PBCE4YTk&amp;source=documentstudio&amp;timestamp=1723622681176</t>
  </si>
  <si>
    <t>2_ABaOnueaKivA9repZiWQ0sxj-l13bvmz0U4J9X-MIwr2CFrik6CKXDdo-1oUwl6PBCE4YTk</t>
  </si>
  <si>
    <t>https://drive.google.com/open?id=1K35FTI3ikrQa3IxfE0QZS3VzNNm7qKhn</t>
  </si>
  <si>
    <t>https://docs.google.com/forms/d/e/1FAIpQLSeEYwFnViiqk1AbexVe1VDR73UApmeuvfn6Yr2vN8WXjwGu2Q/viewform?edit2=2_ABaOnufmJQmBDeO9EfC-HdqvIPz4s3fqi5NPMprIvijxjwEsiIUACOAF87S82Jw_novrxxw&amp;source=documentstudio&amp;timestamp=1723684968363</t>
  </si>
  <si>
    <t>2_ABaOnufmJQmBDeO9EfC-HdqvIPz4s3fqi5NPMprIvijxjwEsiIUACOAF87S82Jw_novrxxw</t>
  </si>
  <si>
    <t>https://drive.google.com/open?id=1itAZriIoCgWhXUqCXIEnwh_04BsNE6nr</t>
  </si>
  <si>
    <t>https://docs.google.com/forms/d/e/1FAIpQLSeEYwFnViiqk1AbexVe1VDR73UApmeuvfn6Yr2vN8WXjwGu2Q/viewform?edit2=2_ABaOnuf9WN97z_3EPbknrNpAxg-YN3jGE_kj14beTC9aNLru0b7dRX97jc8iHMO-VK5GSOo&amp;source=documentstudio&amp;timestamp=1723685121814</t>
  </si>
  <si>
    <t>2_ABaOnuf9WN97z_3EPbknrNpAxg-YN3jGE_kj14beTC9aNLru0b7dRX97jc8iHMO-VK5GSOo</t>
  </si>
  <si>
    <t>https://drive.google.com/open?id=1GS6Z1nNelkT68AkFP5SPlrFymisIj6pD</t>
  </si>
  <si>
    <t>https://docs.google.com/forms/d/e/1FAIpQLSeEYwFnViiqk1AbexVe1VDR73UApmeuvfn6Yr2vN8WXjwGu2Q/viewform?edit2=2_ABaOnudHSNSfN8cVcmAU84m6V-71Um0PACKkdP5Q1uDlHiApJ48U20IGqP9a8pRzHoahcXc&amp;source=documentstudio&amp;timestamp=1723685151175</t>
  </si>
  <si>
    <t>2_ABaOnudHSNSfN8cVcmAU84m6V-71Um0PACKkdP5Q1uDlHiApJ48U20IGqP9a8pRzHoahcXc</t>
  </si>
  <si>
    <t>https://drive.google.com/open?id=1Xjoh-tuzPvblIKbFug7MZodiqulVHMn4</t>
  </si>
  <si>
    <t>https://docs.google.com/forms/d/e/1FAIpQLSeEYwFnViiqk1AbexVe1VDR73UApmeuvfn6Yr2vN8WXjwGu2Q/viewform?edit2=2_ABaOnue3XVkZE9dlZcQkgWjSZjt55Xpp-NFaUXgPy1XyRZPjqXgzbOq3UX_KlmT0WEw_RDU&amp;source=documentstudio&amp;timestamp=1723768875441</t>
  </si>
  <si>
    <t>2_ABaOnue3XVkZE9dlZcQkgWjSZjt55Xpp-NFaUXgPy1XyRZPjqXgzbOq3UX_KlmT0WEw_RDU</t>
  </si>
  <si>
    <t>https://drive.google.com/open?id=1fZbJFoffDTzudPNCkV5ewjOiZODRSH8B</t>
  </si>
  <si>
    <t>https://docs.google.com/forms/d/e/1FAIpQLSeEYwFnViiqk1AbexVe1VDR73UApmeuvfn6Yr2vN8WXjwGu2Q/viewform?edit2=2_ABaOnueObRqtV3ejNL21H_cqM3xmyLAmyGWoZkg-XcdMkhk0guN_fUIEJBUMWK6sboAZe6g&amp;source=documentstudio&amp;timestamp=1723769112109</t>
  </si>
  <si>
    <t>2_ABaOnueObRqtV3ejNL21H_cqM3xmyLAmyGWoZkg-XcdMkhk0guN_fUIEJBUMWK6sboAZe6g</t>
  </si>
  <si>
    <t>https://drive.google.com/open?id=1Qaz3TEu_Cu3LHsbmVmjRocitmx1UkrIj</t>
  </si>
  <si>
    <t>https://docs.google.com/forms/d/e/1FAIpQLSeEYwFnViiqk1AbexVe1VDR73UApmeuvfn6Yr2vN8WXjwGu2Q/viewform?edit2=2_ABaOnueUDhjDLlk6tfVMvPRUHr_uWI3wAUb0sxoHE6d6SkiSZLP4ZQXHpK2hZ5xjIJysK8w&amp;source=documentstudio&amp;timestamp=1724030383450</t>
  </si>
  <si>
    <t>2_ABaOnueUDhjDLlk6tfVMvPRUHr_uWI3wAUb0sxoHE6d6SkiSZLP4ZQXHpK2hZ5xjIJysK8w</t>
  </si>
  <si>
    <t>https://drive.google.com/open?id=1vukODp0zaeUQO9eJkbA8xWDDZirX_KZ-</t>
  </si>
  <si>
    <t>https://docs.google.com/forms/d/e/1FAIpQLSeEYwFnViiqk1AbexVe1VDR73UApmeuvfn6Yr2vN8WXjwGu2Q/viewform?edit2=2_ABaOnufHXHATGTYQn48UUSfcdDjiix2wiGAuNajgtdo_W960gjkwPrpIJaBJJabpITKkP3Y&amp;source=documentstudio&amp;timestamp=1724033491739</t>
  </si>
  <si>
    <t>2_ABaOnufHXHATGTYQn48UUSfcdDjiix2wiGAuNajgtdo_W960gjkwPrpIJaBJJabpITKkP3Y</t>
  </si>
  <si>
    <t>https://drive.google.com/open?id=132jc5fPtP2q2n2xRCoTLbIXVJWhExKzh</t>
  </si>
  <si>
    <t>https://docs.google.com/forms/d/e/1FAIpQLSeEYwFnViiqk1AbexVe1VDR73UApmeuvfn6Yr2vN8WXjwGu2Q/viewform?edit2=2_ABaOnud2ZifPM_puOzzOY6ISaM4ePKkxVxnxHIzWFNwvfl2LrYxnxNOe9z2nmagdGlTuv6U&amp;source=documentstudio&amp;timestamp=1724145576130</t>
  </si>
  <si>
    <t>2_ABaOnud2ZifPM_puOzzOY6ISaM4ePKkxVxnxHIzWFNwvfl2LrYxnxNOe9z2nmagdGlTuv6U</t>
  </si>
  <si>
    <t>https://drive.google.com/open?id=1TTIpZZgIT33m4oRV-uXwHPc7VweA4WPv</t>
  </si>
  <si>
    <t>https://docs.google.com/forms/d/e/1FAIpQLSeEYwFnViiqk1AbexVe1VDR73UApmeuvfn6Yr2vN8WXjwGu2Q/viewform?edit2=2_ABaOnueCNd0m37j7-x8uSyDExG8_erfsCRpd5Ij0J9wOOMu3FibF0Yptg0XqKuHL8pJWwKE&amp;source=documentstudio&amp;timestamp=1724211136122</t>
  </si>
  <si>
    <t>2_ABaOnueCNd0m37j7-x8uSyDExG8_erfsCRpd5Ij0J9wOOMu3FibF0Yptg0XqKuHL8pJWwKE</t>
  </si>
  <si>
    <t>https://drive.google.com/open?id=1eNdacevY_YorPQmfxh-tCqyZ8F-NAP3z</t>
  </si>
  <si>
    <t>https://docs.google.com/forms/d/e/1FAIpQLSeEYwFnViiqk1AbexVe1VDR73UApmeuvfn6Yr2vN8WXjwGu2Q/viewform?edit2=2_ABaOnucE3t8jrcndiPQduLdIlvEWndK3ZKkxctsDPZ8p7A6tpbegbcvmIredyrN6QPel5dM&amp;source=documentstudio&amp;timestamp=1725433854771</t>
  </si>
  <si>
    <t>2_ABaOnucE3t8jrcndiPQduLdIlvEWndK3ZKkxctsDPZ8p7A6tpbegbcvmIredyrN6QPel5dM</t>
  </si>
  <si>
    <t>https://drive.google.com/open?id=10WzrueHL4VwFlK5zJ66Sb-rbjNu-Y9CG</t>
  </si>
  <si>
    <t>https://docs.google.com/forms/d/e/1FAIpQLSeEYwFnViiqk1AbexVe1VDR73UApmeuvfn6Yr2vN8WXjwGu2Q/viewform?edit2=2_ABaOnuf0MB9Z45S_syLnHerBRIrZun8JfpucoQ47R3b52Gozdr9BOCrGJ61mb1GIlu-1iyw&amp;source=documentstudio&amp;timestamp=1725498091806</t>
  </si>
  <si>
    <t>2_ABaOnuf0MB9Z45S_syLnHerBRIrZun8JfpucoQ47R3b52Gozdr9BOCrGJ61mb1GIlu-1iyw</t>
  </si>
  <si>
    <t>https://drive.google.com/open?id=1mPp4su0WuL7l6uujKVtUo5l5HspkjvLF</t>
  </si>
  <si>
    <t>https://docs.google.com/forms/d/e/1FAIpQLSeEYwFnViiqk1AbexVe1VDR73UApmeuvfn6Yr2vN8WXjwGu2Q/viewform?edit2=2_ABaOnudUXE6k0vrwONC3kDaybBXgcy1rLyoczKA9wibAZ79XdsoaRo_I097c1GklYGX0mWo&amp;source=documentstudio&amp;timestamp=1725498543785</t>
  </si>
  <si>
    <t>2_ABaOnudUXE6k0vrwONC3kDaybBXgcy1rLyoczKA9wibAZ79XdsoaRo_I097c1GklYGX0mWo</t>
  </si>
  <si>
    <t>https://drive.google.com/open?id=1XxdCGFAPcv7TCsXLX8GW4Qn9FIXqyhCg</t>
  </si>
  <si>
    <t>https://docs.google.com/forms/d/e/1FAIpQLSeEYwFnViiqk1AbexVe1VDR73UApmeuvfn6Yr2vN8WXjwGu2Q/viewform?edit2=2_ABaOnud0nUT_Td4weqBdXYwyjLObGYQqPahOgJe9LkGuGOOFfzWsFbJMu9G9qVRHHVp6z8M&amp;source=documentstudio&amp;timestamp=1725498734956</t>
  </si>
  <si>
    <t>2_ABaOnud0nUT_Td4weqBdXYwyjLObGYQqPahOgJe9LkGuGOOFfzWsFbJMu9G9qVRHHVp6z8M</t>
  </si>
  <si>
    <t>https://drive.google.com/open?id=1k_1I-WsObBqaTbo-vRb6AgOgSM0LOCT3</t>
  </si>
  <si>
    <t>https://docs.google.com/forms/d/e/1FAIpQLSeEYwFnViiqk1AbexVe1VDR73UApmeuvfn6Yr2vN8WXjwGu2Q/viewform?edit2=2_ABaOnufk6Txh3WMIWBIG5d82cpdZV5-23meeO-Mtm091GFDCc7PvygVWQ_59WTANEhO6E4U&amp;source=documentstudio&amp;timestamp=1725498866197</t>
  </si>
  <si>
    <t>2_ABaOnufk6Txh3WMIWBIG5d82cpdZV5-23meeO-Mtm091GFDCc7PvygVWQ_59WTANEhO6E4U</t>
  </si>
  <si>
    <t>https://drive.google.com/open?id=191kOV0C3la36mATfLr-J_Ca8MROuKnpc</t>
  </si>
  <si>
    <t>https://docs.google.com/forms/d/e/1FAIpQLSeEYwFnViiqk1AbexVe1VDR73UApmeuvfn6Yr2vN8WXjwGu2Q/viewform?edit2=2_ABaOnuefyKeIrEILyQh-6dNarCNVQ8yAQ7uz0jMW9gjNIims1Vqk8_Uqm0oykoX6If8coeo&amp;source=documentstudio&amp;timestamp=1725499579724</t>
  </si>
  <si>
    <t>2_ABaOnuefyKeIrEILyQh-6dNarCNVQ8yAQ7uz0jMW9gjNIims1Vqk8_Uqm0oykoX6If8coeo</t>
  </si>
  <si>
    <t>https://drive.google.com/open?id=1lYm7SxedkEA7B9vZDwytQ3JVoWcS2UKj</t>
  </si>
  <si>
    <t>https://docs.google.com/forms/d/e/1FAIpQLSeEYwFnViiqk1AbexVe1VDR73UApmeuvfn6Yr2vN8WXjwGu2Q/viewform?edit2=2_ABaOnueYV858BJvvAf8ra7oVHAJPhMUK7wl2GeS_D_Mq3PTSVJsAaIKD_gaWz2eBbmhfEjI&amp;source=documentstudio&amp;timestamp=1725499742440</t>
  </si>
  <si>
    <t>2_ABaOnueYV858BJvvAf8ra7oVHAJPhMUK7wl2GeS_D_Mq3PTSVJsAaIKD_gaWz2eBbmhfEjI</t>
  </si>
  <si>
    <t>https://drive.google.com/open?id=19JYzN7rtUOsyO3Ixe2gVVk08kuGp7TCL</t>
  </si>
  <si>
    <t>https://docs.google.com/forms/d/e/1FAIpQLSeEYwFnViiqk1AbexVe1VDR73UApmeuvfn6Yr2vN8WXjwGu2Q/viewform?edit2=2_ABaOnufPred4_Uhjtn1eqInvePokVqISp86ZHk0XsuV9pCwvQBJmjwLwKRo9hR0gcVjpwkQ&amp;source=documentstudio&amp;timestamp=1725500050694</t>
  </si>
  <si>
    <t>2_ABaOnufPred4_Uhjtn1eqInvePokVqISp86ZHk0XsuV9pCwvQBJmjwLwKRo9hR0gcVjpwkQ</t>
  </si>
  <si>
    <t>https://drive.google.com/open?id=1hoNZthS3FbXJo5AET5Drswut0XBXhGgw</t>
  </si>
  <si>
    <t>https://docs.google.com/forms/d/e/1FAIpQLSeEYwFnViiqk1AbexVe1VDR73UApmeuvfn6Yr2vN8WXjwGu2Q/viewform?edit2=2_ABaOnucJ6LWfHrDD5wHa5Z5xJhQo-apOotstjJlkRy8lxLf_hEO43_-O-Bh0m6M-4PEK5d8&amp;source=documentstudio&amp;timestamp=1725508500937</t>
  </si>
  <si>
    <t>2_ABaOnucJ6LWfHrDD5wHa5Z5xJhQo-apOotstjJlkRy8lxLf_hEO43_-O-Bh0m6M-4PEK5d8</t>
  </si>
  <si>
    <t>https://drive.google.com/open?id=1Jg5IwbLJH0gG3wRi-T4w51p0_UM9MX9n</t>
  </si>
  <si>
    <t>https://docs.google.com/forms/d/e/1FAIpQLSeEYwFnViiqk1AbexVe1VDR73UApmeuvfn6Yr2vN8WXjwGu2Q/viewform?edit2=2_ABaOnuctKdUneu0gaiJpvIjOx-Mqo-tUrtc0Hg0JbhDbAuUvob5Vw-VyqplHSCacfb8qBq4&amp;source=documentstudio&amp;timestamp=1725510402335</t>
  </si>
  <si>
    <t>2_ABaOnuctKdUneu0gaiJpvIjOx-Mqo-tUrtc0Hg0JbhDbAuUvob5Vw-VyqplHSCacfb8qBq4</t>
  </si>
  <si>
    <t>https://drive.google.com/open?id=1Nl2OfH3PcR6ZP_Vt18ccTvItRbs30nEN</t>
  </si>
  <si>
    <t>https://docs.google.com/forms/d/e/1FAIpQLSeEYwFnViiqk1AbexVe1VDR73UApmeuvfn6Yr2vN8WXjwGu2Q/viewform?edit2=2_ABaOnucdWqxRkwcGEclrQkyXwqmCu5IM05gkpq5v_PK-duvKZUC67vw0AuyRr3_5pxinU8A&amp;source=documentstudio&amp;timestamp=1725590157937</t>
  </si>
  <si>
    <t>2_ABaOnucdWqxRkwcGEclrQkyXwqmCu5IM05gkpq5v_PK-duvKZUC67vw0AuyRr3_5pxinU8A</t>
  </si>
  <si>
    <t>https://drive.google.com/open?id=1SfFXfHCK1SeuVCRBUBWGUbD9C1_oKMK3</t>
  </si>
  <si>
    <t>https://docs.google.com/forms/d/e/1FAIpQLSeEYwFnViiqk1AbexVe1VDR73UApmeuvfn6Yr2vN8WXjwGu2Q/viewform?edit2=2_ABaOnufm4TKvvX2E3vYtibXbJMIQ9Pe2qDmHxuDuLcQAU_8VHXVzWjW2j0z7VI8lRHMN4NE&amp;source=documentstudio&amp;timestamp=1725613225322</t>
  </si>
  <si>
    <t>2_ABaOnufm4TKvvX2E3vYtibXbJMIQ9Pe2qDmHxuDuLcQAU_8VHXVzWjW2j0z7VI8lRHMN4NE</t>
  </si>
  <si>
    <t>https://drive.google.com/open?id=1pWE6d1zbWr9XVB2LatMT7nIxUivkvfG5</t>
  </si>
  <si>
    <t>https://docs.google.com/forms/d/e/1FAIpQLSeEYwFnViiqk1AbexVe1VDR73UApmeuvfn6Yr2vN8WXjwGu2Q/viewform?edit2=2_ABaOnucPEXuiNlZhVdvV2-SMythK3PEmrl7WeIVVheiWywM6R1RL1U7waQJikgb_GvIFnyU&amp;source=documentstudio&amp;timestamp=1725846063800</t>
  </si>
  <si>
    <t>2_ABaOnucPEXuiNlZhVdvV2-SMythK3PEmrl7WeIVVheiWywM6R1RL1U7waQJikgb_GvIFnyU</t>
  </si>
  <si>
    <t>https://drive.google.com/open?id=1GZ_q-UR4eeQKpxeytXpK_B-258PuGcuq</t>
  </si>
  <si>
    <t>https://docs.google.com/forms/d/e/1FAIpQLSeEYwFnViiqk1AbexVe1VDR73UApmeuvfn6Yr2vN8WXjwGu2Q/viewform?edit2=2_ABaOnufsC07tBtFHsmSJbtVtNADOwCfQgzVmlTWMpZnvjTbABN0awpXamGMmwDJ7k3r7bL8&amp;source=documentstudio&amp;timestamp=1725852319836</t>
  </si>
  <si>
    <t>2_ABaOnufsC07tBtFHsmSJbtVtNADOwCfQgzVmlTWMpZnvjTbABN0awpXamGMmwDJ7k3r7bL8</t>
  </si>
  <si>
    <t>https://drive.google.com/open?id=1_VvTrl7Paghd2hNuwJrtHgzYdY_6K4fD</t>
  </si>
  <si>
    <t>https://docs.google.com/forms/d/e/1FAIpQLSeEYwFnViiqk1AbexVe1VDR73UApmeuvfn6Yr2vN8WXjwGu2Q/viewform?edit2=2_ABaOnueI3XPrW0SgxCdyfIautrpMp0EP-x3r206jYxhpDntXyoK5YmP1YeQGnMqwy6wp2wo&amp;source=documentstudio&amp;timestamp=1725852900503</t>
  </si>
  <si>
    <t>2_ABaOnueI3XPrW0SgxCdyfIautrpMp0EP-x3r206jYxhpDntXyoK5YmP1YeQGnMqwy6wp2wo</t>
  </si>
  <si>
    <t>https://drive.google.com/open?id=1XixG5kPddfB-UeV35tWMKf2Fg5ASoTZg</t>
  </si>
  <si>
    <t>https://docs.google.com/forms/d/e/1FAIpQLSeEYwFnViiqk1AbexVe1VDR73UApmeuvfn6Yr2vN8WXjwGu2Q/viewform?edit2=2_ABaOnuec5qUX2tdbrAJGEh-iH7gD17E1VfroREuhalit4JsCim9bruu1VlSD-n7XvmlDv6Q&amp;source=documentstudio&amp;timestamp=1725853253623</t>
  </si>
  <si>
    <t>2_ABaOnuec5qUX2tdbrAJGEh-iH7gD17E1VfroREuhalit4JsCim9bruu1VlSD-n7XvmlDv6Q</t>
  </si>
  <si>
    <t>https://drive.google.com/open?id=16HhDDRLz2ENDSOEGaX_7UyZZQRkj3Pev</t>
  </si>
  <si>
    <t>https://docs.google.com/forms/d/e/1FAIpQLSeEYwFnViiqk1AbexVe1VDR73UApmeuvfn6Yr2vN8WXjwGu2Q/viewform?edit2=2_ABaOnudSeOx1cGzT_jUf51qXqx1d4gFEAp9-Woh0PrOW10REFYuxggr2FWxicUEkCpMtFdU&amp;source=documentstudio&amp;timestamp=1725853378067</t>
  </si>
  <si>
    <t>2_ABaOnudSeOx1cGzT_jUf51qXqx1d4gFEAp9-Woh0PrOW10REFYuxggr2FWxicUEkCpMtFdU</t>
  </si>
  <si>
    <t>https://drive.google.com/open?id=151RnhrAtNDqFn4FunIBlJy0O_HCUW-Ka</t>
  </si>
  <si>
    <t>https://docs.google.com/forms/d/e/1FAIpQLSeEYwFnViiqk1AbexVe1VDR73UApmeuvfn6Yr2vN8WXjwGu2Q/viewform?edit2=2_ABaOnufmj2emCL2LrFw436ec02Lx3DjBj6KGj76b-4tKhatlgndqJXe7-q68u6Eab-oWHdw&amp;source=documentstudio&amp;timestamp=1725854364318</t>
  </si>
  <si>
    <t>2_ABaOnufmj2emCL2LrFw436ec02Lx3DjBj6KGj76b-4tKhatlgndqJXe7-q68u6Eab-oWHdw</t>
  </si>
  <si>
    <t>https://drive.google.com/open?id=1YRevKDlA-aNs9v02JcYpX1dHDuhGXzy2</t>
  </si>
  <si>
    <t>https://docs.google.com/forms/d/e/1FAIpQLSeEYwFnViiqk1AbexVe1VDR73UApmeuvfn6Yr2vN8WXjwGu2Q/viewform?edit2=2_ABaOnucw_BIyWKe7vdwq1agLDXNQgto0XQ-e5Cq7IUmLtnUClGyJwFCNddysm7BMfq4fejE&amp;source=documentstudio&amp;timestamp=1725856356370</t>
  </si>
  <si>
    <t>2_ABaOnucw_BIyWKe7vdwq1agLDXNQgto0XQ-e5Cq7IUmLtnUClGyJwFCNddysm7BMfq4fejE</t>
  </si>
  <si>
    <t>https://drive.google.com/open?id=1668sBtNqFITuLj184TuPTRThCKLwU9IO</t>
  </si>
  <si>
    <t>https://docs.google.com/forms/d/e/1FAIpQLSeEYwFnViiqk1AbexVe1VDR73UApmeuvfn6Yr2vN8WXjwGu2Q/viewform?edit2=2_ABaOnudJbHX5M8kEzLTQNf6KCSWkngiYgssmerHZr2LDPtgQz-mkpop7u2bS0OIMAkIBiFg&amp;source=documentstudio&amp;timestamp=1725860297221</t>
  </si>
  <si>
    <t>2_ABaOnudJbHX5M8kEzLTQNf6KCSWkngiYgssmerHZr2LDPtgQz-mkpop7u2bS0OIMAkIBiFg</t>
  </si>
  <si>
    <t>https://drive.google.com/open?id=19N9NOs_KJH4syOcd4z-YDI3_us5EsKcm</t>
  </si>
  <si>
    <t>https://docs.google.com/forms/d/e/1FAIpQLSeEYwFnViiqk1AbexVe1VDR73UApmeuvfn6Yr2vN8WXjwGu2Q/viewform?edit2=2_ABaOnucdyqPZjSC7erVIxgMGRcTatyskxpRPInQuH0hBQrQ9V1krLO6tK0exHZr51uFejtU&amp;source=documentstudio&amp;timestamp=1725872667248</t>
  </si>
  <si>
    <t>2_ABaOnucdyqPZjSC7erVIxgMGRcTatyskxpRPInQuH0hBQrQ9V1krLO6tK0exHZr51uFejtU</t>
  </si>
  <si>
    <t>https://drive.google.com/open?id=1MXPIOxVCW18YuO0352qJpBfayuTH0Bzu</t>
  </si>
  <si>
    <t>https://docs.google.com/forms/d/e/1FAIpQLSeEYwFnViiqk1AbexVe1VDR73UApmeuvfn6Yr2vN8WXjwGu2Q/viewform?edit2=2_ABaOnueIjE15fzJ0zEr6vvZ4WNyqRH9pGdMU47lswC0gK4JHuqkr_qogugBrlcDLJMzylFQ&amp;source=documentstudio&amp;timestamp=1726034259375</t>
  </si>
  <si>
    <t>2_ABaOnueIjE15fzJ0zEr6vvZ4WNyqRH9pGdMU47lswC0gK4JHuqkr_qogugBrlcDLJMzylFQ</t>
  </si>
  <si>
    <t>https://drive.google.com/open?id=1Ox1zMWxIHHCwX7ZVhUHNH4pMKr-O0iBi</t>
  </si>
  <si>
    <t>https://docs.google.com/forms/d/e/1FAIpQLSeEYwFnViiqk1AbexVe1VDR73UApmeuvfn6Yr2vN8WXjwGu2Q/viewform?edit2=2_ABaOnufVh1DlRMPqTHJgRuh7h0g5Q_A6J6OgZdMbz0KngkpdA7XrAYFEIqJDzCOsEQ91HAM&amp;source=documentstudio&amp;timestamp=1726038657873</t>
  </si>
  <si>
    <t>2_ABaOnufVh1DlRMPqTHJgRuh7h0g5Q_A6J6OgZdMbz0KngkpdA7XrAYFEIqJDzCOsEQ91HAM</t>
  </si>
  <si>
    <t>https://drive.google.com/open?id=1JILOUnD_bgjrbfeA92uVwoQ8_zDmVzYf</t>
  </si>
  <si>
    <t>https://docs.google.com/forms/d/e/1FAIpQLSeEYwFnViiqk1AbexVe1VDR73UApmeuvfn6Yr2vN8WXjwGu2Q/viewform?edit2=2_ABaOnuf3LHWTFWreFl_cpmeYZjqkwN4J5GHs0TvIpcdy1xtUBW9ZKRsOq51j_NJ6jpxYq0U&amp;source=documentstudio&amp;timestamp=1726039846934</t>
  </si>
  <si>
    <t>2_ABaOnuf3LHWTFWreFl_cpmeYZjqkwN4J5GHs0TvIpcdy1xtUBW9ZKRsOq51j_NJ6jpxYq0U</t>
  </si>
  <si>
    <t>https://drive.google.com/open?id=1KjLRcnoAJCh43VZq7JRYePWfcSiTU5Q6</t>
  </si>
  <si>
    <t>https://docs.google.com/forms/d/e/1FAIpQLSeEYwFnViiqk1AbexVe1VDR73UApmeuvfn6Yr2vN8WXjwGu2Q/viewform?edit2=2_ABaOnudntw5p3kSs_iYabCMV-Sd13BucjxZHr7i_P1Mv3zYnFtxotOGYw-x2qXH4ncaWq8Q&amp;source=documentstudio&amp;timestamp=1726109973507</t>
  </si>
  <si>
    <t>2_ABaOnudntw5p3kSs_iYabCMV-Sd13BucjxZHr7i_P1Mv3zYnFtxotOGYw-x2qXH4ncaWq8Q</t>
  </si>
  <si>
    <t>https://drive.google.com/open?id=1PyZb1V1SPfEFJ34ylLxxLdZKwFm0U0cx</t>
  </si>
  <si>
    <t>https://docs.google.com/forms/d/e/1FAIpQLSeEYwFnViiqk1AbexVe1VDR73UApmeuvfn6Yr2vN8WXjwGu2Q/viewform?edit2=2_ABaOnueKIwBLtcDeT7IU0jDS87xnfZhAbBVyT6eyDG7LOWLP7udi6P9NUKFTX1t4igXIxgg&amp;source=documentstudio&amp;timestamp=1726538023600</t>
  </si>
  <si>
    <t>2_ABaOnueKIwBLtcDeT7IU0jDS87xnfZhAbBVyT6eyDG7LOWLP7udi6P9NUKFTX1t4igXIxgg</t>
  </si>
  <si>
    <t>https://drive.google.com/open?id=1d8aZd_T27LJysWtWRmhAUTyKtueHvyU4</t>
  </si>
  <si>
    <t>https://docs.google.com/forms/d/e/1FAIpQLSeEYwFnViiqk1AbexVe1VDR73UApmeuvfn6Yr2vN8WXjwGu2Q/viewform?edit2=2_ABaOnueSNqiKJlp0uvm8AhKhOOcUF0xJwHzZQ7THmHdJ5og1H_PHwOUJostUFPpXxkMd-CE&amp;source=documentstudio&amp;timestamp=1726618621985</t>
  </si>
  <si>
    <t>2_ABaOnueSNqiKJlp0uvm8AhKhOOcUF0xJwHzZQ7THmHdJ5og1H_PHwOUJostUFPpXxkMd-CE</t>
  </si>
  <si>
    <t>https://drive.google.com/open?id=1-egtA9SVspNzn8iFShQjXzRe1CXMizCb</t>
  </si>
  <si>
    <t>https://docs.google.com/forms/d/e/1FAIpQLSeEYwFnViiqk1AbexVe1VDR73UApmeuvfn6Yr2vN8WXjwGu2Q/viewform?edit2=2_ABaOnucX5U7h_zENIEYhdXA-ZIWwwRbrnNTyOtIwYSITgRoj6oIwVyl8poA2hHhRzAJHE-M&amp;source=documentstudio&amp;timestamp=1726618741467</t>
  </si>
  <si>
    <t>2_ABaOnucX5U7h_zENIEYhdXA-ZIWwwRbrnNTyOtIwYSITgRoj6oIwVyl8poA2hHhRzAJHE-M</t>
  </si>
  <si>
    <t>https://drive.google.com/open?id=16wBpfqucM2ECqjs7vhl50BFsILzvlkIr</t>
  </si>
  <si>
    <t>https://docs.google.com/forms/d/e/1FAIpQLSeEYwFnViiqk1AbexVe1VDR73UApmeuvfn6Yr2vN8WXjwGu2Q/viewform?edit2=2_ABaOnucxj6EpkobGz3PR8YNZo11DlB5Tsn3FXFH4XC9b_plC0H80e8Dv1iL5KkgTONNxnYU&amp;source=documentstudio&amp;timestamp=1726618858568</t>
  </si>
  <si>
    <t>2_ABaOnucxj6EpkobGz3PR8YNZo11DlB5Tsn3FXFH4XC9b_plC0H80e8Dv1iL5KkgTONNxnYU</t>
  </si>
  <si>
    <t>https://drive.google.com/open?id=1fflRjULYpblV6cTcq2duR7nm_sFFFaly</t>
  </si>
  <si>
    <t>https://docs.google.com/forms/d/e/1FAIpQLSeEYwFnViiqk1AbexVe1VDR73UApmeuvfn6Yr2vN8WXjwGu2Q/viewform?edit2=2_ABaOnufxH4VIlHt0EsFSKL4N1TGkwh4bUA94sYZAdWABEIDhQCeGc-XHrSAoVt-enfgWY2s&amp;source=documentstudio&amp;timestamp=1726619183841</t>
  </si>
  <si>
    <t>2_ABaOnufxH4VIlHt0EsFSKL4N1TGkwh4bUA94sYZAdWABEIDhQCeGc-XHrSAoVt-enfgWY2s</t>
  </si>
  <si>
    <t>https://drive.google.com/open?id=1GY0FzJZ-yXmTyLcIu5UiDL_PiTiJ-1kI</t>
  </si>
  <si>
    <t>https://docs.google.com/forms/d/e/1FAIpQLSeEYwFnViiqk1AbexVe1VDR73UApmeuvfn6Yr2vN8WXjwGu2Q/viewform?edit2=2_ABaOnuevfkvu5oQ1Do65Zgz8umjy2zkbXyWRC4SXrHH8HM-brJYIbenjWrhx-kt-k7Rid5w&amp;source=documentstudio&amp;timestamp=1726619274664</t>
  </si>
  <si>
    <t>2_ABaOnuevfkvu5oQ1Do65Zgz8umjy2zkbXyWRC4SXrHH8HM-brJYIbenjWrhx-kt-k7Rid5w</t>
  </si>
  <si>
    <t>https://drive.google.com/open?id=13xKl2MPxnwQ3UYRORaKylHqYmyXN2TJP</t>
  </si>
  <si>
    <t>https://docs.google.com/forms/d/e/1FAIpQLSeEYwFnViiqk1AbexVe1VDR73UApmeuvfn6Yr2vN8WXjwGu2Q/viewform?edit2=2_ABaOnudn3CvunKyOmwavb427bdLfAlVW6bIxTpe4zD5hkB9STSWawdY8_tYExKcvdi91-68&amp;source=documentstudio&amp;timestamp=1726619649464</t>
  </si>
  <si>
    <t>2_ABaOnudn3CvunKyOmwavb427bdLfAlVW6bIxTpe4zD5hkB9STSWawdY8_tYExKcvdi91-68</t>
  </si>
  <si>
    <t>https://drive.google.com/open?id=1HTBMUmhOnUDRa4Qeqhcqaj48cvOiQEW7</t>
  </si>
  <si>
    <t>https://docs.google.com/forms/d/e/1FAIpQLSeEYwFnViiqk1AbexVe1VDR73UApmeuvfn6Yr2vN8WXjwGu2Q/viewform?edit2=2_ABaOnueB5KAcsU-Qmvae_5e38m_GPZEAyoEJyYWUOfHo8bU6awGwSazPInO8TY489wPXE3M&amp;source=documentstudio&amp;timestamp=1726621639964</t>
  </si>
  <si>
    <t>2_ABaOnueB5KAcsU-Qmvae_5e38m_GPZEAyoEJyYWUOfHo8bU6awGwSazPInO8TY489wPXE3M</t>
  </si>
  <si>
    <t>https://drive.google.com/open?id=19ZokdDrU_goUgn9RDuMyVJVU4Wg2BMlF</t>
  </si>
  <si>
    <t>https://docs.google.com/forms/d/e/1FAIpQLSeEYwFnViiqk1AbexVe1VDR73UApmeuvfn6Yr2vN8WXjwGu2Q/viewform?edit2=2_ABaOnue-NWAwW0PHmfvJF2TaKvYADZ-ys68dS-mU2hSaZyKrswMRsT59Kfr10z9ZZbQqinU&amp;source=documentstudio&amp;timestamp=1726622381801</t>
  </si>
  <si>
    <t>2_ABaOnue-NWAwW0PHmfvJF2TaKvYADZ-ys68dS-mU2hSaZyKrswMRsT59Kfr10z9ZZbQqinU</t>
  </si>
  <si>
    <t>https://drive.google.com/open?id=1SltuqoybQUy5j3XX5_jYVvJuBU5Nt4pO</t>
  </si>
  <si>
    <t>https://docs.google.com/forms/d/e/1FAIpQLSeEYwFnViiqk1AbexVe1VDR73UApmeuvfn6Yr2vN8WXjwGu2Q/viewform?edit2=2_ABaOnuf7Lk_yl1RgJccnqJh7Bw8lV9kzquPmJadj0IjX2BotCvs8uX56T9HmnuoQSPttDU8&amp;source=documentstudio&amp;timestamp=1726886133758</t>
  </si>
  <si>
    <t>2_ABaOnuf7Lk_yl1RgJccnqJh7Bw8lV9kzquPmJadj0IjX2BotCvs8uX56T9HmnuoQSPttDU8</t>
  </si>
  <si>
    <t>https://drive.google.com/open?id=1q5hJstpqcL6JdIhneRVeZCH7EfdOuTUu</t>
  </si>
  <si>
    <t>https://docs.google.com/forms/d/e/1FAIpQLSeEYwFnViiqk1AbexVe1VDR73UApmeuvfn6Yr2vN8WXjwGu2Q/viewform?edit2=2_ABaOnudPiIINCd7DqX_I94HAt0o0JjJ8AqY9hO9ZLOWKiUC0FC6LwP0vpguFELqJMjCF7vA&amp;source=documentstudio&amp;timestamp=1727829624599</t>
  </si>
  <si>
    <t>2_ABaOnudPiIINCd7DqX_I94HAt0o0JjJ8AqY9hO9ZLOWKiUC0FC6LwP0vpguFELqJMjCF7vA</t>
  </si>
  <si>
    <t>https://drive.google.com/open?id=1c1kp6b1ADPvyw15xfelozcpwyfVWIuli</t>
  </si>
  <si>
    <t>https://docs.google.com/forms/d/e/1FAIpQLSeEYwFnViiqk1AbexVe1VDR73UApmeuvfn6Yr2vN8WXjwGu2Q/viewform?edit2=2_ABaOnucunS0XjjVnqBSykL7hbbAlVSl6_ARGvyrSOTO94r2Rcv8a3xfwH8-I3Oh3kVciGDc&amp;source=documentstudio&amp;timestamp=1727832432314</t>
  </si>
  <si>
    <t>2_ABaOnucunS0XjjVnqBSykL7hbbAlVSl6_ARGvyrSOTO94r2Rcv8a3xfwH8-I3Oh3kVciGDc</t>
  </si>
  <si>
    <t>https://drive.google.com/open?id=18cnKp_Qc28vqqWfhAD1fOIMbysqvWvnC</t>
  </si>
  <si>
    <t>https://docs.google.com/forms/d/e/1FAIpQLSeEYwFnViiqk1AbexVe1VDR73UApmeuvfn6Yr2vN8WXjwGu2Q/viewform?edit2=2_ABaOnufJx8nEvBYJ_l678UDHd3oQbDKgKs79FZh3h9lm4nP-hBY8MnIO2JrfylMbB-zIl08&amp;source=documentstudio&amp;timestamp=1727832462995</t>
  </si>
  <si>
    <t>2_ABaOnufJx8nEvBYJ_l678UDHd3oQbDKgKs79FZh3h9lm4nP-hBY8MnIO2JrfylMbB-zIl08</t>
  </si>
  <si>
    <t>https://drive.google.com/open?id=12CKLjXLxVLoMjmVT3psMgXdNPC4I-68e</t>
  </si>
  <si>
    <t>https://docs.google.com/forms/d/e/1FAIpQLSeEYwFnViiqk1AbexVe1VDR73UApmeuvfn6Yr2vN8WXjwGu2Q/viewform?edit2=2_ABaOnucF68_HX9lY01frozTf4YOpYmft_qwkwVGLuq9xhN0RK0mf1cdeHXYRJgML1zAI2XA&amp;source=documentstudio&amp;timestamp=1727845151505</t>
  </si>
  <si>
    <t>2_ABaOnucF68_HX9lY01frozTf4YOpYmft_qwkwVGLuq9xhN0RK0mf1cdeHXYRJgML1zAI2XA</t>
  </si>
  <si>
    <t>https://drive.google.com/open?id=1RctbM90Y5PW-vegK4AEMSVWK85rLPQtI</t>
  </si>
  <si>
    <t>https://docs.google.com/forms/d/e/1FAIpQLSeEYwFnViiqk1AbexVe1VDR73UApmeuvfn6Yr2vN8WXjwGu2Q/viewform?edit2=2_ABaOnue4YUc3poQC6p4NqYV2AUZ9mpFYqJN3K1vur9nbXc-UWcWqXyUvAsoX8MWg60-5R1U&amp;source=documentstudio&amp;timestamp=1727846101875</t>
  </si>
  <si>
    <t>2_ABaOnue4YUc3poQC6p4NqYV2AUZ9mpFYqJN3K1vur9nbXc-UWcWqXyUvAsoX8MWg60-5R1U</t>
  </si>
  <si>
    <t>https://drive.google.com/open?id=1lvbvGe_i5TnHLgb2Qp_IZ6FDDswtiTFr</t>
  </si>
  <si>
    <t>https://docs.google.com/forms/d/e/1FAIpQLSeEYwFnViiqk1AbexVe1VDR73UApmeuvfn6Yr2vN8WXjwGu2Q/viewform?edit2=2_ABaOnufzAZl3pN5_PVcmH4arrEd_eyVU8-7K4SZ_ThBCXxtbnfsFR_cvejLJa7UwGPUDnmg&amp;source=documentstudio&amp;timestamp=1727857016296</t>
  </si>
  <si>
    <t>2_ABaOnufzAZl3pN5_PVcmH4arrEd_eyVU8-7K4SZ_ThBCXxtbnfsFR_cvejLJa7UwGPUDnmg</t>
  </si>
  <si>
    <t>https://drive.google.com/open?id=1gkdHnRgVx94j3p_dJdcl55WleBwwp_Cq</t>
  </si>
  <si>
    <t>https://docs.google.com/forms/d/e/1FAIpQLSeEYwFnViiqk1AbexVe1VDR73UApmeuvfn6Yr2vN8WXjwGu2Q/viewform?edit2=2_ABaOnuckAkNfMDBgilUb_rw15FUHN_9qIEAAd34YRS4c7PnbqRxJfGxDq-cNuHQgyfPMdjA&amp;source=documentstudio&amp;timestamp=1727859353462</t>
  </si>
  <si>
    <t>2_ABaOnuckAkNfMDBgilUb_rw15FUHN_9qIEAAd34YRS4c7PnbqRxJfGxDq-cNuHQgyfPMdjA</t>
  </si>
  <si>
    <t>https://drive.google.com/open?id=1Q2NA8Fq2jPgTPYMHekxMBRJ2GKQfeyyE</t>
  </si>
  <si>
    <t>https://docs.google.com/forms/d/e/1FAIpQLSeEYwFnViiqk1AbexVe1VDR73UApmeuvfn6Yr2vN8WXjwGu2Q/viewform?edit2=2_ABaOnuehqAcG_q-snDgaOdma1S2HYgONxNWFg3Esm4JkVz_Q_9mWHQuPjvghFfTFEIqKmFk&amp;source=documentstudio&amp;timestamp=1727859545792</t>
  </si>
  <si>
    <t>2_ABaOnuehqAcG_q-snDgaOdma1S2HYgONxNWFg3Esm4JkVz_Q_9mWHQuPjvghFfTFEIqKmFk</t>
  </si>
  <si>
    <t>https://drive.google.com/open?id=1o0CaGKLojXzdWArXb9lz3sOHoGkifY-k</t>
  </si>
  <si>
    <t>https://docs.google.com/forms/d/e/1FAIpQLSeEYwFnViiqk1AbexVe1VDR73UApmeuvfn6Yr2vN8WXjwGu2Q/viewform?edit2=2_ABaOnufccQ3xyxQdAJm-1W8NFa0eF45SzRJZstK8E6SEu6qsqPt4gHjf9fwcLSMAWfv9s4U&amp;source=documentstudio&amp;timestamp=1727915198735</t>
  </si>
  <si>
    <t>2_ABaOnufccQ3xyxQdAJm-1W8NFa0eF45SzRJZstK8E6SEu6qsqPt4gHjf9fwcLSMAWfv9s4U</t>
  </si>
  <si>
    <t>https://drive.google.com/open?id=188szIoQwccCTzMEINmmoSFasZ1BSlZ9D</t>
  </si>
  <si>
    <t>https://docs.google.com/forms/d/e/1FAIpQLSeEYwFnViiqk1AbexVe1VDR73UApmeuvfn6Yr2vN8WXjwGu2Q/viewform?edit2=2_ABaOnudxuyubov43oLc_R1IjB6205GhH7r8Z4W1GD5rod1XZSOwza-pFo1-IpdGrSntceL4&amp;source=documentstudio&amp;timestamp=1727916342844</t>
  </si>
  <si>
    <t>2_ABaOnudxuyubov43oLc_R1IjB6205GhH7r8Z4W1GD5rod1XZSOwza-pFo1-IpdGrSntceL4</t>
  </si>
  <si>
    <t>https://drive.google.com/open?id=1d8oSZFHrvNN_ZrDCFI0mc1q1xJXhQBpm</t>
  </si>
  <si>
    <t>https://docs.google.com/forms/d/e/1FAIpQLSeEYwFnViiqk1AbexVe1VDR73UApmeuvfn6Yr2vN8WXjwGu2Q/viewform?edit2=2_ABaOnucjmZQuDOvaLgeSzWRvDiJILeY-bUium0y6pfvt9kyoIK6rV304_HyBjCBEFxzRymo&amp;source=documentstudio&amp;timestamp=1727919474511</t>
  </si>
  <si>
    <t>2_ABaOnucjmZQuDOvaLgeSzWRvDiJILeY-bUium0y6pfvt9kyoIK6rV304_HyBjCBEFxzRymo</t>
  </si>
  <si>
    <t>https://drive.google.com/open?id=13JV2ImkEUQtnCJQRmlPLteF6hbOAHXwP</t>
  </si>
  <si>
    <t>https://docs.google.com/forms/d/e/1FAIpQLSeEYwFnViiqk1AbexVe1VDR73UApmeuvfn6Yr2vN8WXjwGu2Q/viewform?edit2=2_ABaOnuc57VrBJzP3fHjpQan4gj7VdUIctuvq-4R2ZuIac8--i-ZK_DJ4l7wUhgHirykeOqU&amp;source=documentstudio&amp;timestamp=1727919667460</t>
  </si>
  <si>
    <t>2_ABaOnuc57VrBJzP3fHjpQan4gj7VdUIctuvq-4R2ZuIac8--i-ZK_DJ4l7wUhgHirykeOqU</t>
  </si>
  <si>
    <t>https://drive.google.com/open?id=1-vuX4BzU-8G1aCvxPNE7xaGV_iznYJye</t>
  </si>
  <si>
    <t>https://docs.google.com/forms/d/e/1FAIpQLSeEYwFnViiqk1AbexVe1VDR73UApmeuvfn6Yr2vN8WXjwGu2Q/viewform?edit2=2_ABaOnud_SJM2QFVr-3Z3ZuSt0c-yhly5CLlHlhFPHSr-w98VDmxFU1bYgscW_MLq0TxZ9Hc&amp;source=documentstudio&amp;timestamp=1727919750814</t>
  </si>
  <si>
    <t>2_ABaOnud_SJM2QFVr-3Z3ZuSt0c-yhly5CLlHlhFPHSr-w98VDmxFU1bYgscW_MLq0TxZ9Hc</t>
  </si>
  <si>
    <t>https://drive.google.com/open?id=1_4EzzNgd8gULmxOLGEQBDel3TurFFroF</t>
  </si>
  <si>
    <t>https://docs.google.com/forms/d/e/1FAIpQLSeEYwFnViiqk1AbexVe1VDR73UApmeuvfn6Yr2vN8WXjwGu2Q/viewform?edit2=2_ABaOnucrYIggGWxIjmuS9ZYaKfw3b340yIStW2h4qhkZTv0kiXT7G0xLOn31WcCtgvtw18c&amp;source=documentstudio&amp;timestamp=1727920964267</t>
  </si>
  <si>
    <t>2_ABaOnucrYIggGWxIjmuS9ZYaKfw3b340yIStW2h4qhkZTv0kiXT7G0xLOn31WcCtgvtw18c</t>
  </si>
  <si>
    <t>https://drive.google.com/open?id=1PIpX9e833dOzSA7G2LX_q9et459eyYPU</t>
  </si>
  <si>
    <t>https://docs.google.com/forms/d/e/1FAIpQLSeEYwFnViiqk1AbexVe1VDR73UApmeuvfn6Yr2vN8WXjwGu2Q/viewform?edit2=2_ABaOnuesLTcE6nW-h7A6Og6Z2eE63N7oaL8sEUIZFagZmkp1mCl-KGyzTOUmIv49PwbHTIQ&amp;source=documentstudio&amp;timestamp=1727950913119</t>
  </si>
  <si>
    <t>2_ABaOnuesLTcE6nW-h7A6Og6Z2eE63N7oaL8sEUIZFagZmkp1mCl-KGyzTOUmIv49PwbHTIQ</t>
  </si>
  <si>
    <t>https://drive.google.com/open?id=1DOyjCNjlxlPhMJNYL__hKXy_Uqy8IDoi</t>
  </si>
  <si>
    <t>https://docs.google.com/forms/d/e/1FAIpQLSeEYwFnViiqk1AbexVe1VDR73UApmeuvfn6Yr2vN8WXjwGu2Q/viewform?edit2=2_ABaOnueyXhfExEA-aRmRsWui46d1yVH8H_Q3CxOCvUuoa6L4V3pf061v3duVtul7AaTiWLc&amp;source=documentstudio&amp;timestamp=1728007762412</t>
  </si>
  <si>
    <t>2_ABaOnueyXhfExEA-aRmRsWui46d1yVH8H_Q3CxOCvUuoa6L4V3pf061v3duVtul7AaTiWLc</t>
  </si>
  <si>
    <t>https://drive.google.com/open?id=1NK8IWDRtpwn_WdHNfAAv7yRyVnprZqIF</t>
  </si>
  <si>
    <t>https://docs.google.com/forms/d/e/1FAIpQLSeEYwFnViiqk1AbexVe1VDR73UApmeuvfn6Yr2vN8WXjwGu2Q/viewform?edit2=2_ABaOnuc-Fu2OJuNfqaHu8uLM9YFp9VrLNrt234s8MBmtDGrXu_h5CA04lkvIjP29U-5z0Qk&amp;source=documentstudio&amp;timestamp=1728011280874</t>
  </si>
  <si>
    <t>2_ABaOnuc-Fu2OJuNfqaHu8uLM9YFp9VrLNrt234s8MBmtDGrXu_h5CA04lkvIjP29U-5z0Qk</t>
  </si>
  <si>
    <t>https://drive.google.com/open?id=1aqZtJ3xJZlTAo6HHulk0AxjPFwfTWZEr</t>
  </si>
  <si>
    <t>https://docs.google.com/forms/d/e/1FAIpQLSeEYwFnViiqk1AbexVe1VDR73UApmeuvfn6Yr2vN8WXjwGu2Q/viewform?edit2=2_ABaOnufsv6QDddnzWnEGkCGEl4cqZB0WBGn5kukFttENUQcIH_pdmOY-SzF_KVnpstdE9Yk&amp;source=documentstudio&amp;timestamp=1728015566918</t>
  </si>
  <si>
    <t>2_ABaOnufsv6QDddnzWnEGkCGEl4cqZB0WBGn5kukFttENUQcIH_pdmOY-SzF_KVnpstdE9Yk</t>
  </si>
  <si>
    <t>https://drive.google.com/open?id=1iH66_kkRkmVHaBeP2_bS6h_pDULJG1If</t>
  </si>
  <si>
    <t>https://docs.google.com/forms/d/e/1FAIpQLSeEYwFnViiqk1AbexVe1VDR73UApmeuvfn6Yr2vN8WXjwGu2Q/viewform?edit2=2_ABaOnueKlsmIHYplaFvSADRyY7vRainIFs8-RorV-DVEsAlpOml7UDVclYI6i2C60SQeuKQ&amp;source=documentstudio&amp;timestamp=1728021675597</t>
  </si>
  <si>
    <t>2_ABaOnueKlsmIHYplaFvSADRyY7vRainIFs8-RorV-DVEsAlpOml7UDVclYI6i2C60SQeuKQ</t>
  </si>
  <si>
    <t>https://drive.google.com/open?id=1ciQbXbwVuI3ozHO5Tr_frxowferIPBfj</t>
  </si>
  <si>
    <t>https://docs.google.com/forms/d/e/1FAIpQLSeEYwFnViiqk1AbexVe1VDR73UApmeuvfn6Yr2vN8WXjwGu2Q/viewform?edit2=2_ABaOnud3HqnsC5C2Wk1u1PacYmVKRNtrcOaA8MEHX2D0PoFCmqN0KIb-h34tfnpyqZJCnXg&amp;source=documentstudio&amp;timestamp=1728026330037</t>
  </si>
  <si>
    <t>2_ABaOnud3HqnsC5C2Wk1u1PacYmVKRNtrcOaA8MEHX2D0PoFCmqN0KIb-h34tfnpyqZJCnXg</t>
  </si>
  <si>
    <t>https://drive.google.com/open?id=1JMEU0glS-XSUefSYmds1QTpUbXli71fu</t>
  </si>
  <si>
    <t>https://docs.google.com/forms/d/e/1FAIpQLSeEYwFnViiqk1AbexVe1VDR73UApmeuvfn6Yr2vN8WXjwGu2Q/viewform?edit2=2_ABaOnudjiTrS8l7zKirDjxYpqSchbBhzJx_D3apdxrElaRZqL7tmxkUyqab7V0t4X7OC25E&amp;source=documentstudio&amp;timestamp=1728028107154</t>
  </si>
  <si>
    <t>2_ABaOnudjiTrS8l7zKirDjxYpqSchbBhzJx_D3apdxrElaRZqL7tmxkUyqab7V0t4X7OC25E</t>
  </si>
  <si>
    <t>https://drive.google.com/open?id=1AUQ2F35g-f8YvoA4VGgdPFxZYpIHw3E2</t>
  </si>
  <si>
    <t>https://docs.google.com/forms/d/e/1FAIpQLSeEYwFnViiqk1AbexVe1VDR73UApmeuvfn6Yr2vN8WXjwGu2Q/viewform?edit2=2_ABaOnucbyOYPo1zpx7ht9OouorM1VFlGGpBtW9XszCaNpW3zk-YBIhZGaT6bDWBHiiDwX6Y&amp;source=documentstudio&amp;timestamp=1728030498355</t>
  </si>
  <si>
    <t>2_ABaOnucbyOYPo1zpx7ht9OouorM1VFlGGpBtW9XszCaNpW3zk-YBIhZGaT6bDWBHiiDwX6Y</t>
  </si>
  <si>
    <t>https://drive.google.com/open?id=1up-0nM0dZkiSg09QyJ7j1_iFrc05jiLF</t>
  </si>
  <si>
    <t>https://docs.google.com/forms/d/e/1FAIpQLSeEYwFnViiqk1AbexVe1VDR73UApmeuvfn6Yr2vN8WXjwGu2Q/viewform?edit2=2_ABaOnucbHUZ3XRJIREIb_rvWNB4kdE3yqBNTgBmVwm7KvHuOMUwuqJg4lq_UV1ntaQr2JQ8&amp;source=documentstudio&amp;timestamp=1728030527627</t>
  </si>
  <si>
    <t>2_ABaOnucbHUZ3XRJIREIb_rvWNB4kdE3yqBNTgBmVwm7KvHuOMUwuqJg4lq_UV1ntaQr2JQ8</t>
  </si>
  <si>
    <t>https://drive.google.com/open?id=16SKbNis59FDbrVb4PA7fFDGKIeUdfrhb</t>
  </si>
  <si>
    <t>https://docs.google.com/forms/d/e/1FAIpQLSeEYwFnViiqk1AbexVe1VDR73UApmeuvfn6Yr2vN8WXjwGu2Q/viewform?edit2=2_ABaOnud-zTlMFJE9eqrblYzf5cnbint_aZrJVc4O1PtqdHqQcq2c3ZHGqD8RuT9WrYNj4fI&amp;source=documentstudio&amp;timestamp=1728038587548</t>
  </si>
  <si>
    <t>2_ABaOnud-zTlMFJE9eqrblYzf5cnbint_aZrJVc4O1PtqdHqQcq2c3ZHGqD8RuT9WrYNj4fI</t>
  </si>
  <si>
    <t>https://drive.google.com/open?id=1P0pDLGRKd1MkElLggwfsM_W604EXmfFy</t>
  </si>
  <si>
    <t>https://docs.google.com/forms/d/e/1FAIpQLSeEYwFnViiqk1AbexVe1VDR73UApmeuvfn6Yr2vN8WXjwGu2Q/viewform?edit2=2_ABaOnucihW3RuGc24llFNePKbBW5PQKOYMBFgA72GEtIThQ1Url6ubXfZ04jAbmefdn6AxU&amp;source=documentstudio&amp;timestamp=1728260220283</t>
  </si>
  <si>
    <t>2_ABaOnucihW3RuGc24llFNePKbBW5PQKOYMBFgA72GEtIThQ1Url6ubXfZ04jAbmefdn6AxU</t>
  </si>
  <si>
    <t>https://drive.google.com/open?id=199MtNk1cjbWkfnlkJNCSatcz9O18mmrX</t>
  </si>
  <si>
    <t>https://docs.google.com/forms/d/e/1FAIpQLSeEYwFnViiqk1AbexVe1VDR73UApmeuvfn6Yr2vN8WXjwGu2Q/viewform?edit2=2_ABaOnuc5SdC4iR3KNg6PqOwovsfroZ8oxxyJLwPpomtUx5VmQ2pu5jH928Otd0o6EM-3Q6Y&amp;source=documentstudio&amp;timestamp=1728260547112</t>
  </si>
  <si>
    <t>2_ABaOnuc5SdC4iR3KNg6PqOwovsfroZ8oxxyJLwPpomtUx5VmQ2pu5jH928Otd0o6EM-3Q6Y</t>
  </si>
  <si>
    <t>https://drive.google.com/open?id=1ydquiolDqSQS85pudMR_CkM26rmemd1s</t>
  </si>
  <si>
    <t>https://docs.google.com/forms/d/e/1FAIpQLSeEYwFnViiqk1AbexVe1VDR73UApmeuvfn6Yr2vN8WXjwGu2Q/viewform?edit2=2_ABaOnuc_hbucRrnDaM6CVKoQKuLkwvGm4_Xo0wNeuE5vDc62bdgXn4cDRQ7FdgHdvmO5v2s&amp;source=documentstudio&amp;timestamp=1728265854393</t>
  </si>
  <si>
    <t>2_ABaOnuc_hbucRrnDaM6CVKoQKuLkwvGm4_Xo0wNeuE5vDc62bdgXn4cDRQ7FdgHdvmO5v2s</t>
  </si>
  <si>
    <t>https://drive.google.com/open?id=1C1vcUgcSYlGm1FEhPXd7e_QSClV3gXLr</t>
  </si>
  <si>
    <t>https://docs.google.com/forms/d/e/1FAIpQLSeEYwFnViiqk1AbexVe1VDR73UApmeuvfn6Yr2vN8WXjwGu2Q/viewform?edit2=2_ABaOnufKko1PWPwVRxP07Q7vr6L06YA7ZeX53797BRhMxBiaP7L93sFfUM1cngjU4nVnJMY&amp;source=documentstudio&amp;timestamp=1728265925689</t>
  </si>
  <si>
    <t>2_ABaOnufKko1PWPwVRxP07Q7vr6L06YA7ZeX53797BRhMxBiaP7L93sFfUM1cngjU4nVnJMY</t>
  </si>
  <si>
    <t>https://drive.google.com/open?id=1muoPJJs9W6TBL46ytYgz9MjyEAF_pCzg</t>
  </si>
  <si>
    <t>https://docs.google.com/forms/d/e/1FAIpQLSeEYwFnViiqk1AbexVe1VDR73UApmeuvfn6Yr2vN8WXjwGu2Q/viewform?edit2=2_ABaOnudn-SVDsAeGYTq83lL5OrW4OYcM2nzpOLcN4xRN20cOJz6ih9DJ46H32kllDwWrg4g&amp;source=documentstudio&amp;timestamp=1728350325843</t>
  </si>
  <si>
    <t>2_ABaOnudn-SVDsAeGYTq83lL5OrW4OYcM2nzpOLcN4xRN20cOJz6ih9DJ46H32kllDwWrg4g</t>
  </si>
  <si>
    <t>https://drive.google.com/open?id=1ceRf8f__SJW3ZB-bUJQxfjF434Q7M6Vs</t>
  </si>
  <si>
    <t>https://docs.google.com/forms/d/e/1FAIpQLSeEYwFnViiqk1AbexVe1VDR73UApmeuvfn6Yr2vN8WXjwGu2Q/viewform?edit2=2_ABaOnucJpqGDbgyP4zZI6Mwpyx4dG5le5x9isSp0deCCRfpXKwqirYk3qcTk3101jGjlBqk&amp;source=documentstudio&amp;timestamp=1728373736262</t>
  </si>
  <si>
    <t>2_ABaOnucJpqGDbgyP4zZI6Mwpyx4dG5le5x9isSp0deCCRfpXKwqirYk3qcTk3101jGjlBqk</t>
  </si>
  <si>
    <t>https://drive.google.com/open?id=1_bNwgPkyefS9wn0inHnTPc7rgvX0InTK</t>
  </si>
  <si>
    <t>https://docs.google.com/forms/d/e/1FAIpQLSeEYwFnViiqk1AbexVe1VDR73UApmeuvfn6Yr2vN8WXjwGu2Q/viewform?edit2=2_ABaOnud_08APgLEsBRCecu392xVnYFfR0XK6N3nuAuDV6kcIelZuJtY8h06J7HH0s1xZt2U&amp;source=documentstudio&amp;timestamp=1728374492424</t>
  </si>
  <si>
    <t>2_ABaOnud_08APgLEsBRCecu392xVnYFfR0XK6N3nuAuDV6kcIelZuJtY8h06J7HH0s1xZt2U</t>
  </si>
  <si>
    <t>https://drive.google.com/open?id=1X5AZc0csgS273akqSDGrjT7N84xgOVEu</t>
  </si>
  <si>
    <t>https://docs.google.com/forms/d/e/1FAIpQLSeEYwFnViiqk1AbexVe1VDR73UApmeuvfn6Yr2vN8WXjwGu2Q/viewform?edit2=2_ABaOnufbmdVPPRV_LLmtX_xPwj_HIGDoeTs74nPF-RXzwCLFuTx7fqbLt-vsZzxblY356Ow&amp;source=documentstudio&amp;timestamp=1728376194038</t>
  </si>
  <si>
    <t>2_ABaOnufbmdVPPRV_LLmtX_xPwj_HIGDoeTs74nPF-RXzwCLFuTx7fqbLt-vsZzxblY356Ow</t>
  </si>
  <si>
    <t>https://drive.google.com/open?id=1JADSDUb_X7bgiigIdkfHDev0ZkjJaYYl</t>
  </si>
  <si>
    <t>https://docs.google.com/forms/d/e/1FAIpQLSeEYwFnViiqk1AbexVe1VDR73UApmeuvfn6Yr2vN8WXjwGu2Q/viewform?edit2=2_ABaOnucufE6RRwgtEMW5h9hApbWM6clFA5icKZ5rKvJJ6T4k1542oAmYgE5vqHG5H6SOKgA&amp;source=documentstudio&amp;timestamp=1728434111013</t>
  </si>
  <si>
    <t>2_ABaOnucufE6RRwgtEMW5h9hApbWM6clFA5icKZ5rKvJJ6T4k1542oAmYgE5vqHG5H6SOKgA</t>
  </si>
  <si>
    <t>https://drive.google.com/open?id=11Sov4bHalJ0JuxKI7JvMtU7V-KCVj0KG</t>
  </si>
  <si>
    <t>https://docs.google.com/forms/d/e/1FAIpQLSeEYwFnViiqk1AbexVe1VDR73UApmeuvfn6Yr2vN8WXjwGu2Q/viewform?edit2=2_ABaOnudjmFWHsO3xE2pjk5fypNE_q40tpAzZR1Vaf4fCMTMCoWwA0OZ8KX9bpeYjPyQW4-s&amp;source=documentstudio&amp;timestamp=1730795017452</t>
  </si>
  <si>
    <t>2_ABaOnudjmFWHsO3xE2pjk5fypNE_q40tpAzZR1Vaf4fCMTMCoWwA0OZ8KX9bpeYjPyQW4-s</t>
  </si>
  <si>
    <t>https://drive.google.com/open?id=1tiVIT0xWrobtklKpq3j6r9dniOwL98aD</t>
  </si>
  <si>
    <t>https://docs.google.com/forms/d/e/1FAIpQLSeEYwFnViiqk1AbexVe1VDR73UApmeuvfn6Yr2vN8WXjwGu2Q/viewform?edit2=2_ABaOnuexeC-DZCIOSagRFx-9Z122tSAR0mfPc9-6OKm1Mse5Jk53-ItxCrI6W6kL3SbafrI&amp;source=documentstudio&amp;timestamp=1730856687225</t>
  </si>
  <si>
    <t>2_ABaOnuexeC-DZCIOSagRFx-9Z122tSAR0mfPc9-6OKm1Mse5Jk53-ItxCrI6W6kL3SbafrI</t>
  </si>
  <si>
    <t>https://drive.google.com/open?id=15ntBbCqDeeqtCoxMuEm9N_VQwQrZAfPn</t>
  </si>
  <si>
    <t>https://docs.google.com/forms/d/e/1FAIpQLSeEYwFnViiqk1AbexVe1VDR73UApmeuvfn6Yr2vN8WXjwGu2Q/viewform?edit2=2_ABaOnufT_sJRgzxzrktoUMAJsJSmW1UQSfVzOG5uAGu8F1w2tKfADCvd7uVr1fqZPIaKI9g&amp;source=documentstudio&amp;timestamp=1730880516928</t>
  </si>
  <si>
    <t>2_ABaOnufT_sJRgzxzrktoUMAJsJSmW1UQSfVzOG5uAGu8F1w2tKfADCvd7uVr1fqZPIaKI9g</t>
  </si>
  <si>
    <t>https://drive.google.com/open?id=1E4LtnJf7jh7jTMKzm3XKLZZFTICaLcOT</t>
  </si>
  <si>
    <t>https://docs.google.com/forms/d/e/1FAIpQLSeEYwFnViiqk1AbexVe1VDR73UApmeuvfn6Yr2vN8WXjwGu2Q/viewform?edit2=2_ABaOnueufkndtK6M5fxFMqML1xikpF17NbB9WrguI5vjG1NjjdoQEIQ2XJ52sun3FVa8d-g&amp;source=documentstudio&amp;timestamp=1730940729706</t>
  </si>
  <si>
    <t>2_ABaOnueufkndtK6M5fxFMqML1xikpF17NbB9WrguI5vjG1NjjdoQEIQ2XJ52sun3FVa8d-g</t>
  </si>
  <si>
    <t>https://drive.google.com/open?id=104UgNBroILEWZE_0dts5AGPm62PD9DLE</t>
  </si>
  <si>
    <t>https://docs.google.com/forms/d/e/1FAIpQLSeEYwFnViiqk1AbexVe1VDR73UApmeuvfn6Yr2vN8WXjwGu2Q/viewform?edit2=2_ABaOnucXHOmNvhN-TSrb68HH1u3tFTuH9HUTLlvwyp1Yu5za4NTxGZ_jarLj8-EdL98mZso&amp;source=documentstudio&amp;timestamp=1730941110088</t>
  </si>
  <si>
    <t>2_ABaOnucXHOmNvhN-TSrb68HH1u3tFTuH9HUTLlvwyp1Yu5za4NTxGZ_jarLj8-EdL98mZso</t>
  </si>
  <si>
    <t>https://drive.google.com/open?id=1G8Uo3M-k_KZNAAoZ9rmPBkW1l4mbZnCN</t>
  </si>
  <si>
    <t>https://docs.google.com/forms/d/e/1FAIpQLSeEYwFnViiqk1AbexVe1VDR73UApmeuvfn6Yr2vN8WXjwGu2Q/viewform?edit2=2_ABaOnucavakYZXv3lRMYi8vgxe1Skxk_Az5uMknF4sFSq_Yjzbg94zbL45vTZEiqZ8ng_Hg&amp;source=documentstudio&amp;timestamp=1730941452727</t>
  </si>
  <si>
    <t>2_ABaOnucavakYZXv3lRMYi8vgxe1Skxk_Az5uMknF4sFSq_Yjzbg94zbL45vTZEiqZ8ng_Hg</t>
  </si>
  <si>
    <t>https://drive.google.com/open?id=16fAJiA3q-ScKCbdNfkUAJhlGchMszdsl</t>
  </si>
  <si>
    <t>https://docs.google.com/forms/d/e/1FAIpQLSeEYwFnViiqk1AbexVe1VDR73UApmeuvfn6Yr2vN8WXjwGu2Q/viewform?edit2=2_ABaOnueXWHVIU_En5khB2t-7WKbpzmzEPH8VebQg0UCliPeBuzg2Iwsa49HF-xv6dUsvElU&amp;source=documentstudio&amp;timestamp=1730941540813</t>
  </si>
  <si>
    <t>2_ABaOnueXWHVIU_En5khB2t-7WKbpzmzEPH8VebQg0UCliPeBuzg2Iwsa49HF-xv6dUsvElU</t>
  </si>
  <si>
    <t>https://drive.google.com/open?id=1mCMxUlX9zMbs4FuTr9jg48AjenGPHdlO</t>
  </si>
  <si>
    <t>https://docs.google.com/forms/d/e/1FAIpQLSeEYwFnViiqk1AbexVe1VDR73UApmeuvfn6Yr2vN8WXjwGu2Q/viewform?edit2=2_ABaOnueb4jjnqtyiHXh4dHtSUWMojlIsv-K3PVqXKFQJ3ECmJwi6ElwMfzf-cII2TLQy63Q&amp;source=documentstudio&amp;timestamp=1730942879302</t>
  </si>
  <si>
    <t>2_ABaOnueb4jjnqtyiHXh4dHtSUWMojlIsv-K3PVqXKFQJ3ECmJwi6ElwMfzf-cII2TLQy63Q</t>
  </si>
  <si>
    <t>https://drive.google.com/open?id=1kG3Ym2BBi6j2PgZOya8HVIXZOK5zLeeL</t>
  </si>
  <si>
    <t>https://docs.google.com/forms/d/e/1FAIpQLSeEYwFnViiqk1AbexVe1VDR73UApmeuvfn6Yr2vN8WXjwGu2Q/viewform?edit2=2_ABaOnueZKnqi66qZ8N2gESLJU896Bvj9w0bz14CGSazkNfkkFacIc9GsitihHJ1dW7re4oM&amp;source=documentstudio&amp;timestamp=1730949403337</t>
  </si>
  <si>
    <t>2_ABaOnueZKnqi66qZ8N2gESLJU896Bvj9w0bz14CGSazkNfkkFacIc9GsitihHJ1dW7re4oM</t>
  </si>
  <si>
    <t>https://drive.google.com/open?id=1RUUuY1UH6CcokOyJ9f6Ihslod8QYV0sb</t>
  </si>
  <si>
    <t>https://docs.google.com/forms/d/e/1FAIpQLSeEYwFnViiqk1AbexVe1VDR73UApmeuvfn6Yr2vN8WXjwGu2Q/viewform?edit2=2_ABaOnudF0bPlz3AEGvvulYojtKQ-StdcHkjuIn4eIpyOKMXJSNAfc0HFVl2iPUJ91RaS3Rw&amp;source=documentstudio&amp;timestamp=1730950373399</t>
  </si>
  <si>
    <t>2_ABaOnudF0bPlz3AEGvvulYojtKQ-StdcHkjuIn4eIpyOKMXJSNAfc0HFVl2iPUJ91RaS3Rw</t>
  </si>
  <si>
    <t>https://drive.google.com/open?id=1VAEoJ2ajZtWFm4h77qhmbUX3djE9sGWn</t>
  </si>
  <si>
    <t>https://docs.google.com/forms/d/e/1FAIpQLSeEYwFnViiqk1AbexVe1VDR73UApmeuvfn6Yr2vN8WXjwGu2Q/viewform?edit2=2_ABaOnufBFoTiqud5W0MgHHDVJL_sW0xUCdNw7Y7tk8Re8l_gSMhIQHL-I_GLxV6ZARn17A8&amp;source=documentstudio&amp;timestamp=1730950694151</t>
  </si>
  <si>
    <t>2_ABaOnufBFoTiqud5W0MgHHDVJL_sW0xUCdNw7Y7tk8Re8l_gSMhIQHL-I_GLxV6ZARn17A8</t>
  </si>
  <si>
    <t>https://drive.google.com/open?id=1uKJEHQ0xb0fxiA3QjbB6hGetohq6bLhF</t>
  </si>
  <si>
    <t>https://docs.google.com/forms/d/e/1FAIpQLSeEYwFnViiqk1AbexVe1VDR73UApmeuvfn6Yr2vN8WXjwGu2Q/viewform?edit2=2_ABaOnuf4n6WRXISg96_cm5WaBoDBjrVybfF0dLjiUR-YSZ0QKjLEMb_W5XIJK9MZpfkmbng&amp;source=documentstudio&amp;timestamp=1730950726148</t>
  </si>
  <si>
    <t>2_ABaOnuf4n6WRXISg96_cm5WaBoDBjrVybfF0dLjiUR-YSZ0QKjLEMb_W5XIJK9MZpfkmbng</t>
  </si>
  <si>
    <t>https://drive.google.com/open?id=1hIctIF-f0COkOXjiLy93XWMIzfKTzu6Q</t>
  </si>
  <si>
    <t>https://docs.google.com/forms/d/e/1FAIpQLSeEYwFnViiqk1AbexVe1VDR73UApmeuvfn6Yr2vN8WXjwGu2Q/viewform?edit2=2_ABaOnudKc0Z6thuzE5YJ2G7zLDKba0SCqiPsxfGosqvQtZb4ewBod7_dJsz0EEs7nb3__TQ&amp;source=documentstudio&amp;timestamp=1730950759056</t>
  </si>
  <si>
    <t>2_ABaOnudKc0Z6thuzE5YJ2G7zLDKba0SCqiPsxfGosqvQtZb4ewBod7_dJsz0EEs7nb3__TQ</t>
  </si>
  <si>
    <t>https://drive.google.com/open?id=1429RBd0gwtG_RtJDmPSI50TFLBnLqOhP</t>
  </si>
  <si>
    <t>https://docs.google.com/forms/d/e/1FAIpQLSeEYwFnViiqk1AbexVe1VDR73UApmeuvfn6Yr2vN8WXjwGu2Q/viewform?edit2=2_ABaOnuf53oq8Y6yf30crxCUHUfp_001aKNpzBATJ6HqpeQQZT45JGCf4svvhHLW0W5xRdFU&amp;source=documentstudio&amp;timestamp=1731037461916</t>
  </si>
  <si>
    <t>2_ABaOnuf53oq8Y6yf30crxCUHUfp_001aKNpzBATJ6HqpeQQZT45JGCf4svvhHLW0W5xRdFU</t>
  </si>
  <si>
    <t>https://drive.google.com/open?id=1CeiCnEHDrFXPGhAslTWgXkL2IGaXVoKk</t>
  </si>
  <si>
    <t>https://docs.google.com/forms/d/e/1FAIpQLSeEYwFnViiqk1AbexVe1VDR73UApmeuvfn6Yr2vN8WXjwGu2Q/viewform?edit2=2_ABaOnudZ4DtwZtS3vNNvajfFuMQEmrpjqji8E4vwEEXgdDSst6WXVmHxuTcCerUUdnJ3j3Y&amp;source=documentstudio&amp;timestamp=1731056072227</t>
  </si>
  <si>
    <t>2_ABaOnudZ4DtwZtS3vNNvajfFuMQEmrpjqji8E4vwEEXgdDSst6WXVmHxuTcCerUUdnJ3j3Y</t>
  </si>
  <si>
    <t>https://drive.google.com/open?id=1hf8TR5q2vfRBu92DZRcrr6c9KwXkMqLP</t>
  </si>
  <si>
    <t>https://docs.google.com/forms/d/e/1FAIpQLSeEYwFnViiqk1AbexVe1VDR73UApmeuvfn6Yr2vN8WXjwGu2Q/viewform?edit2=2_ABaOnudbMW6dbeQpbVx2nDYvNz_wOuIzsrjV8Kco3vt8d5_hreh8hP--BvpIUk9bey_0CIQ&amp;source=documentstudio&amp;timestamp=1731462737007</t>
  </si>
  <si>
    <t>2_ABaOnudbMW6dbeQpbVx2nDYvNz_wOuIzsrjV8Kco3vt8d5_hreh8hP--BvpIUk9bey_0CIQ</t>
  </si>
  <si>
    <t>https://drive.google.com/open?id=1HxrCSZ_t_cI7Lfbcf7QNdwVKpHJ6utt1</t>
  </si>
  <si>
    <t>https://docs.google.com/forms/d/e/1FAIpQLSeEYwFnViiqk1AbexVe1VDR73UApmeuvfn6Yr2vN8WXjwGu2Q/viewform?edit2=2_ABaOnudOdGo2LIVy2NjnTc_H5ctJ41CWEvXQ--kSCIbsmGJIAJWEB_YvhFa6T_amndSvQZU&amp;source=documentstudio&amp;timestamp=1731484736885</t>
  </si>
  <si>
    <t>2_ABaOnudOdGo2LIVy2NjnTc_H5ctJ41CWEvXQ--kSCIbsmGJIAJWEB_YvhFa6T_amndSvQZU</t>
  </si>
  <si>
    <t>https://drive.google.com/open?id=1-aaoAhSNE47uTSUMJxcXIUdOt9NbGOh9</t>
  </si>
  <si>
    <t>https://docs.google.com/forms/d/e/1FAIpQLSeEYwFnViiqk1AbexVe1VDR73UApmeuvfn6Yr2vN8WXjwGu2Q/viewform?edit2=2_ABaOnufqBHrEqnip0iNL5V3afSH4oa7nmr047nZEyvyCt01A0EW19eGVoQ6A4sS3_5PSwfs&amp;source=documentstudio&amp;timestamp=1731548483074</t>
  </si>
  <si>
    <t>2_ABaOnufqBHrEqnip0iNL5V3afSH4oa7nmr047nZEyvyCt01A0EW19eGVoQ6A4sS3_5PSwfs</t>
  </si>
  <si>
    <t>https://drive.google.com/open?id=1GkMP10lamvKSRg9s1LFdObCRSmQpjV0M</t>
  </si>
  <si>
    <t>https://docs.google.com/forms/d/e/1FAIpQLSeEYwFnViiqk1AbexVe1VDR73UApmeuvfn6Yr2vN8WXjwGu2Q/viewform?edit2=2_ABaOnueCKmtcYMut2U_4ePuar5F9Tt-JlmLVApAyo4QOS7D4nQOMoOJuS6x1_9C7PO8tlug&amp;source=documentstudio&amp;timestamp=1731550592569</t>
  </si>
  <si>
    <t>2_ABaOnueCKmtcYMut2U_4ePuar5F9Tt-JlmLVApAyo4QOS7D4nQOMoOJuS6x1_9C7PO8tlug</t>
  </si>
  <si>
    <t>https://drive.google.com/open?id=1f1JgA8RWyuSH67L2jOWoaVJYLxvEFPQE</t>
  </si>
  <si>
    <t>https://docs.google.com/forms/d/e/1FAIpQLSeEYwFnViiqk1AbexVe1VDR73UApmeuvfn6Yr2vN8WXjwGu2Q/viewform?edit2=2_ABaOnud5RBB6M0BOF2vY9dt-9tnKAlWgy0mJcNFO5aMlV0FfClb1HbX2gjFLVvXC5k5W-yc&amp;source=documentstudio&amp;timestamp=1731550912441</t>
  </si>
  <si>
    <t>2_ABaOnud5RBB6M0BOF2vY9dt-9tnKAlWgy0mJcNFO5aMlV0FfClb1HbX2gjFLVvXC5k5W-yc</t>
  </si>
  <si>
    <t>https://drive.google.com/open?id=1QpaMBI8O-yLJtpHiRGZimVvIUCS7W6on</t>
  </si>
  <si>
    <t>https://docs.google.com/forms/d/e/1FAIpQLSeEYwFnViiqk1AbexVe1VDR73UApmeuvfn6Yr2vN8WXjwGu2Q/viewform?edit2=2_ABaOnucxAinruIHl_O0tJj6LPL2Klk823qT4eRPiraRxv_geocDQcN3zR6CajrNNXQCec1U&amp;source=documentstudio&amp;timestamp=1731551135678</t>
  </si>
  <si>
    <t>2_ABaOnucxAinruIHl_O0tJj6LPL2Klk823qT4eRPiraRxv_geocDQcN3zR6CajrNNXQCec1U</t>
  </si>
  <si>
    <t>https://drive.google.com/open?id=1kjTaXAo7zghYElh27Im6DCvERxCsUUGq</t>
  </si>
  <si>
    <t>https://docs.google.com/forms/d/e/1FAIpQLSeEYwFnViiqk1AbexVe1VDR73UApmeuvfn6Yr2vN8WXjwGu2Q/viewform?edit2=2_ABaOnuf1watF53nWj5JIVH4i3cTkTL1Iy4T7SUHo21Fcfs1FaFfBOrbaS0l-o09g4Pq1ndU&amp;source=documentstudio&amp;timestamp=1731551843245</t>
  </si>
  <si>
    <t>2_ABaOnuf1watF53nWj5JIVH4i3cTkTL1Iy4T7SUHo21Fcfs1FaFfBOrbaS0l-o09g4Pq1ndU</t>
  </si>
  <si>
    <t>https://drive.google.com/open?id=1lhgVM0ReCRWfbfiH5nE6OLJ4wzJ8bC5p</t>
  </si>
  <si>
    <t>https://docs.google.com/forms/d/e/1FAIpQLSeEYwFnViiqk1AbexVe1VDR73UApmeuvfn6Yr2vN8WXjwGu2Q/viewform?edit2=2_ABaOnufQWJya0tLTSjTZVV2cznx7_0SzmyWQ6QrK6uZ7Ogbi9O4uSVtktCijSmGLsBq_btY&amp;source=documentstudio&amp;timestamp=1731552626106</t>
  </si>
  <si>
    <t>2_ABaOnufQWJya0tLTSjTZVV2cznx7_0SzmyWQ6QrK6uZ7Ogbi9O4uSVtktCijSmGLsBq_btY</t>
  </si>
  <si>
    <t>https://drive.google.com/open?id=1QrgcXu3mQG53KJmzYszxFUxzudqq6f6C</t>
  </si>
  <si>
    <t>https://docs.google.com/forms/d/e/1FAIpQLSeEYwFnViiqk1AbexVe1VDR73UApmeuvfn6Yr2vN8WXjwGu2Q/viewform?edit2=2_ABaOnucrP5L9ZwWSMpKeW_75G2mohh87cIVeeAkqh3Sf8xuW95FaR-C6Vbd2Hn2tASle0XU&amp;source=documentstudio&amp;timestamp=1731568383557</t>
  </si>
  <si>
    <t>2_ABaOnucrP5L9ZwWSMpKeW_75G2mohh87cIVeeAkqh3Sf8xuW95FaR-C6Vbd2Hn2tASle0XU</t>
  </si>
  <si>
    <t>https://drive.google.com/open?id=1fyt2-hnErUgz24DW_soAMcRGjb2u3p_i</t>
  </si>
  <si>
    <t>https://docs.google.com/forms/d/e/1FAIpQLSeEYwFnViiqk1AbexVe1VDR73UApmeuvfn6Yr2vN8WXjwGu2Q/viewform?edit2=2_ABaOnudKeqP77nAnW7VM57Rz8dNK3G6ZIMhHX--LmL_YbURf9jUTMZ4ApF9alp22trQAQSI&amp;source=documentstudio&amp;timestamp=1731568418857</t>
  </si>
  <si>
    <t>2_ABaOnudKeqP77nAnW7VM57Rz8dNK3G6ZIMhHX--LmL_YbURf9jUTMZ4ApF9alp22trQAQSI</t>
  </si>
  <si>
    <t>https://drive.google.com/open?id=1EziNdLt9rOt0bkkJ3zsMwsCIJFl7yre2</t>
  </si>
  <si>
    <t>https://docs.google.com/forms/d/e/1FAIpQLSeEYwFnViiqk1AbexVe1VDR73UApmeuvfn6Yr2vN8WXjwGu2Q/viewform?edit2=2_ABaOnueaWoiKb8hq6DhBRBtRWSd6A9fSjEIo33stzqDyAhn2eJrguAfOXQV5J1PoQSoyPzE&amp;source=documentstudio&amp;timestamp=1731636891717</t>
  </si>
  <si>
    <t>2_ABaOnueaWoiKb8hq6DhBRBtRWSd6A9fSjEIo33stzqDyAhn2eJrguAfOXQV5J1PoQSoyPzE</t>
  </si>
  <si>
    <t>https://drive.google.com/open?id=1ikk3HNf1wZsGORTnjWDNoGzhLRFOXycQ</t>
  </si>
  <si>
    <t>https://docs.google.com/forms/d/e/1FAIpQLSeEYwFnViiqk1AbexVe1VDR73UApmeuvfn6Yr2vN8WXjwGu2Q/viewform?edit2=2_ABaOnueKoILa8qqgUOj3rh9kgumgVZ83KuhnpC1detOD_tUfpzDciaEfFlFtfPstdK5POJo&amp;source=documentstudio&amp;timestamp=1731637454210</t>
  </si>
  <si>
    <t>2_ABaOnueKoILa8qqgUOj3rh9kgumgVZ83KuhnpC1detOD_tUfpzDciaEfFlFtfPstdK5POJo</t>
  </si>
  <si>
    <t>https://drive.google.com/open?id=1o2i_52t8HymWX547PQf8YAkFWZ-LTqcr</t>
  </si>
  <si>
    <t>https://docs.google.com/forms/d/e/1FAIpQLSeEYwFnViiqk1AbexVe1VDR73UApmeuvfn6Yr2vN8WXjwGu2Q/viewform?edit2=2_ABaOnufjZijhcrGyl4lknsFQZ0LIOPF_LP5NZEntx1mHPZclBEDxWgfIrvtvmWDuUtUN_-M&amp;source=documentstudio&amp;timestamp=1731637610508</t>
  </si>
  <si>
    <t>2_ABaOnufjZijhcrGyl4lknsFQZ0LIOPF_LP5NZEntx1mHPZclBEDxWgfIrvtvmWDuUtUN_-M</t>
  </si>
  <si>
    <t>https://drive.google.com/open?id=1911_Vst1MHKJ0AzVRkX-N6h3mnGsCECm</t>
  </si>
  <si>
    <t>https://docs.google.com/forms/d/e/1FAIpQLSeEYwFnViiqk1AbexVe1VDR73UApmeuvfn6Yr2vN8WXjwGu2Q/viewform?edit2=2_ABaOnufHUzdmzfmvtzcvD5XJs5KTuS2-Y6MHkFyF-NcF0a6Eqzaexc2B3ynmWscls294Nqs&amp;source=documentstudio&amp;timestamp=1731639386229</t>
  </si>
  <si>
    <t>2_ABaOnufHUzdmzfmvtzcvD5XJs5KTuS2-Y6MHkFyF-NcF0a6Eqzaexc2B3ynmWscls294Nqs</t>
  </si>
  <si>
    <t>https://drive.google.com/open?id=1BEKEXDYcfXpCxaAgFAVxnJxyY_BbTgW3</t>
  </si>
  <si>
    <t>https://docs.google.com/forms/d/e/1FAIpQLSeEYwFnViiqk1AbexVe1VDR73UApmeuvfn6Yr2vN8WXjwGu2Q/viewform?edit2=2_ABaOnufpmGIqm14-1g3q-48Sj9IkCrJvdQeH7KVT4v3mWWZkS0AWe4J85YexkBnNUgo8SFI&amp;source=documentstudio&amp;timestamp=1731889157080</t>
  </si>
  <si>
    <t>2_ABaOnufpmGIqm14-1g3q-48Sj9IkCrJvdQeH7KVT4v3mWWZkS0AWe4J85YexkBnNUgo8SFI</t>
  </si>
  <si>
    <t>https://drive.google.com/open?id=1iL7xLQPN4hqBKUgsbH-zXdhlQyFs86it</t>
  </si>
  <si>
    <t>https://docs.google.com/forms/d/e/1FAIpQLSeEYwFnViiqk1AbexVe1VDR73UApmeuvfn6Yr2vN8WXjwGu2Q/viewform?edit2=2_ABaOnufzQ93lE8Mwc1xSgk52DkdvQcn2Ev4cROwSN618z7ezHBIt3Bbcp6qx7lX7hg4oJQQ&amp;source=documentstudio&amp;timestamp=1731892853990</t>
  </si>
  <si>
    <t>2_ABaOnufzQ93lE8Mwc1xSgk52DkdvQcn2Ev4cROwSN618z7ezHBIt3Bbcp6qx7lX7hg4oJQQ</t>
  </si>
  <si>
    <t>https://drive.google.com/open?id=1ZyhWy1nSUIMGwM76wgyW9yj2FIgxhr7K</t>
  </si>
  <si>
    <t>https://docs.google.com/forms/d/e/1FAIpQLSeEYwFnViiqk1AbexVe1VDR73UApmeuvfn6Yr2vN8WXjwGu2Q/viewform?edit2=2_ABaOnucxmNnfsBmoDWCN6tKd1x08c2D52H_GbBvQ-ud0gpapTVH_ZhOndTRxJgnCodJvUzI&amp;source=documentstudio&amp;timestamp=1731894405209</t>
  </si>
  <si>
    <t>2_ABaOnucxmNnfsBmoDWCN6tKd1x08c2D52H_GbBvQ-ud0gpapTVH_ZhOndTRxJgnCodJvUzI</t>
  </si>
  <si>
    <t>https://drive.google.com/open?id=1ErxAG27TBON53Ukyn2T8GKAMv6vrBi31</t>
  </si>
  <si>
    <t>https://docs.google.com/forms/d/e/1FAIpQLSeEYwFnViiqk1AbexVe1VDR73UApmeuvfn6Yr2vN8WXjwGu2Q/viewform?edit2=2_ABaOnudx7thLZoVgySqatPABGBAJ8hKWvCBiku6a7ozkuHLuhO3pm2a6h04PIoAbUVaUGgo&amp;source=documentstudio&amp;timestamp=1731895423088</t>
  </si>
  <si>
    <t>2_ABaOnudx7thLZoVgySqatPABGBAJ8hKWvCBiku6a7ozkuHLuhO3pm2a6h04PIoAbUVaUGgo</t>
  </si>
  <si>
    <t>https://drive.google.com/open?id=1bGT3Na93K6r0T9GuE8SZ2Qv7MQx4RjxI</t>
  </si>
  <si>
    <t>https://docs.google.com/forms/d/e/1FAIpQLSeEYwFnViiqk1AbexVe1VDR73UApmeuvfn6Yr2vN8WXjwGu2Q/viewform?edit2=2_ABaOnudeluFiU4TUSl9oSS6ZptQ-QpSZaCcY2fKy_ibaPi94tCRzp4S0c2skK8NvqSrg39o&amp;source=documentstudio&amp;timestamp=1731906505840</t>
  </si>
  <si>
    <t>2_ABaOnudeluFiU4TUSl9oSS6ZptQ-QpSZaCcY2fKy_ibaPi94tCRzp4S0c2skK8NvqSrg39o</t>
  </si>
  <si>
    <t>https://drive.google.com/open?id=1oJ2KPhyW7oan2BfO9VCYoyp4phJsuDWB</t>
  </si>
  <si>
    <t>https://docs.google.com/forms/d/e/1FAIpQLSeEYwFnViiqk1AbexVe1VDR73UApmeuvfn6Yr2vN8WXjwGu2Q/viewform?edit2=2_ABaOnuf3rCO9Ns9WR23L3jpSP3NAR8w545Vt3xQmmto-dEha1qzBAGqRfAHISNyLP8Ro-jQ&amp;source=documentstudio&amp;timestamp=1733359118990</t>
  </si>
  <si>
    <t>2_ABaOnuf3rCO9Ns9WR23L3jpSP3NAR8w545Vt3xQmmto-dEha1qzBAGqRfAHISNyLP8Ro-jQ</t>
  </si>
  <si>
    <t>https://drive.google.com/open?id=1S2-s7aIt6fST9E6gVCVIxWWInJSmjrb1</t>
  </si>
  <si>
    <t>https://docs.google.com/forms/d/e/1FAIpQLSeEYwFnViiqk1AbexVe1VDR73UApmeuvfn6Yr2vN8WXjwGu2Q/viewform?edit2=2_ABaOnuc2ttc_ZhYL49xeh1BhlobTnmtHstapZtHb-VfiSwlyLgBrSsup7CFmxwffxjZ5Aq0&amp;source=documentstudio&amp;timestamp=1733367945155</t>
  </si>
  <si>
    <t>2_ABaOnuc2ttc_ZhYL49xeh1BhlobTnmtHstapZtHb-VfiSwlyLgBrSsup7CFmxwffxjZ5Aq0</t>
  </si>
  <si>
    <t>https://drive.google.com/open?id=1VDiDBJZFAuj0YByU-2d7sCC7OA8BWqsV</t>
  </si>
  <si>
    <t>https://docs.google.com/forms/d/e/1FAIpQLSeEYwFnViiqk1AbexVe1VDR73UApmeuvfn6Yr2vN8WXjwGu2Q/viewform?edit2=2_ABaOnue-Os0k8a2_MggpzylzfHNF6H_g5f9aR6GB9Y7dY1pQ5zPO6EZsNfK8mrYhsFx9vJ8&amp;source=documentstudio&amp;timestamp=1733370050646</t>
  </si>
  <si>
    <t>2_ABaOnue-Os0k8a2_MggpzylzfHNF6H_g5f9aR6GB9Y7dY1pQ5zPO6EZsNfK8mrYhsFx9vJ8</t>
  </si>
  <si>
    <t>https://drive.google.com/open?id=1Ix_WfgzVpDhC6YNw-oeDTv3xdlz9EjAu</t>
  </si>
  <si>
    <t>https://docs.google.com/forms/d/e/1FAIpQLSeEYwFnViiqk1AbexVe1VDR73UApmeuvfn6Yr2vN8WXjwGu2Q/viewform?edit2=2_ABaOnucj1v9xqu8EudFaItjuiQn2fiZ4qHUFZuhpyLmHxT6tuLlzkyqL9VMpXgD6RCMgovw&amp;source=documentstudio&amp;timestamp=1733371961715</t>
  </si>
  <si>
    <t>2_ABaOnucj1v9xqu8EudFaItjuiQn2fiZ4qHUFZuhpyLmHxT6tuLlzkyqL9VMpXgD6RCMgovw</t>
  </si>
  <si>
    <t>https://drive.google.com/open?id=19fWh64x55cilJWBGqzdPi80VFrzfF33t</t>
  </si>
  <si>
    <t>https://docs.google.com/forms/d/e/1FAIpQLSeEYwFnViiqk1AbexVe1VDR73UApmeuvfn6Yr2vN8WXjwGu2Q/viewform?edit2=2_ABaOnueF49cJ9gq4kAwO3ai748mwmsnCD8hxdZxtvDjRcKbLMVOjN59ERExBsR8e_Y4Z8Zc&amp;source=documentstudio&amp;timestamp=1733371992033</t>
  </si>
  <si>
    <t>2_ABaOnueF49cJ9gq4kAwO3ai748mwmsnCD8hxdZxtvDjRcKbLMVOjN59ERExBsR8e_Y4Z8Zc</t>
  </si>
  <si>
    <t>https://drive.google.com/open?id=1Y5rjgzGCBmSmTymyAzEDErmwVQ6Du_ZR</t>
  </si>
  <si>
    <t>https://docs.google.com/forms/d/e/1FAIpQLSeEYwFnViiqk1AbexVe1VDR73UApmeuvfn6Yr2vN8WXjwGu2Q/viewform?edit2=2_ABaOnufIYOx6nNP-4Qddoa-6xor7UutasPxitdQjaHx6OTVZI4gtbKok455j05qIRo33iDk&amp;source=documentstudio&amp;timestamp=1733372023718</t>
  </si>
  <si>
    <t>2_ABaOnufIYOx6nNP-4Qddoa-6xor7UutasPxitdQjaHx6OTVZI4gtbKok455j05qIRo33iDk</t>
  </si>
  <si>
    <t>https://drive.google.com/open?id=1UwyJ7Vxd9uIT1wUHDSUCYIkZcUKcGsGM</t>
  </si>
  <si>
    <t>https://docs.google.com/forms/d/e/1FAIpQLSeEYwFnViiqk1AbexVe1VDR73UApmeuvfn6Yr2vN8WXjwGu2Q/viewform?edit2=2_ABaOnuczKIH8OscSsS3r36m2GZwx1Vak2Dgv930EfDzL8lnBvpVGKkG6sDqQmE5D7f2IObs&amp;source=documentstudio&amp;timestamp=1733372710924</t>
  </si>
  <si>
    <t>2_ABaOnuczKIH8OscSsS3r36m2GZwx1Vak2Dgv930EfDzL8lnBvpVGKkG6sDqQmE5D7f2IObs</t>
  </si>
  <si>
    <t>https://drive.google.com/open?id=1Vv-VoiTAGYK0XEvbGf-ik_ZRgLdWjjZh</t>
  </si>
  <si>
    <t>https://docs.google.com/forms/d/e/1FAIpQLSeEYwFnViiqk1AbexVe1VDR73UApmeuvfn6Yr2vN8WXjwGu2Q/viewform?edit2=2_ABaOnuefIaJ4rN3kogly1NVjviwMFwgtdUkoYoabXN0fHopZM14GCgqwss_GXO-Vn1sVYEM&amp;source=documentstudio&amp;timestamp=1733446143507</t>
  </si>
  <si>
    <t>2_ABaOnuefIaJ4rN3kogly1NVjviwMFwgtdUkoYoabXN0fHopZM14GCgqwss_GXO-Vn1sVYEM</t>
  </si>
  <si>
    <t>https://drive.google.com/open?id=1frLmm4Cn0EJyVegsZdOt9NafHzkDx5x7</t>
  </si>
  <si>
    <t>https://docs.google.com/forms/d/e/1FAIpQLSeEYwFnViiqk1AbexVe1VDR73UApmeuvfn6Yr2vN8WXjwGu2Q/viewform?edit2=2_ABaOnufP3QyQzLb3ayKQCJoj8ngFJwv8aXGG0lQ3I3H6knlToe33zYRBDyOChq7rprGgy0w&amp;source=documentstudio&amp;timestamp=1733447127871</t>
  </si>
  <si>
    <t>2_ABaOnufP3QyQzLb3ayKQCJoj8ngFJwv8aXGG0lQ3I3H6knlToe33zYRBDyOChq7rprGgy0w</t>
  </si>
  <si>
    <t>https://drive.google.com/open?id=11Szqf5-rYJXQ9y0VUmlt63nT2DxrVByq</t>
  </si>
  <si>
    <t>https://docs.google.com/forms/d/e/1FAIpQLSeEYwFnViiqk1AbexVe1VDR73UApmeuvfn6Yr2vN8WXjwGu2Q/viewform?edit2=2_ABaOnuchjnvIbJs2JtdbgrfZNZJH3kUP6SGjRp5hWAsmZdvvKgo1v8PdKjTfKzG8lAM-OT8&amp;source=documentstudio&amp;timestamp=1733451481255</t>
  </si>
  <si>
    <t>2_ABaOnuchjnvIbJs2JtdbgrfZNZJH3kUP6SGjRp5hWAsmZdvvKgo1v8PdKjTfKzG8lAM-OT8</t>
  </si>
  <si>
    <t>https://drive.google.com/open?id=1mGhvt_IrfSp_88F42tpqzXFRMT4Qf2Cz</t>
  </si>
  <si>
    <t>https://docs.google.com/forms/d/e/1FAIpQLSeEYwFnViiqk1AbexVe1VDR73UApmeuvfn6Yr2vN8WXjwGu2Q/viewform?edit2=2_ABaOnudtgAGBvFgIyUYOodpW-5w5pTmaUWkBDYYYzkc1u0msQW_xJLYXQDQPybqDWwkef5g&amp;source=documentstudio&amp;timestamp=1733453135448</t>
  </si>
  <si>
    <t>2_ABaOnudtgAGBvFgIyUYOodpW-5w5pTmaUWkBDYYYzkc1u0msQW_xJLYXQDQPybqDWwkef5g</t>
  </si>
  <si>
    <t>https://drive.google.com/open?id=1AHrkkHJVtiVlvjf3ZA7Mw_zbxXfejWlQ</t>
  </si>
  <si>
    <t>https://docs.google.com/forms/d/e/1FAIpQLSeEYwFnViiqk1AbexVe1VDR73UApmeuvfn6Yr2vN8WXjwGu2Q/viewform?edit2=2_ABaOnucLluXPgBY18R-FRV3jEA1a5J6xoE5t1LOsjPpbcNxtk6WW9vQwcmI102GqLmu8gOE&amp;source=documentstudio&amp;timestamp=1733468899700</t>
  </si>
  <si>
    <t>2_ABaOnucLluXPgBY18R-FRV3jEA1a5J6xoE5t1LOsjPpbcNxtk6WW9vQwcmI102GqLmu8gOE</t>
  </si>
  <si>
    <t>https://drive.google.com/open?id=1Sx9wB6tXvd2uMTe1hBwdvJX_PJKeWN1R</t>
  </si>
  <si>
    <t>https://docs.google.com/forms/d/e/1FAIpQLSeEYwFnViiqk1AbexVe1VDR73UApmeuvfn6Yr2vN8WXjwGu2Q/viewform?edit2=2_ABaOnuflaJ0Q_v8g-1W_QejHbifx_V7rQMG-XqmnXxHUnSw3FPWaWRODHfO3b3mupeSVHgA&amp;source=documentstudio&amp;timestamp=1733469051958</t>
  </si>
  <si>
    <t>2_ABaOnuflaJ0Q_v8g-1W_QejHbifx_V7rQMG-XqmnXxHUnSw3FPWaWRODHfO3b3mupeSVHgA</t>
  </si>
  <si>
    <t>https://drive.google.com/open?id=1LqyHbq4PQptCawqBVc7Yb13QxtuliqIK</t>
  </si>
  <si>
    <t>https://docs.google.com/forms/d/e/1FAIpQLSeEYwFnViiqk1AbexVe1VDR73UApmeuvfn6Yr2vN8WXjwGu2Q/viewform?edit2=2_ABaOnufVsKF5DmYGm3FENTKO4mopw82o48hNFPjFHW4F01G1ntVJiJkUntMJVcRwDSSYctc&amp;source=documentstudio&amp;timestamp=1733469305009</t>
  </si>
  <si>
    <t>2_ABaOnufVsKF5DmYGm3FENTKO4mopw82o48hNFPjFHW4F01G1ntVJiJkUntMJVcRwDSSYctc</t>
  </si>
  <si>
    <t>https://drive.google.com/open?id=1bM_SD1BgCEylj3G6yQ8wyavBYMV-vRbL</t>
  </si>
  <si>
    <t>https://docs.google.com/forms/d/e/1FAIpQLSeEYwFnViiqk1AbexVe1VDR73UApmeuvfn6Yr2vN8WXjwGu2Q/viewform?edit2=2_ABaOnuevWgNi0jQuB4XJmtonAdQdawwno0THpIcYYRUwxmk1_zbVWp4_ks3q3GpowagFn6M&amp;source=documentstudio&amp;timestamp=1733469471589</t>
  </si>
  <si>
    <t>2_ABaOnuevWgNi0jQuB4XJmtonAdQdawwno0THpIcYYRUwxmk1_zbVWp4_ks3q3GpowagFn6M</t>
  </si>
  <si>
    <t>https://drive.google.com/open?id=1zxOxtutdpoFnv4EajQdb3BuuzZ_eIX3U</t>
  </si>
  <si>
    <t>https://docs.google.com/forms/d/e/1FAIpQLSeEYwFnViiqk1AbexVe1VDR73UApmeuvfn6Yr2vN8WXjwGu2Q/viewform?edit2=2_ABaOnuehliY-vA7IBWidfwtTNPhJ8HsZrFSLZbDtO-oLt9n4xoYAFcsf16qw4ZpVM1687cs&amp;source=documentstudio&amp;timestamp=1733469598054</t>
  </si>
  <si>
    <t>2_ABaOnuehliY-vA7IBWidfwtTNPhJ8HsZrFSLZbDtO-oLt9n4xoYAFcsf16qw4ZpVM1687cs</t>
  </si>
  <si>
    <t>https://drive.google.com/open?id=1JHucRiw_OTh6MgHvlMRjp14wtQCpjgWD</t>
  </si>
  <si>
    <t>https://docs.google.com/forms/d/e/1FAIpQLSeEYwFnViiqk1AbexVe1VDR73UApmeuvfn6Yr2vN8WXjwGu2Q/viewform?edit2=2_ABaOnufzhw1WUGaOr64J1P9_5H9bRSnd7Yc-LRDNlDaZsPpjGWadoOLFdsa7T-0K1QN9Ys0&amp;source=documentstudio&amp;timestamp=1733476559405</t>
  </si>
  <si>
    <t>2_ABaOnufzhw1WUGaOr64J1P9_5H9bRSnd7Yc-LRDNlDaZsPpjGWadoOLFdsa7T-0K1QN9Ys0</t>
  </si>
  <si>
    <t>https://drive.google.com/open?id=1QUg1kRecCT36Z3xVxDPNYdHWuBteX95A</t>
  </si>
  <si>
    <t>https://docs.google.com/forms/d/e/1FAIpQLSeEYwFnViiqk1AbexVe1VDR73UApmeuvfn6Yr2vN8WXjwGu2Q/viewform?edit2=2_ABaOnufakSarHhIDc3_UMhgWRMHU7v733EgZIdK5VEwaiRc3DBiyyyMJIWTaOuq6V877bug&amp;source=documentstudio&amp;timestamp=1733477015614</t>
  </si>
  <si>
    <t>2_ABaOnufakSarHhIDc3_UMhgWRMHU7v733EgZIdK5VEwaiRc3DBiyyyMJIWTaOuq6V877bug</t>
  </si>
  <si>
    <t>https://drive.google.com/open?id=1RDx1zAfaKdTXKIXcn7yA5GVBEfQJ-vIr</t>
  </si>
  <si>
    <t>https://docs.google.com/forms/d/e/1FAIpQLSeEYwFnViiqk1AbexVe1VDR73UApmeuvfn6Yr2vN8WXjwGu2Q/viewform?edit2=2_ABaOnuc5fXrR02z7hr3JXpFAI3CMDFS-7DfEQEj3JYPn0YrNwOqaDbCWQDU3IgGShopy8j4&amp;source=documentstudio&amp;timestamp=1733703711863</t>
  </si>
  <si>
    <t>2_ABaOnuc5fXrR02z7hr3JXpFAI3CMDFS-7DfEQEj3JYPn0YrNwOqaDbCWQDU3IgGShopy8j4</t>
  </si>
  <si>
    <t>https://drive.google.com/open?id=1gjXtksjQY-kydBZF3CFWMIY8UmM_Uams</t>
  </si>
  <si>
    <t>https://docs.google.com/forms/d/e/1FAIpQLSeEYwFnViiqk1AbexVe1VDR73UApmeuvfn6Yr2vN8WXjwGu2Q/viewform?edit2=2_ABaOnucVSwrwxMtuOTjPN2VK3pN3N8VCCFyaz9F9g5okC9m8HbUeD748Kf1SZ8mbLXS0Epg&amp;source=documentstudio&amp;timestamp=1733707589554</t>
  </si>
  <si>
    <t>2_ABaOnucVSwrwxMtuOTjPN2VK3pN3N8VCCFyaz9F9g5okC9m8HbUeD748Kf1SZ8mbLXS0Epg</t>
  </si>
  <si>
    <t>https://drive.google.com/open?id=1j43_ip4sS4accQLhk4GwskEPnUe-Ugoh</t>
  </si>
  <si>
    <t>https://docs.google.com/forms/d/e/1FAIpQLSeEYwFnViiqk1AbexVe1VDR73UApmeuvfn6Yr2vN8WXjwGu2Q/viewform?edit2=2_ABaOnud7LGcBC9xe_SiQmfb3p3sZrW9e8HMpvOrpoUjU0Fa3RUCggYkSFRimeOoA98KRz4I&amp;source=documentstudio&amp;timestamp=1733707762871</t>
  </si>
  <si>
    <t>2_ABaOnud7LGcBC9xe_SiQmfb3p3sZrW9e8HMpvOrpoUjU0Fa3RUCggYkSFRimeOoA98KRz4I</t>
  </si>
  <si>
    <t>https://drive.google.com/open?id=1K7dOEPGaXFasoqRTFnRqQk03KNtz5xLY</t>
  </si>
  <si>
    <t>https://docs.google.com/forms/d/e/1FAIpQLSeEYwFnViiqk1AbexVe1VDR73UApmeuvfn6Yr2vN8WXjwGu2Q/viewform?edit2=2_ABaOnucH7wog9xoxVxCfVlbIuCRddwUvCCiRLLLNAs2jriMWSH7QaSIPrWYcwJqPaHiT6Ys&amp;source=documentstudio&amp;timestamp=1733707862043</t>
  </si>
  <si>
    <t>2_ABaOnucH7wog9xoxVxCfVlbIuCRddwUvCCiRLLLNAs2jriMWSH7QaSIPrWYcwJqPaHiT6Ys</t>
  </si>
  <si>
    <t>https://drive.google.com/open?id=1BtBz5OigK7jpR8--SmJvu65N6GLXFMoM</t>
  </si>
  <si>
    <t>https://docs.google.com/forms/d/e/1FAIpQLSeEYwFnViiqk1AbexVe1VDR73UApmeuvfn6Yr2vN8WXjwGu2Q/viewform?edit2=2_ABaOnudsozUn-Fybg3WPmKCxW_NzPKtJ9OscwUCaSlSdmyqM1ri2Ivnk7Po4r_-WDdRE6YM&amp;source=documentstudio&amp;timestamp=1733708583869</t>
  </si>
  <si>
    <t>2_ABaOnudsozUn-Fybg3WPmKCxW_NzPKtJ9OscwUCaSlSdmyqM1ri2Ivnk7Po4r_-WDdRE6YM</t>
  </si>
  <si>
    <t>https://drive.google.com/open?id=19YRby4_EGSVLRnH0otujUjF0BnHJBKpr</t>
  </si>
  <si>
    <t>https://docs.google.com/forms/d/e/1FAIpQLSeEYwFnViiqk1AbexVe1VDR73UApmeuvfn6Yr2vN8WXjwGu2Q/viewform?edit2=2_ABaOnudkn4NL5ssalexCZpEdPluc67kmsDyqS1Cb2s51LpF6VGqq-vcw-477Yjx29jjdCpc&amp;source=documentstudio&amp;timestamp=1733709374213</t>
  </si>
  <si>
    <t>2_ABaOnudkn4NL5ssalexCZpEdPluc67kmsDyqS1Cb2s51LpF6VGqq-vcw-477Yjx29jjdCpc</t>
  </si>
  <si>
    <t>https://drive.google.com/open?id=16Qv_VgIADXVn7x-Eug_JbT0Bngm5unma</t>
  </si>
  <si>
    <t>https://docs.google.com/forms/d/e/1FAIpQLSeEYwFnViiqk1AbexVe1VDR73UApmeuvfn6Yr2vN8WXjwGu2Q/viewform?edit2=2_ABaOnud0EWrHHbGdaIdzcRoBEByY71erAXpN1H3So7-kIvsH74GoZPdfd3dEpMJP2AB6e7s&amp;source=documentstudio&amp;timestamp=1733711784442</t>
  </si>
  <si>
    <t>2_ABaOnud0EWrHHbGdaIdzcRoBEByY71erAXpN1H3So7-kIvsH74GoZPdfd3dEpMJP2AB6e7s</t>
  </si>
  <si>
    <t>https://drive.google.com/open?id=1YoDzGa2iFRFZKXdX7Z5N6uGHgIChZMpI</t>
  </si>
  <si>
    <t>https://docs.google.com/forms/d/e/1FAIpQLSeEYwFnViiqk1AbexVe1VDR73UApmeuvfn6Yr2vN8WXjwGu2Q/viewform?edit2=2_ABaOnueKhjXF_iRebNXxhdJ-nb7PZYwheqh92k6wBtMjw_gHq6q-_GfbZx4EDhoHlc-wT0s&amp;source=documentstudio&amp;timestamp=1733712103219</t>
  </si>
  <si>
    <t>2_ABaOnueKhjXF_iRebNXxhdJ-nb7PZYwheqh92k6wBtMjw_gHq6q-_GfbZx4EDhoHlc-wT0s</t>
  </si>
  <si>
    <t>https://drive.google.com/open?id=1SxlPszxTeKUa9QD6and48K6fKEXP6NRR</t>
  </si>
  <si>
    <t>https://docs.google.com/forms/d/e/1FAIpQLSeEYwFnViiqk1AbexVe1VDR73UApmeuvfn6Yr2vN8WXjwGu2Q/viewform?edit2=2_ABaOnueLLeus6elxXfkpOIOqy4B3cQcqkyM3_D_YQ7GZ3Gd3UzuEwGSbL8WoOr-k6QUzYLY&amp;source=documentstudio&amp;timestamp=1733792128025</t>
  </si>
  <si>
    <t>2_ABaOnueLLeus6elxXfkpOIOqy4B3cQcqkyM3_D_YQ7GZ3Gd3UzuEwGSbL8WoOr-k6QUzYLY</t>
  </si>
  <si>
    <t>https://drive.google.com/open?id=1kkInGecXV-FeSVFCmwmHa0Z31TT4jLtd</t>
  </si>
  <si>
    <t>https://docs.google.com/forms/d/e/1FAIpQLSeEYwFnViiqk1AbexVe1VDR73UApmeuvfn6Yr2vN8WXjwGu2Q/viewform?edit2=2_ABaOnueSFUqLw2dU_xi8PDZ70qAmyknrdZyOrQ0fam3l8NAbTUtuLrJBcmqxhzfGQfYXWow&amp;source=documentstudio&amp;timestamp=1733792219005</t>
  </si>
  <si>
    <t>2_ABaOnueSFUqLw2dU_xi8PDZ70qAmyknrdZyOrQ0fam3l8NAbTUtuLrJBcmqxhzfGQfYXWow</t>
  </si>
  <si>
    <t>https://drive.google.com/open?id=1TWs_u3Qrxt7Z4JxqscBBk8UMak8X3p6K</t>
  </si>
  <si>
    <t>https://docs.google.com/forms/d/e/1FAIpQLSeEYwFnViiqk1AbexVe1VDR73UApmeuvfn6Yr2vN8WXjwGu2Q/viewform?edit2=2_ABaOnucss6AvFevi8T5mcyHyuWGj-GuEXNNojuou_aptK1NBi86a3HI1Lv_C_Hwb613fFrk&amp;source=documentstudio&amp;timestamp=1733792422689</t>
  </si>
  <si>
    <t>2_ABaOnucss6AvFevi8T5mcyHyuWGj-GuEXNNojuou_aptK1NBi86a3HI1Lv_C_Hwb613fFrk</t>
  </si>
  <si>
    <t>https://drive.google.com/open?id=1Mm-doh_xulYWOeW_On2aZg4d-HGgV85H</t>
  </si>
  <si>
    <t>https://docs.google.com/forms/d/e/1FAIpQLSeEYwFnViiqk1AbexVe1VDR73UApmeuvfn6Yr2vN8WXjwGu2Q/viewform?edit2=2_ABaOnucU8kVA6b7KJabO2y_wPJI-Z-UOlfrathr5QbGpFQDzFnJaYAfrNW-SQSFoo8KYSyw&amp;source=documentstudio&amp;timestamp=1733792424079</t>
  </si>
  <si>
    <t>2_ABaOnucU8kVA6b7KJabO2y_wPJI-Z-UOlfrathr5QbGpFQDzFnJaYAfrNW-SQSFoo8KYSyw</t>
  </si>
  <si>
    <t>https://drive.google.com/open?id=1WSVqDjoY3CehUyRMSnnFZynFKGvK7liL</t>
  </si>
  <si>
    <t>https://docs.google.com/forms/d/e/1FAIpQLSeEYwFnViiqk1AbexVe1VDR73UApmeuvfn6Yr2vN8WXjwGu2Q/viewform?edit2=2_ABaOnudjn4y5kuJOPSYEbsJM4K7kMdQCtVWQJPkkqAzCMim7rjVDRLRj2nYg7koWw7twWc0&amp;source=documentstudio&amp;timestamp=1733792702433</t>
  </si>
  <si>
    <t>2_ABaOnudjn4y5kuJOPSYEbsJM4K7kMdQCtVWQJPkkqAzCMim7rjVDRLRj2nYg7koWw7twWc0</t>
  </si>
  <si>
    <t>https://drive.google.com/open?id=1InbDHMyX7rO3USlTOQ7I-SMujPtVINVS</t>
  </si>
  <si>
    <t>https://docs.google.com/forms/d/e/1FAIpQLSeEYwFnViiqk1AbexVe1VDR73UApmeuvfn6Yr2vN8WXjwGu2Q/viewform?edit2=2_ABaOnucec974AlVwAAIsqwfRb5FnJF9NMvBIQUjZgSnkik1hCS09Dbbj145wcI86Sx9-HDo&amp;source=documentstudio&amp;timestamp=1733796331970</t>
  </si>
  <si>
    <t>2_ABaOnucec974AlVwAAIsqwfRb5FnJF9NMvBIQUjZgSnkik1hCS09Dbbj145wcI86Sx9-HDo</t>
  </si>
  <si>
    <t>https://drive.google.com/open?id=1oDh6SpY19XT2Qv8CczJjgBSxJtmma_Cv</t>
  </si>
  <si>
    <t>https://docs.google.com/forms/d/e/1FAIpQLSeEYwFnViiqk1AbexVe1VDR73UApmeuvfn6Yr2vN8WXjwGu2Q/viewform?edit2=2_ABaOnuci39e7deVeZd85aEZcTssR2OYkryUi1o5mZF32sfYb2bhXhoRKgJQcM4e_2-zWhGQ&amp;source=documentstudio&amp;timestamp=1733801132464</t>
  </si>
  <si>
    <t>2_ABaOnuci39e7deVeZd85aEZcTssR2OYkryUi1o5mZF32sfYb2bhXhoRKgJQcM4e_2-zWhGQ</t>
  </si>
  <si>
    <t>https://drive.google.com/open?id=1WdpfWFqs4mBTkZ7XSyuAwpM1XfuDNvw2</t>
  </si>
  <si>
    <t>https://docs.google.com/forms/d/e/1FAIpQLSeEYwFnViiqk1AbexVe1VDR73UApmeuvfn6Yr2vN8WXjwGu2Q/viewform?edit2=2_ABaOnucdJ1VTjkRzAIq8l0gFGgGVQ-QaZPs92IsVj56x6KxhLHF6RyJl02SeMa7mV1YAQBY&amp;source=documentstudio&amp;timestamp=1733984810507</t>
  </si>
  <si>
    <t>2_ABaOnucdJ1VTjkRzAIq8l0gFGgGVQ-QaZPs92IsVj56x6KxhLHF6RyJl02SeMa7mV1YAQBY</t>
  </si>
  <si>
    <t>https://drive.google.com/open?id=1lY_kdLtpVWCRjxyOvUl84wqrKc-Lyjm7</t>
  </si>
  <si>
    <t>https://docs.google.com/forms/d/e/1FAIpQLSeEYwFnViiqk1AbexVe1VDR73UApmeuvfn6Yr2vN8WXjwGu2Q/viewform?edit2=2_ABaOnudq-FlSX7vaJbV44xMN2gN9hpGj3VaEOupep9c46hZ0Fmsq0JrujHzMvlW7FJHZFbE&amp;source=documentstudio&amp;timestamp=1735868047984</t>
  </si>
  <si>
    <t>2_ABaOnudq-FlSX7vaJbV44xMN2gN9hpGj3VaEOupep9c46hZ0Fmsq0JrujHzMvlW7FJHZFbE</t>
  </si>
  <si>
    <t>https://drive.google.com/open?id=1PwnOx8KPeGzJ3CKmZmgnaDhwCuGx70W-</t>
  </si>
  <si>
    <t>https://docs.google.com/forms/d/e/1FAIpQLSeEYwFnViiqk1AbexVe1VDR73UApmeuvfn6Yr2vN8WXjwGu2Q/viewform?edit2=2_ABaOnuf01JBW9ADOJs0GVzr73BhfWYmVZvNHv5lhjtT0pFuyAvQ1dQcIMxc33eU73L5h62k&amp;source=documentstudio&amp;timestamp=1735889025389</t>
  </si>
  <si>
    <t>2_ABaOnuf01JBW9ADOJs0GVzr73BhfWYmVZvNHv5lhjtT0pFuyAvQ1dQcIMxc33eU73L5h62k</t>
  </si>
  <si>
    <t>https://drive.google.com/open?id=1PCFSF8f24amLP18LZjVb1Fh9Acafz9o-</t>
  </si>
  <si>
    <t>https://docs.google.com/forms/d/e/1FAIpQLSeEYwFnViiqk1AbexVe1VDR73UApmeuvfn6Yr2vN8WXjwGu2Q/viewform?edit2=2_ABaOnudIaAm7OHViW3mF0leoaVBGMWxbklh5egNztzdF2pNvsSHmMxv6YWEB7YdyTy742Ho&amp;source=documentstudio&amp;timestamp=1735891247668</t>
  </si>
  <si>
    <t>2_ABaOnudIaAm7OHViW3mF0leoaVBGMWxbklh5egNztzdF2pNvsSHmMxv6YWEB7YdyTy742Ho</t>
  </si>
  <si>
    <t>https://drive.google.com/open?id=1hiKXQYVymVylohs8hkznyFPa3eOZFUwT</t>
  </si>
  <si>
    <t>https://docs.google.com/forms/d/e/1FAIpQLSeEYwFnViiqk1AbexVe1VDR73UApmeuvfn6Yr2vN8WXjwGu2Q/viewform?edit2=2_ABaOnucvpM75MnkBKZxTu2ZHvfaLTvv83dz9AaNTX0Cb0RLk2fzklo05s3iIgTZRgvIupdc&amp;source=documentstudio&amp;timestamp=1735891487592</t>
  </si>
  <si>
    <t>2_ABaOnucvpM75MnkBKZxTu2ZHvfaLTvv83dz9AaNTX0Cb0RLk2fzklo05s3iIgTZRgvIupdc</t>
  </si>
  <si>
    <t>https://drive.google.com/open?id=1F_7IuW_qjRZ-T1ZsuH8tt68-Yy9xhYwe</t>
  </si>
  <si>
    <t>https://docs.google.com/forms/d/e/1FAIpQLSeEYwFnViiqk1AbexVe1VDR73UApmeuvfn6Yr2vN8WXjwGu2Q/viewform?edit2=2_ABaOnuepS44lJ9ec0Qsr_VAq79M1LpIcYP7PVqbpohhxKD7g8BG-nV9V2eCNTnjmBYwLg-c&amp;source=documentstudio&amp;timestamp=1735894122574</t>
  </si>
  <si>
    <t>2_ABaOnuepS44lJ9ec0Qsr_VAq79M1LpIcYP7PVqbpohhxKD7g8BG-nV9V2eCNTnjmBYwLg-c</t>
  </si>
  <si>
    <t>https://drive.google.com/open?id=1YAwiLanoMGbX7J43i-1_RFLoWhiP0M6B</t>
  </si>
  <si>
    <t>https://docs.google.com/forms/d/e/1FAIpQLSeEYwFnViiqk1AbexVe1VDR73UApmeuvfn6Yr2vN8WXjwGu2Q/viewform?edit2=2_ABaOnud62F-GTLJkOL_08IGeq2OOnTu0knIsVDMdN7jgTy9N737o470p04khBBkV-V_hnko&amp;source=documentstudio&amp;timestamp=1736124626745</t>
  </si>
  <si>
    <t>2_ABaOnud62F-GTLJkOL_08IGeq2OOnTu0knIsVDMdN7jgTy9N737o470p04khBBkV-V_hnko</t>
  </si>
  <si>
    <t>https://drive.google.com/open?id=1kPWyJxQND3Yf-NOH8YK7UQ6TI7gMn84Z</t>
  </si>
  <si>
    <t>https://docs.google.com/forms/d/e/1FAIpQLSeEYwFnViiqk1AbexVe1VDR73UApmeuvfn6Yr2vN8WXjwGu2Q/viewform?edit2=2_ABaOnucb5xH8Flf4oYE5ADy4TsXQEy8MgpghzMvY090wwjVU9jLPXi6HT8r3ddH8ecrGPPg&amp;source=documentstudio&amp;timestamp=1736130492653</t>
  </si>
  <si>
    <t>2_ABaOnucb5xH8Flf4oYE5ADy4TsXQEy8MgpghzMvY090wwjVU9jLPXi6HT8r3ddH8ecrGPPg</t>
  </si>
  <si>
    <t>https://drive.google.com/open?id=1blNNaRcvD5sc0iG8ounuoxFiBweuzQef</t>
  </si>
  <si>
    <t>https://docs.google.com/forms/d/e/1FAIpQLSeEYwFnViiqk1AbexVe1VDR73UApmeuvfn6Yr2vN8WXjwGu2Q/viewform?edit2=2_ABaOnudjHCKPbWCMyTPMa2umsFbWoe8y9ustoN_98HkF_XoqcJKBo0vsBSHLO-V4PPIA_jI&amp;source=documentstudio&amp;timestamp=1736133506441</t>
  </si>
  <si>
    <t>2_ABaOnudjHCKPbWCMyTPMa2umsFbWoe8y9ustoN_98HkF_XoqcJKBo0vsBSHLO-V4PPIA_jI</t>
  </si>
  <si>
    <t>https://drive.google.com/open?id=1XDF50sgCNn_EYj7TANvrAORGIsxKvzKh</t>
  </si>
  <si>
    <t>https://docs.google.com/forms/d/e/1FAIpQLSeEYwFnViiqk1AbexVe1VDR73UApmeuvfn6Yr2vN8WXjwGu2Q/viewform?edit2=2_ABaOnueM4F-4rbcUF2F_cfExX6QoC7w5qqTAq-0aaW-ad_k_3XiKMu9ad5HSIS1JQVijrYY&amp;source=documentstudio&amp;timestamp=1736133854689</t>
  </si>
  <si>
    <t>2_ABaOnueM4F-4rbcUF2F_cfExX6QoC7w5qqTAq-0aaW-ad_k_3XiKMu9ad5HSIS1JQVijrYY</t>
  </si>
  <si>
    <t>https://drive.google.com/open?id=1Nt_YsqQX0G16B6iwOsmanz4bkheewNt8</t>
  </si>
  <si>
    <t>https://docs.google.com/forms/d/e/1FAIpQLSeEYwFnViiqk1AbexVe1VDR73UApmeuvfn6Yr2vN8WXjwGu2Q/viewform?edit2=2_ABaOnucgpsbZob-FqE92yClv6GsOo2LjsiPHg2mUUNTeTpR_raebUV9QtvG5wBN80l0rzp8&amp;source=documentstudio&amp;timestamp=1736135160235</t>
  </si>
  <si>
    <t>2_ABaOnucgpsbZob-FqE92yClv6GsOo2LjsiPHg2mUUNTeTpR_raebUV9QtvG5wBN80l0rzp8</t>
  </si>
  <si>
    <t>https://drive.google.com/open?id=1g86PCEpY947l2MNZP46YGWhbkK9WJPcg</t>
  </si>
  <si>
    <t>https://docs.google.com/forms/d/e/1FAIpQLSeEYwFnViiqk1AbexVe1VDR73UApmeuvfn6Yr2vN8WXjwGu2Q/viewform?edit2=2_ABaOnuf3uYoggH9CKGAa76K8c20XseRJxUATMNMsleqiDE97Zs05wu12xdrV4hpJS5-73Pc&amp;source=documentstudio&amp;timestamp=1736135231532</t>
  </si>
  <si>
    <t>2_ABaOnuf3uYoggH9CKGAa76K8c20XseRJxUATMNMsleqiDE97Zs05wu12xdrV4hpJS5-73Pc</t>
  </si>
  <si>
    <t>https://drive.google.com/open?id=1obPkElMRlBavN1yhZ5cLP9mRiFHilfPJ</t>
  </si>
  <si>
    <t>https://docs.google.com/forms/d/e/1FAIpQLSeEYwFnViiqk1AbexVe1VDR73UApmeuvfn6Yr2vN8WXjwGu2Q/viewform?edit2=2_ABaOnueoYV8TpyLf6rclbNZLMoYuP4MGglUAkZtfvOH5F73bYLQITmuSfEZBZBXsJzp3BhI&amp;source=documentstudio&amp;timestamp=1736135417243</t>
  </si>
  <si>
    <t>2_ABaOnueoYV8TpyLf6rclbNZLMoYuP4MGglUAkZtfvOH5F73bYLQITmuSfEZBZBXsJzp3BhI</t>
  </si>
  <si>
    <t>https://drive.google.com/open?id=1pEad7YtTJOCAh4oI8dZeOoLRquu6LBbs</t>
  </si>
  <si>
    <t>https://docs.google.com/forms/d/e/1FAIpQLSeEYwFnViiqk1AbexVe1VDR73UApmeuvfn6Yr2vN8WXjwGu2Q/viewform?edit2=2_ABaOnue8YVbyCD5a6hSdGFqBc9uU9AGLTFe7aVkdr35ZbpcKbZCJhlxOKkAB14soQW0nQns&amp;source=documentstudio&amp;timestamp=1736136080688</t>
  </si>
  <si>
    <t>2_ABaOnue8YVbyCD5a6hSdGFqBc9uU9AGLTFe7aVkdr35ZbpcKbZCJhlxOKkAB14soQW0nQns</t>
  </si>
  <si>
    <t>https://drive.google.com/open?id=1O_ViX-4p7VhPxegy-Vj1iHht_QNgnAPl</t>
  </si>
  <si>
    <t>https://docs.google.com/forms/d/e/1FAIpQLSeEYwFnViiqk1AbexVe1VDR73UApmeuvfn6Yr2vN8WXjwGu2Q/viewform?edit2=2_ABaOnudSsQCzZCyMBo5DwoKanzqT0yoqrEhZQRrkB6NDZTUmJ1snzKz8ZgdZnbsnSfX5rnU&amp;source=documentstudio&amp;timestamp=1736136262987</t>
  </si>
  <si>
    <t>2_ABaOnudSsQCzZCyMBo5DwoKanzqT0yoqrEhZQRrkB6NDZTUmJ1snzKz8ZgdZnbsnSfX5rnU</t>
  </si>
  <si>
    <t>https://drive.google.com/open?id=1FsoF1PbVlJkqVyOY_nqvzF-lFD8s4blu</t>
  </si>
  <si>
    <t>https://docs.google.com/forms/d/e/1FAIpQLSeEYwFnViiqk1AbexVe1VDR73UApmeuvfn6Yr2vN8WXjwGu2Q/viewform?edit2=2_ABaOnudCsV1RosDqed2SAkJQCsjUCeEE8Rh2RQvnZkc3EyXz9sTN2B3A0cwcZ_CcUO1mnfw&amp;source=documentstudio&amp;timestamp=1736136297089</t>
  </si>
  <si>
    <t>2_ABaOnudCsV1RosDqed2SAkJQCsjUCeEE8Rh2RQvnZkc3EyXz9sTN2B3A0cwcZ_CcUO1mnfw</t>
  </si>
  <si>
    <t>https://drive.google.com/open?id=1YDzOH8jbVXvzrWGd3KZRdIvAsyUlq7Gq</t>
  </si>
  <si>
    <t>https://docs.google.com/forms/d/e/1FAIpQLSeEYwFnViiqk1AbexVe1VDR73UApmeuvfn6Yr2vN8WXjwGu2Q/viewform?edit2=2_ABaOnucX8_Li55MZb79eLc28veSdumQ31POeh2W5qotyhG7WR67eDYuIPhHEa8NLDQAupdM&amp;source=documentstudio&amp;timestamp=1736136336198</t>
  </si>
  <si>
    <t>2_ABaOnucX8_Li55MZb79eLc28veSdumQ31POeh2W5qotyhG7WR67eDYuIPhHEa8NLDQAupdM</t>
  </si>
  <si>
    <t>https://drive.google.com/open?id=1tLcBIBRISGKb24HAw49qXhapetSqoA-A</t>
  </si>
  <si>
    <t>https://docs.google.com/forms/d/e/1FAIpQLSeEYwFnViiqk1AbexVe1VDR73UApmeuvfn6Yr2vN8WXjwGu2Q/viewform?edit2=2_ABaOnuer4aqOFIBcgQHcGN13wZkTv_I9lbkHi_BEnKRVs9NX4Kl3nCvr3fLcGhBEyX6LJfg&amp;source=documentstudio&amp;timestamp=1736136830602</t>
  </si>
  <si>
    <t>2_ABaOnuer4aqOFIBcgQHcGN13wZkTv_I9lbkHi_BEnKRVs9NX4Kl3nCvr3fLcGhBEyX6LJfg</t>
  </si>
  <si>
    <t>https://drive.google.com/open?id=1zEqry33M-otCM-BTbfZ8PEm5JLENlR2U</t>
  </si>
  <si>
    <t>https://docs.google.com/forms/d/e/1FAIpQLSeEYwFnViiqk1AbexVe1VDR73UApmeuvfn6Yr2vN8WXjwGu2Q/viewform?edit2=2_ABaOnuehlWv5vXH_ATnirPJ-pk-WfjMzBvnD-iP-tZXgqxe5Z53RnxfF8PUnRn9Z-B9IsTY&amp;source=documentstudio&amp;timestamp=1736140879855</t>
  </si>
  <si>
    <t>2_ABaOnuehlWv5vXH_ATnirPJ-pk-WfjMzBvnD-iP-tZXgqxe5Z53RnxfF8PUnRn9Z-B9IsTY</t>
  </si>
  <si>
    <t>https://drive.google.com/open?id=1BydsgS4uoQ9_VJZMb9vvWUHQlbZHw_D2</t>
  </si>
  <si>
    <t>https://docs.google.com/forms/d/e/1FAIpQLSeEYwFnViiqk1AbexVe1VDR73UApmeuvfn6Yr2vN8WXjwGu2Q/viewform?edit2=2_ABaOnuf_vL98tdleLwh57N3a3rbu7cK6qPR4pOVY2Y4btRIRdpL24Jticvw-CMrrfwB6d4k&amp;source=documentstudio&amp;timestamp=1736140884228</t>
  </si>
  <si>
    <t>2_ABaOnuf_vL98tdleLwh57N3a3rbu7cK6qPR4pOVY2Y4btRIRdpL24Jticvw-CMrrfwB6d4k</t>
  </si>
  <si>
    <t>https://drive.google.com/open?id=1udHy3zxOLx4maErI_nc7co5BGTkJ5UVa</t>
  </si>
  <si>
    <t>https://docs.google.com/forms/d/e/1FAIpQLSeEYwFnViiqk1AbexVe1VDR73UApmeuvfn6Yr2vN8WXjwGu2Q/viewform?edit2=2_ABaOnudda76OvpWDjptJOuNgQdc9Ob1JMLtFTIsSMMl5neqXxhV-BnyGfdboMrGMVhHUvx4&amp;source=documentstudio&amp;timestamp=1736210819468</t>
  </si>
  <si>
    <t>2_ABaOnudda76OvpWDjptJOuNgQdc9Ob1JMLtFTIsSMMl5neqXxhV-BnyGfdboMrGMVhHUvx4</t>
  </si>
  <si>
    <t>https://drive.google.com/open?id=1zyclcyrxntSZG0j4ViQt4kOC6F1QGzxe</t>
  </si>
  <si>
    <t>https://docs.google.com/forms/d/e/1FAIpQLSeEYwFnViiqk1AbexVe1VDR73UApmeuvfn6Yr2vN8WXjwGu2Q/viewform?edit2=2_ABaOnudK7NwMoIc4xBlXN8rjuino3DeQjudnBvqWW1AmIoCJRcLPpaqkVCZEu3pUmPIyg-I&amp;source=documentstudio&amp;timestamp=1736212824519</t>
  </si>
  <si>
    <t>2_ABaOnudK7NwMoIc4xBlXN8rjuino3DeQjudnBvqWW1AmIoCJRcLPpaqkVCZEu3pUmPIyg-I</t>
  </si>
  <si>
    <t>https://drive.google.com/open?id=1LMqDSU0uZKMHdGAwSVLFs2-pVyFaa3Fr</t>
  </si>
  <si>
    <t>https://docs.google.com/forms/d/e/1FAIpQLSeEYwFnViiqk1AbexVe1VDR73UApmeuvfn6Yr2vN8WXjwGu2Q/viewform?edit2=2_ABaOnueCdYNlmbpfs61K_W5ajBxFbwUNUTAtpTQZ5wZ3Pg6om35Yjou8JU1h0aRnlK1ZHzA&amp;source=documentstudio&amp;timestamp=1736212972021</t>
  </si>
  <si>
    <t>2_ABaOnueCdYNlmbpfs61K_W5ajBxFbwUNUTAtpTQZ5wZ3Pg6om35Yjou8JU1h0aRnlK1ZHzA</t>
  </si>
  <si>
    <t>https://drive.google.com/open?id=1epyqOtjA0PHFN9mxqLzfpiWPRjZY4al7</t>
  </si>
  <si>
    <t>https://docs.google.com/forms/d/e/1FAIpQLSeEYwFnViiqk1AbexVe1VDR73UApmeuvfn6Yr2vN8WXjwGu2Q/viewform?edit2=2_ABaOnueVw1ICP9mQs9wlcsHE9sMlNvpJrw90DJoH6BtXsbDccu8oNcTS91-rOjto0PyLTQY&amp;source=documentstudio&amp;timestamp=1736215534781</t>
  </si>
  <si>
    <t>2_ABaOnueVw1ICP9mQs9wlcsHE9sMlNvpJrw90DJoH6BtXsbDccu8oNcTS91-rOjto0PyLTQY</t>
  </si>
  <si>
    <t>https://drive.google.com/open?id=1nDcsg9yLgTVYcpTlarP0lyDAdAoJyodJ</t>
  </si>
  <si>
    <t>https://docs.google.com/forms/d/e/1FAIpQLSeEYwFnViiqk1AbexVe1VDR73UApmeuvfn6Yr2vN8WXjwGu2Q/viewform?edit2=2_ABaOnudnpyvPDJ-cw6KnA2jwJNAB21zblqB97ajbhZAWcBjVPmof8n7A-eAkezdlFJsyjs0&amp;source=documentstudio&amp;timestamp=1736216576855</t>
  </si>
  <si>
    <t>2_ABaOnudnpyvPDJ-cw6KnA2jwJNAB21zblqB97ajbhZAWcBjVPmof8n7A-eAkezdlFJsyjs0</t>
  </si>
  <si>
    <t>https://drive.google.com/open?id=1lcOw3_4yP42WwrJerAq6NZD_U2ulPBye</t>
  </si>
  <si>
    <t>https://docs.google.com/forms/d/e/1FAIpQLSeEYwFnViiqk1AbexVe1VDR73UApmeuvfn6Yr2vN8WXjwGu2Q/viewform?edit2=2_ABaOnudxpl1Vd1ugxDdo3PKQZybfVNQE2ki8wQln9KPhOj8VL-XI9WxmpRqaThUIDqyQVNY&amp;source=documentstudio&amp;timestamp=1736232137221</t>
  </si>
  <si>
    <t>2_ABaOnudxpl1Vd1ugxDdo3PKQZybfVNQE2ki8wQln9KPhOj8VL-XI9WxmpRqaThUIDqyQVNY</t>
  </si>
  <si>
    <t>https://drive.google.com/open?id=1-oNK50q6rNx8JZXSPYeQmH7Y0Krq-YNU</t>
  </si>
  <si>
    <t>https://docs.google.com/forms/d/e/1FAIpQLSeEYwFnViiqk1AbexVe1VDR73UApmeuvfn6Yr2vN8WXjwGu2Q/viewform?edit2=2_ABaOnufr7yr_IQmsuluPjhJW0cFHpa_Ww7k5pHxlfONLvnyOFSl6Kv8WuSBg2FJuGIgAapg&amp;source=documentstudio&amp;timestamp=1736232176073</t>
  </si>
  <si>
    <t>2_ABaOnufr7yr_IQmsuluPjhJW0cFHpa_Ww7k5pHxlfONLvnyOFSl6Kv8WuSBg2FJuGIgAapg</t>
  </si>
  <si>
    <t>https://drive.google.com/open?id=1oLnruLniTkjI3Yf6Sip60jr3eDRSzIUd</t>
  </si>
  <si>
    <t>https://docs.google.com/forms/d/e/1FAIpQLSeEYwFnViiqk1AbexVe1VDR73UApmeuvfn6Yr2vN8WXjwGu2Q/viewform?edit2=2_ABaOnueWhD_YYihCftDSr8vZXwgRznDklzSKnVQ5QhclyrQNFAEDAShhW4ucyzewdUljAH0&amp;source=documentstudio&amp;timestamp=1736233245541</t>
  </si>
  <si>
    <t>2_ABaOnueWhD_YYihCftDSr8vZXwgRznDklzSKnVQ5QhclyrQNFAEDAShhW4ucyzewdUljAH0</t>
  </si>
  <si>
    <t>https://drive.google.com/open?id=15c8pnibuCG1tN-aootlLLJKxwWrIZyYu</t>
  </si>
  <si>
    <t>https://docs.google.com/forms/d/e/1FAIpQLSeEYwFnViiqk1AbexVe1VDR73UApmeuvfn6Yr2vN8WXjwGu2Q/viewform?edit2=2_ABaOnuf4hczCgDsMfyLuwlPE1BsPbCnbfHiZXYP7KLHuBz5aiejCyh28ZglpFVN4sZ9AyhU&amp;source=documentstudio&amp;timestamp=1736300901432</t>
  </si>
  <si>
    <t>2_ABaOnuf4hczCgDsMfyLuwlPE1BsPbCnbfHiZXYP7KLHuBz5aiejCyh28ZglpFVN4sZ9AyhU</t>
  </si>
  <si>
    <t>https://drive.google.com/open?id=1HehFNorWhCdXtybnE_CiZtmhU1R060Yo</t>
  </si>
  <si>
    <t>https://docs.google.com/forms/d/e/1FAIpQLSeEYwFnViiqk1AbexVe1VDR73UApmeuvfn6Yr2vN8WXjwGu2Q/viewform?edit2=2_ABaOnud7oFPt9ls7vo8uh6B7qfbCYYp8NVP9kRsBoLcEfY2gbG1skAGbM67n8X2l4w0M7X4&amp;source=documentstudio&amp;timestamp=1736326862857</t>
  </si>
  <si>
    <t>2_ABaOnud7oFPt9ls7vo8uh6B7qfbCYYp8NVP9kRsBoLcEfY2gbG1skAGbM67n8X2l4w0M7X4</t>
  </si>
  <si>
    <t>https://drive.google.com/open?id=1dxx_J1mFmyX0DKUCMbzyztwDDFul7kQP</t>
  </si>
  <si>
    <t>https://docs.google.com/forms/d/e/1FAIpQLSeEYwFnViiqk1AbexVe1VDR73UApmeuvfn6Yr2vN8WXjwGu2Q/viewform?edit2=2_ABaOnucOGGK9_TheXI5XBVECJsK3RKoxBZ_cjvrTDWCeqQ8Gs1J9-WIM76lZKUXTXS7SQU8&amp;source=documentstudio&amp;timestamp=1736389157801</t>
  </si>
  <si>
    <t>2_ABaOnucOGGK9_TheXI5XBVECJsK3RKoxBZ_cjvrTDWCeqQ8Gs1J9-WIM76lZKUXTXS7SQU8</t>
  </si>
  <si>
    <t>https://drive.google.com/open?id=1RebIndnkP8Yqmx6rvVsPuki-z1AISJFO</t>
  </si>
  <si>
    <t>https://docs.google.com/forms/d/e/1FAIpQLSeEYwFnViiqk1AbexVe1VDR73UApmeuvfn6Yr2vN8WXjwGu2Q/viewform?edit2=2_ABaOnue6cPMtKTlo3wyXrN4TgS2q0tzlup0zrf8_Fd8jWiGvbTSiXJlzz73vB8xJPTdLbCM&amp;source=documentstudio&amp;timestamp=1736389220133</t>
  </si>
  <si>
    <t>2_ABaOnue6cPMtKTlo3wyXrN4TgS2q0tzlup0zrf8_Fd8jWiGvbTSiXJlzz73vB8xJPTdLbCM</t>
  </si>
  <si>
    <t>https://drive.google.com/open?id=19s7f60nHoyIHV5R2UYPAn8exavaW2vIW</t>
  </si>
  <si>
    <t>https://docs.google.com/forms/d/e/1FAIpQLSeEYwFnViiqk1AbexVe1VDR73UApmeuvfn6Yr2vN8WXjwGu2Q/viewform?edit2=2_ABaOnudb3cRVtjg6XlxE_uzaoypVggHIMIITSvdDStCvqMShxrOAT_SaL0hdAz4c8Yn2dKo&amp;source=documentstudio&amp;timestamp=1736407571642</t>
  </si>
  <si>
    <t>2_ABaOnudb3cRVtjg6XlxE_uzaoypVggHIMIITSvdDStCvqMShxrOAT_SaL0hdAz4c8Yn2dKo</t>
  </si>
  <si>
    <t>https://drive.google.com/open?id=1SALnk9p7mpqB5zCY0Suf9hkxmWdP3-Rc</t>
  </si>
  <si>
    <t>https://docs.google.com/forms/d/e/1FAIpQLSeEYwFnViiqk1AbexVe1VDR73UApmeuvfn6Yr2vN8WXjwGu2Q/viewform?edit2=2_ABaOnuce7ch4K2gI3nG2uF5hEGmDztrX4IZ7UVxfRZ1jbmll87OEEwZlrVS0Hxit5l27eTM&amp;source=documentstudio&amp;timestamp=1736407610649</t>
  </si>
  <si>
    <t>2_ABaOnuce7ch4K2gI3nG2uF5hEGmDztrX4IZ7UVxfRZ1jbmll87OEEwZlrVS0Hxit5l27eTM</t>
  </si>
  <si>
    <t>https://drive.google.com/open?id=17dj2Oa-FWg6o3t864B7y_qZRbQ7XGKq4</t>
  </si>
  <si>
    <t>https://docs.google.com/forms/d/e/1FAIpQLSeEYwFnViiqk1AbexVe1VDR73UApmeuvfn6Yr2vN8WXjwGu2Q/viewform?edit2=2_ABaOnucsP2LziU36kGGv61-8by1XvNOaz8nE8-Ua1Lqy3Exls5xLdVTog8Z1E2O2xLKDI6k&amp;source=documentstudio&amp;timestamp=1736474178372</t>
  </si>
  <si>
    <t>2_ABaOnucsP2LziU36kGGv61-8by1XvNOaz8nE8-Ua1Lqy3Exls5xLdVTog8Z1E2O2xLKDI6k</t>
  </si>
  <si>
    <t>https://drive.google.com/open?id=1mWdVKFOClIiEmhgys166MNq7LDX8-0r6</t>
  </si>
  <si>
    <t>https://docs.google.com/forms/d/e/1FAIpQLSeEYwFnViiqk1AbexVe1VDR73UApmeuvfn6Yr2vN8WXjwGu2Q/viewform?edit2=2_ABaOnueGdKckBpdqynNZ_DfgsKO9uPpacFKCuUwI3yQVXPMT5Bkciq40kzE8tbWgPeYnMaA&amp;source=documentstudio&amp;timestamp=1736474206903</t>
  </si>
  <si>
    <t>2_ABaOnueGdKckBpdqynNZ_DfgsKO9uPpacFKCuUwI3yQVXPMT5Bkciq40kzE8tbWgPeYnMaA</t>
  </si>
  <si>
    <t>https://drive.google.com/open?id=1vj38xw1l-4EPEm8wHeiFdJvuFhIjIkM8</t>
  </si>
  <si>
    <t>https://docs.google.com/forms/d/e/1FAIpQLSeEYwFnViiqk1AbexVe1VDR73UApmeuvfn6Yr2vN8WXjwGu2Q/viewform?edit2=2_ABaOnucdzK_IIgQb0aHWBicpTO6J9OdoZkHAWagKnartMBs7CkLfl6bO0v4YpSlfiVScQmo&amp;source=documentstudio&amp;timestamp=1736474514560</t>
  </si>
  <si>
    <t>2_ABaOnucdzK_IIgQb0aHWBicpTO6J9OdoZkHAWagKnartMBs7CkLfl6bO0v4YpSlfiVScQmo</t>
  </si>
  <si>
    <t>https://drive.google.com/open?id=1ZwuCmNwG7wTHm9kKpeoaQDN-ypAKGqI4</t>
  </si>
  <si>
    <t>https://docs.google.com/forms/d/e/1FAIpQLSeEYwFnViiqk1AbexVe1VDR73UApmeuvfn6Yr2vN8WXjwGu2Q/viewform?edit2=2_ABaOnud7mq0SqZUnAf5OKmLycwoIglOyDG_C75SIRawalgRRfv6Kw1GktXP-0NusnTZTvU0&amp;source=documentstudio&amp;timestamp=1736474710866</t>
  </si>
  <si>
    <t>2_ABaOnud7mq0SqZUnAf5OKmLycwoIglOyDG_C75SIRawalgRRfv6Kw1GktXP-0NusnTZTvU0</t>
  </si>
  <si>
    <t>https://drive.google.com/open?id=1Xg1YZIPeuKVcWKtEIptSMLUU8PtHAMhU</t>
  </si>
  <si>
    <t>https://docs.google.com/forms/d/e/1FAIpQLSeEYwFnViiqk1AbexVe1VDR73UApmeuvfn6Yr2vN8WXjwGu2Q/viewform?edit2=2_ABaOnufLhLkV93D3N1Bby6d5kEOHA-jcdNtFjbd-BGpYlnChTURQ5YIxegY30yIEr1TIAyg&amp;source=documentstudio&amp;timestamp=1736474735871</t>
  </si>
  <si>
    <t>2_ABaOnufLhLkV93D3N1Bby6d5kEOHA-jcdNtFjbd-BGpYlnChTURQ5YIxegY30yIEr1TIAyg</t>
  </si>
  <si>
    <t>https://drive.google.com/open?id=1PjvOj2kGmpwDkN8I1ZtHmnU8xY_g7Kzp</t>
  </si>
  <si>
    <t>https://docs.google.com/forms/d/e/1FAIpQLSeEYwFnViiqk1AbexVe1VDR73UApmeuvfn6Yr2vN8WXjwGu2Q/viewform?edit2=2_ABaOnue484koo4abTfA2ACu_KHrWGoNbfFDHQUK70Teaw-3CrZBe93UIq2LaYwcGuAbgDDM&amp;source=documentstudio&amp;timestamp=1736500849204</t>
  </si>
  <si>
    <t>2_ABaOnue484koo4abTfA2ACu_KHrWGoNbfFDHQUK70Teaw-3CrZBe93UIq2LaYwcGuAbgDDM</t>
  </si>
  <si>
    <t>https://drive.google.com/open?id=1yZasenxfKH25-0BtbhXI6kZOROEL0uZX</t>
  </si>
  <si>
    <t>https://docs.google.com/forms/d/e/1FAIpQLSeEYwFnViiqk1AbexVe1VDR73UApmeuvfn6Yr2vN8WXjwGu2Q/viewform?edit2=2_ABaOnudcAl2jAvbw1GsUe1RV_0edlBHpHrCvyc0f1BCEn-xCh7TfTbsGWhwi6vt7ORyFJuw&amp;source=documentstudio&amp;timestamp=1736910391761</t>
  </si>
  <si>
    <t>2_ABaOnudcAl2jAvbw1GsUe1RV_0edlBHpHrCvyc0f1BCEn-xCh7TfTbsGWhwi6vt7ORyFJuw</t>
  </si>
  <si>
    <t>https://drive.google.com/open?id=14rL65ox8U4s4Vr2Fnn_l9NTjgJsUsdor</t>
  </si>
  <si>
    <t>https://docs.google.com/forms/d/e/1FAIpQLSeEYwFnViiqk1AbexVe1VDR73UApmeuvfn6Yr2vN8WXjwGu2Q/viewform?edit2=2_ABaOnucjbAbgotKBDednPgizCVbyyCgeggKwfdyEYGgw1qbMtiOAnjsi0WPAbzqANpeqQmY&amp;source=documentstudio&amp;timestamp=1736910429324</t>
  </si>
  <si>
    <t>2_ABaOnucjbAbgotKBDednPgizCVbyyCgeggKwfdyEYGgw1qbMtiOAnjsi0WPAbzqANpeqQmY</t>
  </si>
  <si>
    <t>https://drive.google.com/open?id=1pFZ04ozLeS3_NqFEGlLW8-KhQuI4TZ-k</t>
  </si>
  <si>
    <t>https://docs.google.com/forms/d/e/1FAIpQLSeEYwFnViiqk1AbexVe1VDR73UApmeuvfn6Yr2vN8WXjwGu2Q/viewform?edit2=2_ABaOnucuPQtACu86zbILPTYSd75zuYDd6uP00bGyifzzqUgLE667CxzYFX8okOr2NnYhrRk&amp;source=documentstudio&amp;timestamp=1737333026801</t>
  </si>
  <si>
    <t>2_ABaOnucuPQtACu86zbILPTYSd75zuYDd6uP00bGyifzzqUgLE667CxzYFX8okOr2NnYhrRk</t>
  </si>
  <si>
    <t>https://drive.google.com/open?id=1MJWZlujMfbvwcOFs4nTRDhLd8_wBjvtW</t>
  </si>
  <si>
    <t>https://docs.google.com/forms/d/e/1FAIpQLSeEYwFnViiqk1AbexVe1VDR73UApmeuvfn6Yr2vN8WXjwGu2Q/viewform?edit2=2_ABaOnudh2tioMSIBfU_fr7cKizuJJqJm3LxggAZgPbxUFBwmA4ljeKJHiF587MspWlrZ1oo&amp;source=documentstudio&amp;timestamp=1737334149435</t>
  </si>
  <si>
    <t>2_ABaOnudh2tioMSIBfU_fr7cKizuJJqJm3LxggAZgPbxUFBwmA4ljeKJHiF587MspWlrZ1oo</t>
  </si>
  <si>
    <t>https://drive.google.com/open?id=1OCKKUaLXKK92kZnrCe5lyyTzKTxuhS9j</t>
  </si>
  <si>
    <t>https://docs.google.com/forms/d/e/1FAIpQLSeEYwFnViiqk1AbexVe1VDR73UApmeuvfn6Yr2vN8WXjwGu2Q/viewform?edit2=2_ABaOnuemELcjh8Q85z10r8YCuvrt0vnIpXWW8oZ3RN1uQciYEcee1_ThcTNe3cYZWJ7thuU&amp;source=documentstudio&amp;timestamp=1737335756285</t>
  </si>
  <si>
    <t>2_ABaOnuemELcjh8Q85z10r8YCuvrt0vnIpXWW8oZ3RN1uQciYEcee1_ThcTNe3cYZWJ7thuU</t>
  </si>
  <si>
    <t>https://drive.google.com/open?id=1T3Tv5nAUPjWuMlIbf8ybosCHzP_ti0qH</t>
  </si>
  <si>
    <t>https://docs.google.com/forms/d/e/1FAIpQLSeEYwFnViiqk1AbexVe1VDR73UApmeuvfn6Yr2vN8WXjwGu2Q/viewform?edit2=2_ABaOnuexzcNvEXABQu4kYTrlwkNwt8UuzqcTihE0k27LOTMlrQsZT0nk47IGBQYwG4t-EKM&amp;source=documentstudio&amp;timestamp=1737335911695</t>
  </si>
  <si>
    <t>2_ABaOnuexzcNvEXABQu4kYTrlwkNwt8UuzqcTihE0k27LOTMlrQsZT0nk47IGBQYwG4t-EKM</t>
  </si>
  <si>
    <t>Tahunan Penilaian</t>
  </si>
  <si>
    <t>https://drive.google.com/open?id=12pxr94ivMBPbpn0xR1hv5MIvd2uorMiq</t>
  </si>
  <si>
    <t>https://docs.google.com/forms/d/e/1FAIpQLSeEYwFnViiqk1AbexVe1VDR73UApmeuvfn6Yr2vN8WXjwGu2Q/viewform?edit2=2_ABaOnucB4dxA1-NA99U6yCdY6gMXd1IO9PCPjGE8D_OE-jRxrNeYsfbWSxrrorZWw1668ns&amp;source=documentstudio&amp;timestamp=1737445980509</t>
  </si>
  <si>
    <t>2_ABaOnucB4dxA1-NA99U6yCdY6gMXd1IO9PCPjGE8D_OE-jRxrNeYsfbWSxrrorZWw1668ns</t>
  </si>
  <si>
    <t>https://drive.google.com/open?id=1QX6SjNh5pxA7xUzluHbZ3IePVyp88R6n</t>
  </si>
  <si>
    <t>https://docs.google.com/forms/d/e/1FAIpQLSeEYwFnViiqk1AbexVe1VDR73UApmeuvfn6Yr2vN8WXjwGu2Q/viewform?edit2=2_ABaOnufIdMZPYy7yjHdevyAmxpMflh66h4LudGumDZV-nNBr-62G16mPUkp5cCk9jaDVWqs&amp;source=documentstudio&amp;timestamp=1737446087476</t>
  </si>
  <si>
    <t>2_ABaOnufIdMZPYy7yjHdevyAmxpMflh66h4LudGumDZV-nNBr-62G16mPUkp5cCk9jaDVWqs</t>
  </si>
  <si>
    <t>M Guntur Ilham</t>
  </si>
  <si>
    <t>https://drive.google.com/open?id=11eIxu97QNgctLTC-RiPyHBer9mxcsBfL</t>
  </si>
  <si>
    <t>https://docs.google.com/forms/d/e/1FAIpQLSeEYwFnViiqk1AbexVe1VDR73UApmeuvfn6Yr2vN8WXjwGu2Q/viewform?edit2=2_ABaOnueiAT7F9FBfHhVvEGe9tnXpprh6H3ZlhLK6A3cd9ri003m0PTX9eCorkQxmjCSSF_I&amp;source=documentstudio&amp;timestamp=1737446149910</t>
  </si>
  <si>
    <t>2_ABaOnueiAT7F9FBfHhVvEGe9tnXpprh6H3ZlhLK6A3cd9ri003m0PTX9eCorkQxmjCSSF_I</t>
  </si>
  <si>
    <t>https://drive.google.com/open?id=1FTHpm3KCTrfMZ2RqWtdNMSK4-uv9GYlW</t>
  </si>
  <si>
    <t>https://docs.google.com/forms/d/e/1FAIpQLSeEYwFnViiqk1AbexVe1VDR73UApmeuvfn6Yr2vN8WXjwGu2Q/viewform?edit2=2_ABaOnucwHcMAoqEfcMW3TvwAkB-yUXjmXtHuukUdZpB1xc1WGdpTFWsqLU3mkDtK6siHgKU&amp;source=documentstudio&amp;timestamp=1737446173903</t>
  </si>
  <si>
    <t>2_ABaOnucwHcMAoqEfcMW3TvwAkB-yUXjmXtHuukUdZpB1xc1WGdpTFWsqLU3mkDtK6siHgKU</t>
  </si>
  <si>
    <t>https://drive.google.com/open?id=159f9UNLdOY97TBOT96TzNZtlLvXxjlFN</t>
  </si>
  <si>
    <t>https://docs.google.com/forms/d/e/1FAIpQLSeEYwFnViiqk1AbexVe1VDR73UApmeuvfn6Yr2vN8WXjwGu2Q/viewform?edit2=2_ABaOnudkbHIhtNEavjLRTSX6FC5IlBWdeizCcDRMrJ7CnrWbeJSwgCfeb__bAdbuu2RQGMU&amp;source=documentstudio&amp;timestamp=1737446188164</t>
  </si>
  <si>
    <t>2_ABaOnudkbHIhtNEavjLRTSX6FC5IlBWdeizCcDRMrJ7CnrWbeJSwgCfeb__bAdbuu2RQGMU</t>
  </si>
  <si>
    <t>https://drive.google.com/open?id=1VWUvsv0hbqMMWGSloWLTJmtTXzWs84e-</t>
  </si>
  <si>
    <t>https://docs.google.com/forms/d/e/1FAIpQLSeEYwFnViiqk1AbexVe1VDR73UApmeuvfn6Yr2vN8WXjwGu2Q/viewform?edit2=2_ABaOnuemvJzrXuTJbYHxJtcdNu9Dh_cLj1izQDn3gKD8n3ssma4b5f-XmUtaNlFdwYartoI&amp;source=documentstudio&amp;timestamp=1737446225004</t>
  </si>
  <si>
    <t>2_ABaOnuemvJzrXuTJbYHxJtcdNu9Dh_cLj1izQDn3gKD8n3ssma4b5f-XmUtaNlFdwYartoI</t>
  </si>
  <si>
    <t>https://drive.google.com/open?id=1RXx0CBrGJBADO2Mnw5SDCfm74I-o7WiO</t>
  </si>
  <si>
    <t>https://docs.google.com/forms/d/e/1FAIpQLSeEYwFnViiqk1AbexVe1VDR73UApmeuvfn6Yr2vN8WXjwGu2Q/viewform?edit2=2_ABaOnufZvCLOvefDvns7NWCbQuy6dQ9GdGXlQISEoF3Q2KZZjP7LIPH3Xez3OHqjyQcD3Fs&amp;source=documentstudio&amp;timestamp=1737446273239</t>
  </si>
  <si>
    <t>2_ABaOnufZvCLOvefDvns7NWCbQuy6dQ9GdGXlQISEoF3Q2KZZjP7LIPH3Xez3OHqjyQcD3Fs</t>
  </si>
  <si>
    <t>https://drive.google.com/open?id=1oXZym5h9ht7-xQEbtojsnId9uHTF3PKW</t>
  </si>
  <si>
    <t>https://docs.google.com/forms/d/e/1FAIpQLSeEYwFnViiqk1AbexVe1VDR73UApmeuvfn6Yr2vN8WXjwGu2Q/viewform?edit2=2_ABaOnudArQTpJyVeO7WFL1cmVjrb5EF7qDBgXsuYGN49ZjeWESaiLa8FBgL-o3-tN98wUIk&amp;source=documentstudio&amp;timestamp=1737446294747</t>
  </si>
  <si>
    <t>2_ABaOnudArQTpJyVeO7WFL1cmVjrb5EF7qDBgXsuYGN49ZjeWESaiLa8FBgL-o3-tN98wUIk</t>
  </si>
  <si>
    <t>https://drive.google.com/open?id=1IHFVVQEpXm7GmJyi1NoO5KqbdkKt895Y</t>
  </si>
  <si>
    <t>https://docs.google.com/forms/d/e/1FAIpQLSeEYwFnViiqk1AbexVe1VDR73UApmeuvfn6Yr2vN8WXjwGu2Q/viewform?edit2=2_ABaOnufhi66xMXl5dsPn3yMgtwreiy5gJbTqCDmXAvCUNERu4fUzlY1lF2ruhAf94F92V_Q&amp;source=documentstudio&amp;timestamp=1737446337553</t>
  </si>
  <si>
    <t>2_ABaOnufhi66xMXl5dsPn3yMgtwreiy5gJbTqCDmXAvCUNERu4fUzlY1lF2ruhAf94F92V_Q</t>
  </si>
  <si>
    <t>https://drive.google.com/open?id=1VCbklcK1g4o66Jj0q5puYrscm10IrIsx</t>
  </si>
  <si>
    <t>https://docs.google.com/forms/d/e/1FAIpQLSeEYwFnViiqk1AbexVe1VDR73UApmeuvfn6Yr2vN8WXjwGu2Q/viewform?edit2=2_ABaOnuek0fOuYIyrx8TseK3CgxgE8CF7OlpwYiUL4m8lnVPLXCGcDHXXMr319lpgD_ISVFo&amp;source=documentstudio&amp;timestamp=1737446339933</t>
  </si>
  <si>
    <t>2_ABaOnuek0fOuYIyrx8TseK3CgxgE8CF7OlpwYiUL4m8lnVPLXCGcDHXXMr319lpgD_ISVFo</t>
  </si>
  <si>
    <t>https://drive.google.com/open?id=1qICJ77gx1joOZk3HZ0ryJ-N_CQlw19Oz</t>
  </si>
  <si>
    <t>https://docs.google.com/forms/d/e/1FAIpQLSeEYwFnViiqk1AbexVe1VDR73UApmeuvfn6Yr2vN8WXjwGu2Q/viewform?edit2=2_ABaOnudcB3z5AV4DlYgvjdypBYF5TW9SImjbjPGbw9rzZ4ltqETDnmTFuFI_o2J5SwYa5-g&amp;source=documentstudio&amp;timestamp=1737446480279</t>
  </si>
  <si>
    <t>2_ABaOnudcB3z5AV4DlYgvjdypBYF5TW9SImjbjPGbw9rzZ4ltqETDnmTFuFI_o2J5SwYa5-g</t>
  </si>
  <si>
    <t>https://drive.google.com/open?id=19asjjLFDZWnoXePjZTXXvgRlteLmE8-O</t>
  </si>
  <si>
    <t>https://docs.google.com/forms/d/e/1FAIpQLSeEYwFnViiqk1AbexVe1VDR73UApmeuvfn6Yr2vN8WXjwGu2Q/viewform?edit2=2_ABaOnufPb3oXAJjiWdMQW74nkY7L-8E8CsPfpQr7DBBieeo2HMUZk4dsojwhnORVPYQAKbw&amp;source=documentstudio&amp;timestamp=1737446480520</t>
  </si>
  <si>
    <t>2_ABaOnufPb3oXAJjiWdMQW74nkY7L-8E8CsPfpQr7DBBieeo2HMUZk4dsojwhnORVPYQAKbw</t>
  </si>
  <si>
    <t>https://drive.google.com/open?id=1S7XdtZ9kg_3wl03OuvfrWLo12yCsFb__</t>
  </si>
  <si>
    <t>https://docs.google.com/forms/d/e/1FAIpQLSeEYwFnViiqk1AbexVe1VDR73UApmeuvfn6Yr2vN8WXjwGu2Q/viewform?edit2=2_ABaOnueNR3DpHwgnoMAN6s0ekCqi0e0f7iVjqKRpstXD8EUEN5tB-2P8Ixy5BYScwrD2pEY&amp;source=documentstudio&amp;timestamp=1737446534314</t>
  </si>
  <si>
    <t>2_ABaOnueNR3DpHwgnoMAN6s0ekCqi0e0f7iVjqKRpstXD8EUEN5tB-2P8Ixy5BYScwrD2pEY</t>
  </si>
  <si>
    <t>https://drive.google.com/open?id=10oWgqefEZWX_-2Sflj0qeF2eJd1PMyC2</t>
  </si>
  <si>
    <t>https://docs.google.com/forms/d/e/1FAIpQLSeEYwFnViiqk1AbexVe1VDR73UApmeuvfn6Yr2vN8WXjwGu2Q/viewform?edit2=2_ABaOnue5mokNa-DoTnveAwghJq8fN0QINKwgVtU5Xfx1NUV0XKQ1-7yTmEsH5gmZGmd3JOY&amp;source=documentstudio&amp;timestamp=1737446559614</t>
  </si>
  <si>
    <t>2_ABaOnue5mokNa-DoTnveAwghJq8fN0QINKwgVtU5Xfx1NUV0XKQ1-7yTmEsH5gmZGmd3JOY</t>
  </si>
  <si>
    <t>https://drive.google.com/open?id=1lQt4Ys25HQcJAJy_71joTCGbPAyH5ePc</t>
  </si>
  <si>
    <t>https://docs.google.com/forms/d/e/1FAIpQLSeEYwFnViiqk1AbexVe1VDR73UApmeuvfn6Yr2vN8WXjwGu2Q/viewform?edit2=2_ABaOnueM-fw-KDB8GRRVSpPqIgajYujVjpa1BVf6wvWNW8TXeMs3dnzzkARfBCEna1yrFak&amp;source=documentstudio&amp;timestamp=1737446685303</t>
  </si>
  <si>
    <t>2_ABaOnueM-fw-KDB8GRRVSpPqIgajYujVjpa1BVf6wvWNW8TXeMs3dnzzkARfBCEna1yrFak</t>
  </si>
  <si>
    <t>https://drive.google.com/open?id=1M9Gkbtdc-vygCOswuNpct3r4DIFo46i5</t>
  </si>
  <si>
    <t>https://docs.google.com/forms/d/e/1FAIpQLSeEYwFnViiqk1AbexVe1VDR73UApmeuvfn6Yr2vN8WXjwGu2Q/viewform?edit2=2_ABaOnueY4km8BlwEzUAuhyW8AiYXZiZw99qgS4qjzLy8e5HWjUbLqLzVQHjtbQ7WVoOWcTw&amp;source=documentstudio&amp;timestamp=1737446753049</t>
  </si>
  <si>
    <t>2_ABaOnueY4km8BlwEzUAuhyW8AiYXZiZw99qgS4qjzLy8e5HWjUbLqLzVQHjtbQ7WVoOWcTw</t>
  </si>
  <si>
    <t>https://drive.google.com/open?id=1vXWY0NhYBr6ARq3W0oA73t36nLNfbdes</t>
  </si>
  <si>
    <t>https://docs.google.com/forms/d/e/1FAIpQLSeEYwFnViiqk1AbexVe1VDR73UApmeuvfn6Yr2vN8WXjwGu2Q/viewform?edit2=2_ABaOnufM0TNarZJcmTQdhoCFy_HPwcbdfIVY4c5ABfCJLJ4bi9xnO7hnbbyn6u5J2Hx12EQ&amp;source=documentstudio&amp;timestamp=1737446850097</t>
  </si>
  <si>
    <t>2_ABaOnufM0TNarZJcmTQdhoCFy_HPwcbdfIVY4c5ABfCJLJ4bi9xnO7hnbbyn6u5J2Hx12EQ</t>
  </si>
  <si>
    <t>https://drive.google.com/open?id=1bCKGSBak_YvWZRespNgBADQukOdp_9wa</t>
  </si>
  <si>
    <t>https://docs.google.com/forms/d/e/1FAIpQLSeEYwFnViiqk1AbexVe1VDR73UApmeuvfn6Yr2vN8WXjwGu2Q/viewform?edit2=2_ABaOnudWoL2W4xSpIZVLpPtJ4dDpGjofDztu257b3QGx7-SSLW048ZQmQMz3VRPTvsaNHgQ&amp;source=documentstudio&amp;timestamp=1737446878914</t>
  </si>
  <si>
    <t>2_ABaOnudWoL2W4xSpIZVLpPtJ4dDpGjofDztu257b3QGx7-SSLW048ZQmQMz3VRPTvsaNHgQ</t>
  </si>
  <si>
    <t>https://drive.google.com/open?id=1eJaEEoQwlJSoDxps_5qEKdKU-ljAWCyA</t>
  </si>
  <si>
    <t>https://docs.google.com/forms/d/e/1FAIpQLSeEYwFnViiqk1AbexVe1VDR73UApmeuvfn6Yr2vN8WXjwGu2Q/viewform?edit2=2_ABaOnuctzlp75n08Xwo3bvMOp2LqfTqIoCBhCWfy1B4lXX3GpCNQRgjet36ZL2Ys1HjWF6w&amp;source=documentstudio&amp;timestamp=1737446935953</t>
  </si>
  <si>
    <t>2_ABaOnuctzlp75n08Xwo3bvMOp2LqfTqIoCBhCWfy1B4lXX3GpCNQRgjet36ZL2Ys1HjWF6w</t>
  </si>
  <si>
    <t>https://drive.google.com/open?id=1VAmDDJIIae_8LCryGRlrJnisawlwRs0F</t>
  </si>
  <si>
    <t>https://docs.google.com/forms/d/e/1FAIpQLSeEYwFnViiqk1AbexVe1VDR73UApmeuvfn6Yr2vN8WXjwGu2Q/viewform?edit2=2_ABaOnucI7GbX1j8b0ytbOUTsE7h-dxEyxaxMcPqXSCa-F0VNGSz85H1_AlWn0YWWc6tO0CA&amp;source=documentstudio&amp;timestamp=1737446964831</t>
  </si>
  <si>
    <t>2_ABaOnucI7GbX1j8b0ytbOUTsE7h-dxEyxaxMcPqXSCa-F0VNGSz85H1_AlWn0YWWc6tO0CA</t>
  </si>
  <si>
    <t>https://drive.google.com/open?id=1V2N2Gab6xXb8Z7KL9LTu1V-jcNpMGdAW</t>
  </si>
  <si>
    <t>https://docs.google.com/forms/d/e/1FAIpQLSeEYwFnViiqk1AbexVe1VDR73UApmeuvfn6Yr2vN8WXjwGu2Q/viewform?edit2=2_ABaOnudjtjt-thmJwPB_g_fcXGldVMCQzoOo1-Bm1YPBfqN9OHcxoH7Y9nKLCs6pupi0rkc&amp;source=documentstudio&amp;timestamp=1737447001388</t>
  </si>
  <si>
    <t>2_ABaOnudjtjt-thmJwPB_g_fcXGldVMCQzoOo1-Bm1YPBfqN9OHcxoH7Y9nKLCs6pupi0rkc</t>
  </si>
  <si>
    <t>https://drive.google.com/open?id=1AsSMnhSJwMtAyVEL7b0Fc47VhHZWmOPV</t>
  </si>
  <si>
    <t>https://docs.google.com/forms/d/e/1FAIpQLSeEYwFnViiqk1AbexVe1VDR73UApmeuvfn6Yr2vN8WXjwGu2Q/viewform?edit2=2_ABaOnufnla3IdzEtmnGXeSre6Ffi8pF-G9--BW_jv4AoIzshJZiOapI_M_OgxTXNqiuuvnc&amp;source=documentstudio&amp;timestamp=1737447029974</t>
  </si>
  <si>
    <t>2_ABaOnufnla3IdzEtmnGXeSre6Ffi8pF-G9--BW_jv4AoIzshJZiOapI_M_OgxTXNqiuuvnc</t>
  </si>
  <si>
    <t>https://drive.google.com/open?id=1h_EGDYw2A5f1YbcpLd_m6nNb6UhPGOk3</t>
  </si>
  <si>
    <t>https://docs.google.com/forms/d/e/1FAIpQLSeEYwFnViiqk1AbexVe1VDR73UApmeuvfn6Yr2vN8WXjwGu2Q/viewform?edit2=2_ABaOnucusApBCnBFHvFW4oj78no1sxSWskf1T1HZ2oooriF5gQr2km4nX6I14hd-D1AjfM4&amp;source=documentstudio&amp;timestamp=1737447052595</t>
  </si>
  <si>
    <t>2_ABaOnucusApBCnBFHvFW4oj78no1sxSWskf1T1HZ2oooriF5gQr2km4nX6I14hd-D1AjfM4</t>
  </si>
  <si>
    <t>https://drive.google.com/open?id=1eAvLtlsqBYY9JhnyqKjeryhsFAW9VMK2</t>
  </si>
  <si>
    <t>https://docs.google.com/forms/d/e/1FAIpQLSeEYwFnViiqk1AbexVe1VDR73UApmeuvfn6Yr2vN8WXjwGu2Q/viewform?edit2=2_ABaOnucQrprTvnfPB5qULSyzCXWyq-7jVB9uX5q7_xh215QPry4_n6TVh7qzh1tq25C6m5E&amp;source=documentstudio&amp;timestamp=1737447071361</t>
  </si>
  <si>
    <t>2_ABaOnucQrprTvnfPB5qULSyzCXWyq-7jVB9uX5q7_xh215QPry4_n6TVh7qzh1tq25C6m5E</t>
  </si>
  <si>
    <t>https://drive.google.com/open?id=18twyRapx3LQxb78HiCNi5-IaqcDcAmcw</t>
  </si>
  <si>
    <t>https://docs.google.com/forms/d/e/1FAIpQLSeEYwFnViiqk1AbexVe1VDR73UApmeuvfn6Yr2vN8WXjwGu2Q/viewform?edit2=2_ABaOnueFuQg2_ulXxY5UiFTKSC-JB6SphvW8tdaGajhGPWJaiIXsSNE-cGPRSJeWVT9_Nqk&amp;source=documentstudio&amp;timestamp=1737447119932</t>
  </si>
  <si>
    <t>2_ABaOnueFuQg2_ulXxY5UiFTKSC-JB6SphvW8tdaGajhGPWJaiIXsSNE-cGPRSJeWVT9_Nqk</t>
  </si>
  <si>
    <t>https://drive.google.com/open?id=1zlKaBRV4B8DGYpJzA9gLex8TFMQW8Rvl</t>
  </si>
  <si>
    <t>https://docs.google.com/forms/d/e/1FAIpQLSeEYwFnViiqk1AbexVe1VDR73UApmeuvfn6Yr2vN8WXjwGu2Q/viewform?edit2=2_ABaOnudtrB8m5WpFN-L2Z49aXSi5hVjNDjITsoTPBqDv7aJ8FKLNvU1i7t7C57xXSz1IbW4&amp;source=documentstudio&amp;timestamp=1737447500932</t>
  </si>
  <si>
    <t>2_ABaOnudtrB8m5WpFN-L2Z49aXSi5hVjNDjITsoTPBqDv7aJ8FKLNvU1i7t7C57xXSz1IbW4</t>
  </si>
  <si>
    <t>https://drive.google.com/open?id=1IJ76c0n4OQIf1UjZR0rDMxWnpG7gxOxe</t>
  </si>
  <si>
    <t>https://docs.google.com/forms/d/e/1FAIpQLSeEYwFnViiqk1AbexVe1VDR73UApmeuvfn6Yr2vN8WXjwGu2Q/viewform?edit2=2_ABaOnuf8I93dv37kvoUJ8HCuby-itnRUZIDd8Prb7I7NYNCTM50KrTIKfR_K6J3uRw6-Px4&amp;source=documentstudio&amp;timestamp=1737447537894</t>
  </si>
  <si>
    <t>2_ABaOnuf8I93dv37kvoUJ8HCuby-itnRUZIDd8Prb7I7NYNCTM50KrTIKfR_K6J3uRw6-Px4</t>
  </si>
  <si>
    <t>https://drive.google.com/open?id=1_A1XcVMX-E5Fogm6JVSEYHSnL1OylWus</t>
  </si>
  <si>
    <t>https://docs.google.com/forms/d/e/1FAIpQLSeEYwFnViiqk1AbexVe1VDR73UApmeuvfn6Yr2vN8WXjwGu2Q/viewform?edit2=2_ABaOnudLUmXZEA7xenLNxFY1WpsxSbDIoDf-qvckoXyM7-wLIlVTg__KI5vAXMBqgVhLYvw&amp;source=documentstudio&amp;timestamp=1737447572048</t>
  </si>
  <si>
    <t>2_ABaOnudLUmXZEA7xenLNxFY1WpsxSbDIoDf-qvckoXyM7-wLIlVTg__KI5vAXMBqgVhLYvw</t>
  </si>
  <si>
    <t>https://drive.google.com/open?id=1TjGMudVcqxzPj_Im6C0O1hgA5pCrJphb</t>
  </si>
  <si>
    <t>https://docs.google.com/forms/d/e/1FAIpQLSeEYwFnViiqk1AbexVe1VDR73UApmeuvfn6Yr2vN8WXjwGu2Q/viewform?edit2=2_ABaOnufLJ-vuVG23s_QIvYrVyopLkONnCaSQghDtK0kBO3-ZML2ZK23P8i19DcPZpyRivuY&amp;source=documentstudio&amp;timestamp=1737447714731</t>
  </si>
  <si>
    <t>2_ABaOnufLJ-vuVG23s_QIvYrVyopLkONnCaSQghDtK0kBO3-ZML2ZK23P8i19DcPZpyRivuY</t>
  </si>
  <si>
    <t>https://drive.google.com/open?id=1pU7BZSSz3-IFz5uX7SBPkJl6qEryL2LR</t>
  </si>
  <si>
    <t>https://docs.google.com/forms/d/e/1FAIpQLSeEYwFnViiqk1AbexVe1VDR73UApmeuvfn6Yr2vN8WXjwGu2Q/viewform?edit2=2_ABaOnudEiXpAs9EnIiqu8kvHJrCKVr-Wb4_XDszfxtl_fMrjxKUEZ6-u7mHhB93WJsU7TPo&amp;source=documentstudio&amp;timestamp=1737447749101</t>
  </si>
  <si>
    <t>2_ABaOnudEiXpAs9EnIiqu8kvHJrCKVr-Wb4_XDszfxtl_fMrjxKUEZ6-u7mHhB93WJsU7TPo</t>
  </si>
  <si>
    <t>https://drive.google.com/open?id=13sUkkuHhs1NW1mMiEnQ0aSA0sWqjVST4</t>
  </si>
  <si>
    <t>https://docs.google.com/forms/d/e/1FAIpQLSeEYwFnViiqk1AbexVe1VDR73UApmeuvfn6Yr2vN8WXjwGu2Q/viewform?edit2=2_ABaOnue3l7jfMeT8hOUCKe5TDelceG6Z6Qpr7Jil-EQehVOZnoIAsmu3eCGbf8XQWEQXRjo&amp;source=documentstudio&amp;timestamp=1737447780993</t>
  </si>
  <si>
    <t>2_ABaOnue3l7jfMeT8hOUCKe5TDelceG6Z6Qpr7Jil-EQehVOZnoIAsmu3eCGbf8XQWEQXRjo</t>
  </si>
  <si>
    <t>https://drive.google.com/open?id=1Z4GpKV_Q7ePOdH9WovaPwmmRMme2qFge</t>
  </si>
  <si>
    <t>https://docs.google.com/forms/d/e/1FAIpQLSeEYwFnViiqk1AbexVe1VDR73UApmeuvfn6Yr2vN8WXjwGu2Q/viewform?edit2=2_ABaOnuexgnNn5Mk1TnyV8M1IMX_OnEXjBvBzksidJqAkd5RJZISEW3wvjvPCsFs1RLZbM0w&amp;source=documentstudio&amp;timestamp=1737448826042</t>
  </si>
  <si>
    <t>2_ABaOnuexgnNn5Mk1TnyV8M1IMX_OnEXjBvBzksidJqAkd5RJZISEW3wvjvPCsFs1RLZbM0w</t>
  </si>
  <si>
    <t>https://drive.google.com/open?id=1r43cttSEc3tXPD3tfFR8vw4RP98F1Xtu</t>
  </si>
  <si>
    <t>https://docs.google.com/forms/d/e/1FAIpQLSeEYwFnViiqk1AbexVe1VDR73UApmeuvfn6Yr2vN8WXjwGu2Q/viewform?edit2=2_ABaOnuenb9iY8xcRI7pGg6LUtVDgeuckLMjLlpFt9TnrTuOBPtWojq8ygt7h3f_k5hY3p0o&amp;source=documentstudio&amp;timestamp=1737449113577</t>
  </si>
  <si>
    <t>2_ABaOnuenb9iY8xcRI7pGg6LUtVDgeuckLMjLlpFt9TnrTuOBPtWojq8ygt7h3f_k5hY3p0o</t>
  </si>
  <si>
    <t>https://drive.google.com/open?id=1XF9at2HZUi34s_s3eCMCVsVcdKm_fs1Q</t>
  </si>
  <si>
    <t>https://docs.google.com/forms/d/e/1FAIpQLSeEYwFnViiqk1AbexVe1VDR73UApmeuvfn6Yr2vN8WXjwGu2Q/viewform?edit2=2_ABaOnucC0m2XlvYHFW1fvZo7zjGQchFl6tYlLaqQhEePJLHLoicntXYAsYsZ98KGx4IFJpw&amp;source=documentstudio&amp;timestamp=1737449146880</t>
  </si>
  <si>
    <t>2_ABaOnucC0m2XlvYHFW1fvZo7zjGQchFl6tYlLaqQhEePJLHLoicntXYAsYsZ98KGx4IFJpw</t>
  </si>
  <si>
    <t>https://drive.google.com/open?id=1ILHL3Y375rAQBL1nw5I6mOIi7Y4eOaRO</t>
  </si>
  <si>
    <t>https://docs.google.com/forms/d/e/1FAIpQLSeEYwFnViiqk1AbexVe1VDR73UApmeuvfn6Yr2vN8WXjwGu2Q/viewform?edit2=2_ABaOnudpjtEU_-C-f721Y19MVtU3AjgwJbcCtmh3eb81gOV1hTD4Bwz-ABlJLbgrjBVHvUs&amp;source=documentstudio&amp;timestamp=1737449841446</t>
  </si>
  <si>
    <t>2_ABaOnudpjtEU_-C-f721Y19MVtU3AjgwJbcCtmh3eb81gOV1hTD4Bwz-ABlJLbgrjBVHvUs</t>
  </si>
  <si>
    <t>https://drive.google.com/open?id=1hqm29a53GszV9bnXXifxgf1VgAftTTty</t>
  </si>
  <si>
    <t>https://docs.google.com/forms/d/e/1FAIpQLSeEYwFnViiqk1AbexVe1VDR73UApmeuvfn6Yr2vN8WXjwGu2Q/viewform?edit2=2_ABaOnue16TilRITYh6DorW4MGvRIfs7_biWyGNfEBZ-Uf4Q7HojN3T59Ek_3rLlJ2DipyLM&amp;source=documentstudio&amp;timestamp=1737449904316</t>
  </si>
  <si>
    <t>2_ABaOnue16TilRITYh6DorW4MGvRIfs7_biWyGNfEBZ-Uf4Q7HojN3T59Ek_3rLlJ2DipyLM</t>
  </si>
  <si>
    <t>https://drive.google.com/open?id=1_YhQv6h3NqCtqbX38DkH_7bi49YLZMJN</t>
  </si>
  <si>
    <t>https://docs.google.com/forms/d/e/1FAIpQLSeEYwFnViiqk1AbexVe1VDR73UApmeuvfn6Yr2vN8WXjwGu2Q/viewform?edit2=2_ABaOnufYUExFu3tPjLKfbFsfGRhR8HWem0bE7qPPTOhtjT_VGibs24ZdzhUoPHSUf_NHSaY&amp;source=documentstudio&amp;timestamp=1737500509410</t>
  </si>
  <si>
    <t>2_ABaOnufYUExFu3tPjLKfbFsfGRhR8HWem0bE7qPPTOhtjT_VGibs24ZdzhUoPHSUf_NHSaY</t>
  </si>
  <si>
    <t>https://drive.google.com/open?id=11fUH6XuS59Ax4D4UodODbMrh_afpb1Kg</t>
  </si>
  <si>
    <t>https://docs.google.com/forms/d/e/1FAIpQLSeEYwFnViiqk1AbexVe1VDR73UApmeuvfn6Yr2vN8WXjwGu2Q/viewform?edit2=2_ABaOnufvE61zsAJOKrhMsvDT5ytSADNx4VAeW4cSiQkW-THjCj8Zd4UYQFvre-IZK6hXK74&amp;source=documentstudio&amp;timestamp=1737500544422</t>
  </si>
  <si>
    <t>2_ABaOnufvE61zsAJOKrhMsvDT5ytSADNx4VAeW4cSiQkW-THjCj8Zd4UYQFvre-IZK6hXK74</t>
  </si>
  <si>
    <t>https://drive.google.com/open?id=1dWaIhwDbSzyNfP8k-emnxXafkIVTlepa</t>
  </si>
  <si>
    <t>https://docs.google.com/forms/d/e/1FAIpQLSeEYwFnViiqk1AbexVe1VDR73UApmeuvfn6Yr2vN8WXjwGu2Q/viewform?edit2=2_ABaOnue-SCyPLaORNMu6IG8NYOQFriSfB3sJUzAizsUTdNW3iNZvPtZ7DoWh9-xQKF-aQn4&amp;source=documentstudio&amp;timestamp=1737509270372</t>
  </si>
  <si>
    <t>2_ABaOnue-SCyPLaORNMu6IG8NYOQFriSfB3sJUzAizsUTdNW3iNZvPtZ7DoWh9-xQKF-aQn4</t>
  </si>
  <si>
    <t>https://drive.google.com/open?id=1hdR5vYHOqffMY7KjhPlmnE0xM_P_M5Rp</t>
  </si>
  <si>
    <t>https://docs.google.com/forms/d/e/1FAIpQLSeEYwFnViiqk1AbexVe1VDR73UApmeuvfn6Yr2vN8WXjwGu2Q/viewform?edit2=2_ABaOnudihk5SX0YJxupyzwep3gY4WbM2Y3svNh-jE48XANi6kYE-ta2P1c4-CXu4MA4QesA&amp;source=documentstudio&amp;timestamp=1737509338635</t>
  </si>
  <si>
    <t>2_ABaOnudihk5SX0YJxupyzwep3gY4WbM2Y3svNh-jE48XANi6kYE-ta2P1c4-CXu4MA4QesA</t>
  </si>
  <si>
    <t>https://drive.google.com/open?id=1l8vJwet6V0z3H6fi-I5lBxDkNSUOPVRU</t>
  </si>
  <si>
    <t>https://docs.google.com/forms/d/e/1FAIpQLSeEYwFnViiqk1AbexVe1VDR73UApmeuvfn6Yr2vN8WXjwGu2Q/viewform?edit2=2_ABaOnudOI7jHpieKVEGm7YgYBML4EW2vizkQJSMZpLn-vx8TCsgJh7MhxdiZLVLSXyN-RK8&amp;source=documentstudio&amp;timestamp=1737511554164</t>
  </si>
  <si>
    <t>2_ABaOnudOI7jHpieKVEGm7YgYBML4EW2vizkQJSMZpLn-vx8TCsgJh7MhxdiZLVLSXyN-RK8</t>
  </si>
  <si>
    <t>https://drive.google.com/open?id=1NnHo_06l7B5h47Di9fnQb5zKkYiCNPtw</t>
  </si>
  <si>
    <t>https://docs.google.com/forms/d/e/1FAIpQLSeEYwFnViiqk1AbexVe1VDR73UApmeuvfn6Yr2vN8WXjwGu2Q/viewform?edit2=2_ABaOnudYiyyhal2US8gSsAbjE26RXGcCPX65BIoWDMwS877OYpXs2Vs5t_zj_YlTvR_sCwk&amp;source=documentstudio&amp;timestamp=1737514509203</t>
  </si>
  <si>
    <t>2_ABaOnudYiyyhal2US8gSsAbjE26RXGcCPX65BIoWDMwS877OYpXs2Vs5t_zj_YlTvR_sCwk</t>
  </si>
  <si>
    <t>https://drive.google.com/open?id=1W2-2cgBchuc7ZM00EuyX6CqEGmcmYIIT</t>
  </si>
  <si>
    <t>https://docs.google.com/forms/d/e/1FAIpQLSeEYwFnViiqk1AbexVe1VDR73UApmeuvfn6Yr2vN8WXjwGu2Q/viewform?edit2=2_ABaOnudgjdI9qVypsrHWz9KeagZsGaNrNYjcxOwpH1W4xxa9rSq6oymHvM2XtiGlA2nvN08&amp;source=documentstudio&amp;timestamp=1737515983842</t>
  </si>
  <si>
    <t>2_ABaOnudgjdI9qVypsrHWz9KeagZsGaNrNYjcxOwpH1W4xxa9rSq6oymHvM2XtiGlA2nvN08</t>
  </si>
  <si>
    <t>https://drive.google.com/open?id=1x9fjBIlK7JtLTj73XELhVa9PceaAV9yY</t>
  </si>
  <si>
    <t>https://docs.google.com/forms/d/e/1FAIpQLSeEYwFnViiqk1AbexVe1VDR73UApmeuvfn6Yr2vN8WXjwGu2Q/viewform?edit2=2_ABaOnufVOaKUNcOuRX7d2PlSOzW1xhBLd0O5IPPU34iWCj0lBVA51GoXPXMRRz5XLyHV5r8&amp;source=documentstudio&amp;timestamp=1737516022599</t>
  </si>
  <si>
    <t>2_ABaOnufVOaKUNcOuRX7d2PlSOzW1xhBLd0O5IPPU34iWCj0lBVA51GoXPXMRRz5XLyHV5r8</t>
  </si>
  <si>
    <t>https://drive.google.com/open?id=1cb1PWZjIlTxyy0BIeGQWRZ5xBnH6qGOx</t>
  </si>
  <si>
    <t>https://docs.google.com/forms/d/e/1FAIpQLSeEYwFnViiqk1AbexVe1VDR73UApmeuvfn6Yr2vN8WXjwGu2Q/viewform?edit2=2_ABaOnudRF4Qm_0gGH2CQdsAxZSoarBmy7j6XVgZYg12JcAp8igT8bd9xB-DhNfLfJng6UZk&amp;source=documentstudio&amp;timestamp=1738628595951</t>
  </si>
  <si>
    <t>2_ABaOnudRF4Qm_0gGH2CQdsAxZSoarBmy7j6XVgZYg12JcAp8igT8bd9xB-DhNfLfJng6UZk</t>
  </si>
  <si>
    <t>https://drive.google.com/open?id=10EI50ygau4DpCgvm7Me9F0euM7KWnAsG</t>
  </si>
  <si>
    <t>https://docs.google.com/forms/d/e/1FAIpQLSeEYwFnViiqk1AbexVe1VDR73UApmeuvfn6Yr2vN8WXjwGu2Q/viewform?edit2=2_ABaOnuerEjvKHM7OdA4A-No3BWeMulqDxv5R3LkJKUlB-oqwbZHu8zY2WqowRTsRSB1dluE&amp;source=documentstudio&amp;timestamp=1738630603889</t>
  </si>
  <si>
    <t>2_ABaOnuerEjvKHM7OdA4A-No3BWeMulqDxv5R3LkJKUlB-oqwbZHu8zY2WqowRTsRSB1dluE</t>
  </si>
  <si>
    <t>https://drive.google.com/open?id=19Uv1MKRPlGqopeeCO6GCxS6yM0qpDGac</t>
  </si>
  <si>
    <t>https://docs.google.com/forms/d/e/1FAIpQLSeEYwFnViiqk1AbexVe1VDR73UApmeuvfn6Yr2vN8WXjwGu2Q/viewform?edit2=2_ABaOnueOHqZRlv4jmleQVvXyi7uU6fuR14-BXrUI0hwiBfEAkRJeVszjFpVm6s1uiFQdV8o&amp;source=documentstudio&amp;timestamp=1738631060463</t>
  </si>
  <si>
    <t>2_ABaOnueOHqZRlv4jmleQVvXyi7uU6fuR14-BXrUI0hwiBfEAkRJeVszjFpVm6s1uiFQdV8o</t>
  </si>
  <si>
    <t>https://drive.google.com/open?id=18OkwcUz2RybHH0Oe0R8yT78xtzQSN5K_</t>
  </si>
  <si>
    <t>https://docs.google.com/forms/d/e/1FAIpQLSeEYwFnViiqk1AbexVe1VDR73UApmeuvfn6Yr2vN8WXjwGu2Q/viewform?edit2=2_ABaOnucz9t4NwLnl5lvfcfuTSl5fyIKuFgbEfMXU9u6syPsoC0mrCZs5DFHIJC3hpIv-Aio&amp;source=documentstudio&amp;timestamp=1739321644515</t>
  </si>
  <si>
    <t>2_ABaOnucz9t4NwLnl5lvfcfuTSl5fyIKuFgbEfMXU9u6syPsoC0mrCZs5DFHIJC3hpIv-Aio</t>
  </si>
  <si>
    <t>https://drive.google.com/open?id=12SoFMNlav0Vokxnp60C-wY6C6kYjlZXS</t>
  </si>
  <si>
    <t>https://docs.google.com/forms/d/e/1FAIpQLSeEYwFnViiqk1AbexVe1VDR73UApmeuvfn6Yr2vN8WXjwGu2Q/viewform?edit2=2_ABaOnueHJnj5RtXfEaLPFGtp_YNivZixcQwHoMck1IyYGOnvkSDxy2vIzPnkncZcCtO5u_k&amp;source=documentstudio&amp;timestamp=1739325817599</t>
  </si>
  <si>
    <t>2_ABaOnueHJnj5RtXfEaLPFGtp_YNivZixcQwHoMck1IyYGOnvkSDxy2vIzPnkncZcCtO5u_k</t>
  </si>
  <si>
    <t>Tahunan Dokumen Evaluasi</t>
  </si>
  <si>
    <t>https://drive.google.com/open?id=1zZ0kAG7GhJsUu73e1NB6FYhznyk9ss3y</t>
  </si>
  <si>
    <t>https://docs.google.com/forms/d/e/1FAIpQLSeEYwFnViiqk1AbexVe1VDR73UApmeuvfn6Yr2vN8WXjwGu2Q/viewform?edit2=2_ABaOnud2C0aof4OIBbelUBjyyFpM6ammdY6FQTEIvlQq2v_ZjcxszPY7u5VvX2W2JbaPKWs&amp;source=documentstudio&amp;timestamp=1739327469864</t>
  </si>
  <si>
    <t>2_ABaOnud2C0aof4OIBbelUBjyyFpM6ammdY6FQTEIvlQq2v_ZjcxszPY7u5VvX2W2JbaPKWs</t>
  </si>
  <si>
    <t>https://drive.google.com/open?id=12tqi4S1OrNt-bfhNnEysG4QAFQZpnAqd</t>
  </si>
  <si>
    <t>https://docs.google.com/forms/d/e/1FAIpQLSeEYwFnViiqk1AbexVe1VDR73UApmeuvfn6Yr2vN8WXjwGu2Q/viewform?edit2=2_ABaOnueje8PHTYDBWcqbME9W3mZ6mgrcT6aDN6_V5E1vogc-XUuJBqloWL6yjmEtgDlubwk&amp;source=documentstudio&amp;timestamp=1739327549731</t>
  </si>
  <si>
    <t>2_ABaOnueje8PHTYDBWcqbME9W3mZ6mgrcT6aDN6_V5E1vogc-XUuJBqloWL6yjmEtgDlubwk</t>
  </si>
  <si>
    <t>https://drive.google.com/open?id=1fm1qUNcigyBnVG7xbTE9_aSJdO3x9CTK</t>
  </si>
  <si>
    <t>https://docs.google.com/forms/d/e/1FAIpQLSeEYwFnViiqk1AbexVe1VDR73UApmeuvfn6Yr2vN8WXjwGu2Q/viewform?edit2=2_ABaOnucjuZ0HzvC5gbmNgDudAWO2PrPDIjiWNMb9HaFNu_a3atrf1KAh0w09G10pMEsejnY&amp;source=documentstudio&amp;timestamp=1739327605004</t>
  </si>
  <si>
    <t>2_ABaOnucjuZ0HzvC5gbmNgDudAWO2PrPDIjiWNMb9HaFNu_a3atrf1KAh0w09G10pMEsejnY</t>
  </si>
  <si>
    <t>https://drive.google.com/open?id=1-69SpU_SZ0N9bh24leZpGBqWIE4ifLfL</t>
  </si>
  <si>
    <t>https://docs.google.com/forms/d/e/1FAIpQLSeEYwFnViiqk1AbexVe1VDR73UApmeuvfn6Yr2vN8WXjwGu2Q/viewform?edit2=2_ABaOnucgST09PUGE07C0-sYMbDXZYEmquuMPHGKqWffXdaeQ8nUgyk4FuuSMI6O5Rf_IuVU&amp;source=documentstudio&amp;timestamp=1739327698989</t>
  </si>
  <si>
    <t>2_ABaOnucgST09PUGE07C0-sYMbDXZYEmquuMPHGKqWffXdaeQ8nUgyk4FuuSMI6O5Rf_IuVU</t>
  </si>
  <si>
    <t>https://drive.google.com/open?id=1OFVzFKGlbplM2ucP6c0u9mWCwxA8Fk-e</t>
  </si>
  <si>
    <t>https://docs.google.com/forms/d/e/1FAIpQLSeEYwFnViiqk1AbexVe1VDR73UApmeuvfn6Yr2vN8WXjwGu2Q/viewform?edit2=2_ABaOnufWs-LOKevtBJUzGLjm1Bez88Bt58PI0JoEV0wYfSaObQIYwpZXwL0YQI911lvepzw&amp;source=documentstudio&amp;timestamp=1739327725266</t>
  </si>
  <si>
    <t>2_ABaOnufWs-LOKevtBJUzGLjm1Bez88Bt58PI0JoEV0wYfSaObQIYwpZXwL0YQI911lvepzw</t>
  </si>
  <si>
    <t>https://drive.google.com/open?id=19vjDPZ3q1aYEA6Qk6Lc_oI8Vo0nZdCU9</t>
  </si>
  <si>
    <t>https://docs.google.com/forms/d/e/1FAIpQLSeEYwFnViiqk1AbexVe1VDR73UApmeuvfn6Yr2vN8WXjwGu2Q/viewform?edit2=2_ABaOnuexTV4Fx60ff0WpOb_Si-dSZRb5zBqVa8L32rQvPQfKMYW2bZ7BIL9V7fKVYzXe5es&amp;source=documentstudio&amp;timestamp=1739327740740</t>
  </si>
  <si>
    <t>2_ABaOnuexTV4Fx60ff0WpOb_Si-dSZRb5zBqVa8L32rQvPQfKMYW2bZ7BIL9V7fKVYzXe5es</t>
  </si>
  <si>
    <t>https://drive.google.com/open?id=1Aax0ZxK8AOo2Xrf2tPg4O7dlxQ77HvXF</t>
  </si>
  <si>
    <t>https://docs.google.com/forms/d/e/1FAIpQLSeEYwFnViiqk1AbexVe1VDR73UApmeuvfn6Yr2vN8WXjwGu2Q/viewform?edit2=2_ABaOnud7lcMVThSRO_5AXAkF2rDuz0Izkkcpwysay76VSX_ppXHFAsUJGrHEazVt0vtek7c&amp;source=documentstudio&amp;timestamp=1739327743653</t>
  </si>
  <si>
    <t>2_ABaOnud7lcMVThSRO_5AXAkF2rDuz0Izkkcpwysay76VSX_ppXHFAsUJGrHEazVt0vtek7c</t>
  </si>
  <si>
    <t>https://drive.google.com/open?id=14q9FH1cy__0A3VFzHcP52B1CexDDbXh8</t>
  </si>
  <si>
    <t>https://docs.google.com/forms/d/e/1FAIpQLSeEYwFnViiqk1AbexVe1VDR73UApmeuvfn6Yr2vN8WXjwGu2Q/viewform?edit2=2_ABaOnucDZs2fbo2dCmpy8GBGtodvli4JBUVlr6ygs4zZyPUiDLVbV_EwmJk5AaQRaP-_5WA&amp;source=documentstudio&amp;timestamp=1739327949450</t>
  </si>
  <si>
    <t>2_ABaOnucDZs2fbo2dCmpy8GBGtodvli4JBUVlr6ygs4zZyPUiDLVbV_EwmJk5AaQRaP-_5WA</t>
  </si>
  <si>
    <t>https://drive.google.com/open?id=1nN4TW_mjfjmW2KGhDtutGbI0fFHaCSg7</t>
  </si>
  <si>
    <t>https://docs.google.com/forms/d/e/1FAIpQLSeEYwFnViiqk1AbexVe1VDR73UApmeuvfn6Yr2vN8WXjwGu2Q/viewform?edit2=2_ABaOnudyBSXcIffPZYoUJb9Ts9236v8l5lkiVEU0hFgo2d5WaCacqxT0GhgPGs-14wgaNIU&amp;source=documentstudio&amp;timestamp=1739327965523</t>
  </si>
  <si>
    <t>2_ABaOnudyBSXcIffPZYoUJb9Ts9236v8l5lkiVEU0hFgo2d5WaCacqxT0GhgPGs-14wgaNIU</t>
  </si>
  <si>
    <t>https://drive.google.com/open?id=1u__klsuRz5Ze1QBJt9wrvg0gRXcOVtTu</t>
  </si>
  <si>
    <t>https://docs.google.com/forms/d/e/1FAIpQLSeEYwFnViiqk1AbexVe1VDR73UApmeuvfn6Yr2vN8WXjwGu2Q/viewform?edit2=2_ABaOnud-SiFi8o7eyLn55rsAMwW0HCucB2o5fuWWKn1U2zXFdnAZOTQ6PuBmhpKrwj5bREY&amp;source=documentstudio&amp;timestamp=1739327977094</t>
  </si>
  <si>
    <t>2_ABaOnud-SiFi8o7eyLn55rsAMwW0HCucB2o5fuWWKn1U2zXFdnAZOTQ6PuBmhpKrwj5bREY</t>
  </si>
  <si>
    <t>https://drive.google.com/open?id=1xRYV5MKlJsMCKmtuZpImXdHj2Mntu4sp</t>
  </si>
  <si>
    <t>https://docs.google.com/forms/d/e/1FAIpQLSeEYwFnViiqk1AbexVe1VDR73UApmeuvfn6Yr2vN8WXjwGu2Q/viewform?edit2=2_ABaOnueRBoc0nL2mbE7eBIxDsgiaPn_wCrqfwpuoXkAW4Z_ff7ogYNSJOCszQStO6G3ZjGA&amp;source=documentstudio&amp;timestamp=1739328007501</t>
  </si>
  <si>
    <t>2_ABaOnueRBoc0nL2mbE7eBIxDsgiaPn_wCrqfwpuoXkAW4Z_ff7ogYNSJOCszQStO6G3ZjGA</t>
  </si>
  <si>
    <t>https://drive.google.com/open?id=1WHDW1qyOj2O-jZPq1jhR9zI_DdEhzVw2</t>
  </si>
  <si>
    <t>https://docs.google.com/forms/d/e/1FAIpQLSeEYwFnViiqk1AbexVe1VDR73UApmeuvfn6Yr2vN8WXjwGu2Q/viewform?edit2=2_ABaOnucA8wOHUXG2jTPFfFwTINqRnjPk5xWR3uxArx0RaHXbM9h0BLtWgtZZRZLXzaintBM&amp;source=documentstudio&amp;timestamp=1739328023798</t>
  </si>
  <si>
    <t>2_ABaOnucA8wOHUXG2jTPFfFwTINqRnjPk5xWR3uxArx0RaHXbM9h0BLtWgtZZRZLXzaintBM</t>
  </si>
  <si>
    <t>https://drive.google.com/open?id=14Y4C4SC9zivR6ncZd1JP9-3Ih5UwRxki</t>
  </si>
  <si>
    <t>https://docs.google.com/forms/d/e/1FAIpQLSeEYwFnViiqk1AbexVe1VDR73UApmeuvfn6Yr2vN8WXjwGu2Q/viewform?edit2=2_ABaOnueS_JrkKu34_yR8L7n-_JmZCMEB9GCjRf03xyqq6nJ2rueay7RNTmuMyZgrst9gWzo&amp;source=documentstudio&amp;timestamp=1739328123066</t>
  </si>
  <si>
    <t>2_ABaOnueS_JrkKu34_yR8L7n-_JmZCMEB9GCjRf03xyqq6nJ2rueay7RNTmuMyZgrst9gWzo</t>
  </si>
  <si>
    <t>https://drive.google.com/open?id=1A6l_k8hUf5q5lcA4Q7fAEbCfMXEZOesj</t>
  </si>
  <si>
    <t>https://docs.google.com/forms/d/e/1FAIpQLSeEYwFnViiqk1AbexVe1VDR73UApmeuvfn6Yr2vN8WXjwGu2Q/viewform?edit2=2_ABaOnuc9Hl83oqtU1zm71UO_cqngSBZ4mKi0hpr76NI_HlvZt6TkOabtuyVZTrxI2IcAaDY&amp;source=documentstudio&amp;timestamp=1739328149643</t>
  </si>
  <si>
    <t>2_ABaOnuc9Hl83oqtU1zm71UO_cqngSBZ4mKi0hpr76NI_HlvZt6TkOabtuyVZTrxI2IcAaDY</t>
  </si>
  <si>
    <t>https://drive.google.com/open?id=1TffrhySvFqcSLGeQWxo-iG0wB3OUzvrF</t>
  </si>
  <si>
    <t>https://docs.google.com/forms/d/e/1FAIpQLSeEYwFnViiqk1AbexVe1VDR73UApmeuvfn6Yr2vN8WXjwGu2Q/viewform?edit2=2_ABaOnudlwga7MXSUa-1OljFMWcOvmsxGpokgKINleCEmVjY3Ye7Zb66x_VC9PhZNbTnCPfk&amp;source=documentstudio&amp;timestamp=1739328156868</t>
  </si>
  <si>
    <t>2_ABaOnudlwga7MXSUa-1OljFMWcOvmsxGpokgKINleCEmVjY3Ye7Zb66x_VC9PhZNbTnCPfk</t>
  </si>
  <si>
    <t>https://drive.google.com/open?id=1UlkG9KUdunJ7seGntcd_4MF--9NbKpe_</t>
  </si>
  <si>
    <t>https://docs.google.com/forms/d/e/1FAIpQLSeEYwFnViiqk1AbexVe1VDR73UApmeuvfn6Yr2vN8WXjwGu2Q/viewform?edit2=2_ABaOnueeCUmryocgtJDy1MJCZRGLKWiMM2AqfzUuw65gO6nuvBiHiVIY4Sm8TneqqzTzbVI&amp;source=documentstudio&amp;timestamp=1739328205483</t>
  </si>
  <si>
    <t>2_ABaOnueeCUmryocgtJDy1MJCZRGLKWiMM2AqfzUuw65gO6nuvBiHiVIY4Sm8TneqqzTzbVI</t>
  </si>
  <si>
    <t>https://drive.google.com/open?id=1M_eqoOd7tZi93d-pnlAB9tDdc-B1Jgon</t>
  </si>
  <si>
    <t>https://docs.google.com/forms/d/e/1FAIpQLSeEYwFnViiqk1AbexVe1VDR73UApmeuvfn6Yr2vN8WXjwGu2Q/viewform?edit2=2_ABaOnuc_P2HgnCcGz_MTjU_AqcHCcVMJdNVtk0G5FzWHGT0AUwoxS24WHXX2bL-GlJZrbvw&amp;source=documentstudio&amp;timestamp=1739328217805</t>
  </si>
  <si>
    <t>2_ABaOnuc_P2HgnCcGz_MTjU_AqcHCcVMJdNVtk0G5FzWHGT0AUwoxS24WHXX2bL-GlJZrbvw</t>
  </si>
  <si>
    <t>https://drive.google.com/open?id=1HXB5f4AAzLKf1k8tv9yIS_7EOvON0JzK</t>
  </si>
  <si>
    <t>https://docs.google.com/forms/d/e/1FAIpQLSeEYwFnViiqk1AbexVe1VDR73UApmeuvfn6Yr2vN8WXjwGu2Q/viewform?edit2=2_ABaOnudbTA8pFH5ZiYHp0CqoGcIBGINuOLuhPs-mbiTi1KaRskS5n6rbTdnlYxNKp2TMRdU&amp;source=documentstudio&amp;timestamp=1739328571276</t>
  </si>
  <si>
    <t>2_ABaOnudbTA8pFH5ZiYHp0CqoGcIBGINuOLuhPs-mbiTi1KaRskS5n6rbTdnlYxNKp2TMRdU</t>
  </si>
  <si>
    <t>https://drive.google.com/open?id=1hDMHtKNFRIfvZHY8sRF5rnLiHksdNwJO</t>
  </si>
  <si>
    <t>https://docs.google.com/forms/d/e/1FAIpQLSeEYwFnViiqk1AbexVe1VDR73UApmeuvfn6Yr2vN8WXjwGu2Q/viewform?edit2=2_ABaOnueBprRAJD4aqDXMp3kjRdALATVfVbHX_ccgJsGgw3T2t1MPa8qxlLLasnEXon5Pnw4&amp;source=documentstudio&amp;timestamp=1739328641352</t>
  </si>
  <si>
    <t>2_ABaOnueBprRAJD4aqDXMp3kjRdALATVfVbHX_ccgJsGgw3T2t1MPa8qxlLLasnEXon5Pnw4</t>
  </si>
  <si>
    <t>https://drive.google.com/open?id=11t2eNuzsyNSgIelXcyBLLW84JGDG4RnV</t>
  </si>
  <si>
    <t>https://docs.google.com/forms/d/e/1FAIpQLSeEYwFnViiqk1AbexVe1VDR73UApmeuvfn6Yr2vN8WXjwGu2Q/viewform?edit2=2_ABaOnuc15WVgqqoWfbv709qb8pO0-Zs3MahRfm9ER1dIaEyiJNg9DGEXTQspCIXQPLz4ZMk&amp;source=documentstudio&amp;timestamp=1739328747509</t>
  </si>
  <si>
    <t>2_ABaOnuc15WVgqqoWfbv709qb8pO0-Zs3MahRfm9ER1dIaEyiJNg9DGEXTQspCIXQPLz4ZMk</t>
  </si>
  <si>
    <t>https://drive.google.com/open?id=1OkpeycHaoU8aYryeWnyAfldvqDWttyxk</t>
  </si>
  <si>
    <t>https://docs.google.com/forms/d/e/1FAIpQLSeEYwFnViiqk1AbexVe1VDR73UApmeuvfn6Yr2vN8WXjwGu2Q/viewform?edit2=2_ABaOnufHvS3Soi-qU2MHaod4otTJCtQnTfoEGiVm1_go1rX0I3DfSvHccVIrWwNtZJQfOyE&amp;source=documentstudio&amp;timestamp=1739328784605</t>
  </si>
  <si>
    <t>2_ABaOnufHvS3Soi-qU2MHaod4otTJCtQnTfoEGiVm1_go1rX0I3DfSvHccVIrWwNtZJQfOyE</t>
  </si>
  <si>
    <t>https://drive.google.com/open?id=1JFBMU9Taks5j2w7OPI7C_tZ1F52insKn</t>
  </si>
  <si>
    <t>https://docs.google.com/forms/d/e/1FAIpQLSeEYwFnViiqk1AbexVe1VDR73UApmeuvfn6Yr2vN8WXjwGu2Q/viewform?edit2=2_ABaOnucxVHv7yEgndYYoNml9Mw2IU3fHH7tnBRG_jET2bBOwrQi4blBhwFFRYeKp5OntAVA&amp;source=documentstudio&amp;timestamp=1739328791381</t>
  </si>
  <si>
    <t>2_ABaOnucxVHv7yEgndYYoNml9Mw2IU3fHH7tnBRG_jET2bBOwrQi4blBhwFFRYeKp5OntAVA</t>
  </si>
  <si>
    <t>https://drive.google.com/open?id=1cf8E8WD1KubBzbWzqJloULjiODFoFvXU</t>
  </si>
  <si>
    <t>https://docs.google.com/forms/d/e/1FAIpQLSeEYwFnViiqk1AbexVe1VDR73UApmeuvfn6Yr2vN8WXjwGu2Q/viewform?edit2=2_ABaOnufg8ksRVDST06ig_8lF89DexNrRkeBWxzVV8shcL5DsDrua72nPFu2o7X-orGlG4xY&amp;source=documentstudio&amp;timestamp=1739328814877</t>
  </si>
  <si>
    <t>2_ABaOnufg8ksRVDST06ig_8lF89DexNrRkeBWxzVV8shcL5DsDrua72nPFu2o7X-orGlG4xY</t>
  </si>
  <si>
    <t>https://drive.google.com/open?id=1lSNI3uV0NizPqWfyQe7ik_fBn7Yvbd53</t>
  </si>
  <si>
    <t>https://docs.google.com/forms/d/e/1FAIpQLSeEYwFnViiqk1AbexVe1VDR73UApmeuvfn6Yr2vN8WXjwGu2Q/viewform?edit2=2_ABaOnudG_KXH8SuG8UsbMNYU1qKOxAOd8JOKhTIPPH6QJN1mfxWv71-15IBuQDlftAFqRFM&amp;source=documentstudio&amp;timestamp=1739328836124</t>
  </si>
  <si>
    <t>2_ABaOnudG_KXH8SuG8UsbMNYU1qKOxAOd8JOKhTIPPH6QJN1mfxWv71-15IBuQDlftAFqRFM</t>
  </si>
  <si>
    <t>https://drive.google.com/open?id=1Xj7XlMtL-rx2OlG4XBkMK_1EkgHW3edq</t>
  </si>
  <si>
    <t>https://docs.google.com/forms/d/e/1FAIpQLSeEYwFnViiqk1AbexVe1VDR73UApmeuvfn6Yr2vN8WXjwGu2Q/viewform?edit2=2_ABaOnucf6b2hvtlUAdgcs5Zdsofy-DunZTxRRjHn7eXFB8YgLxGC9ckX66y3jLhTVuR__98&amp;source=documentstudio&amp;timestamp=1739328851681</t>
  </si>
  <si>
    <t>2_ABaOnucf6b2hvtlUAdgcs5Zdsofy-DunZTxRRjHn7eXFB8YgLxGC9ckX66y3jLhTVuR__98</t>
  </si>
  <si>
    <t>https://drive.google.com/open?id=13JyY7alukHEW56IsbZYAvj6Rsstcl_kh</t>
  </si>
  <si>
    <t>https://docs.google.com/forms/d/e/1FAIpQLSeEYwFnViiqk1AbexVe1VDR73UApmeuvfn6Yr2vN8WXjwGu2Q/viewform?edit2=2_ABaOnudxpGs31QhP_VwMjMXmz3o5jpPrgPocVajUhv0Frh0AVUuVjTVC-kcqJlzDy9VFCAs&amp;source=documentstudio&amp;timestamp=1739328866371</t>
  </si>
  <si>
    <t>2_ABaOnudxpGs31QhP_VwMjMXmz3o5jpPrgPocVajUhv0Frh0AVUuVjTVC-kcqJlzDy9VFCAs</t>
  </si>
  <si>
    <t>https://drive.google.com/open?id=1Fd2F8XPXYRcvo8fs4C25zb6NecS98O4Y</t>
  </si>
  <si>
    <t>https://docs.google.com/forms/d/e/1FAIpQLSeEYwFnViiqk1AbexVe1VDR73UApmeuvfn6Yr2vN8WXjwGu2Q/viewform?edit2=2_ABaOnudcpIQLNvQT6YdUMAOXT1dya32p4Br_yLQ8YuERgPzmh7-GCSQz33ECz4lYJ9arxww&amp;source=documentstudio&amp;timestamp=1739328896587</t>
  </si>
  <si>
    <t>2_ABaOnudcpIQLNvQT6YdUMAOXT1dya32p4Br_yLQ8YuERgPzmh7-GCSQz33ECz4lYJ9arxww</t>
  </si>
  <si>
    <t>https://drive.google.com/open?id=1X2gcGQn7e3Q47q_VWZsAd6X9Om4ux5t5</t>
  </si>
  <si>
    <t>https://docs.google.com/forms/d/e/1FAIpQLSeEYwFnViiqk1AbexVe1VDR73UApmeuvfn6Yr2vN8WXjwGu2Q/viewform?edit2=2_ABaOnueKerQUtK7erhNQNak2yNZs_o56eOQbmMaaHsbZTzGcNu7y6vUz4VKC7n0R5c2XF-k&amp;source=documentstudio&amp;timestamp=1739328923949</t>
  </si>
  <si>
    <t>2_ABaOnueKerQUtK7erhNQNak2yNZs_o56eOQbmMaaHsbZTzGcNu7y6vUz4VKC7n0R5c2XF-k</t>
  </si>
  <si>
    <t>https://drive.google.com/open?id=1n0lKw_q82VjcHY7xNuIc83Rx2j27yDZ1</t>
  </si>
  <si>
    <t>https://docs.google.com/forms/d/e/1FAIpQLSeEYwFnViiqk1AbexVe1VDR73UApmeuvfn6Yr2vN8WXjwGu2Q/viewform?edit2=2_ABaOnuf2JzE5ZzMrO314uiYXrJODI9pN0ULaoBu1SrPCOt9uyyQUAfFNfkxlDO8SeRm1bBU&amp;source=documentstudio&amp;timestamp=1739328927931</t>
  </si>
  <si>
    <t>2_ABaOnuf2JzE5ZzMrO314uiYXrJODI9pN0ULaoBu1SrPCOt9uyyQUAfFNfkxlDO8SeRm1bBU</t>
  </si>
  <si>
    <t>https://drive.google.com/open?id=1ZQOJNd9MiVUiiM6iiV9BXXvlJ4zrqj1B</t>
  </si>
  <si>
    <t>https://docs.google.com/forms/d/e/1FAIpQLSeEYwFnViiqk1AbexVe1VDR73UApmeuvfn6Yr2vN8WXjwGu2Q/viewform?edit2=2_ABaOnueEuCjPuvebjWMox4pkghYXNsbh4tL5fL5nNI4izQuJTOE8r1RwaQiOuph7yOOxy-U&amp;source=documentstudio&amp;timestamp=1739328938861</t>
  </si>
  <si>
    <t>2_ABaOnueEuCjPuvebjWMox4pkghYXNsbh4tL5fL5nNI4izQuJTOE8r1RwaQiOuph7yOOxy-U</t>
  </si>
  <si>
    <t>https://drive.google.com/open?id=1Xe4bH7D4WMXjF7P7-ppyyOLOOjXROYM3</t>
  </si>
  <si>
    <t>https://docs.google.com/forms/d/e/1FAIpQLSeEYwFnViiqk1AbexVe1VDR73UApmeuvfn6Yr2vN8WXjwGu2Q/viewform?edit2=2_ABaOnudA0i3rapvhvmzNCCI9bprQIgL1Qh4YvX8B1oxSj3_UYK2F21ruLACdaY4Fx2HoxhA&amp;source=documentstudio&amp;timestamp=1739328971527</t>
  </si>
  <si>
    <t>2_ABaOnudA0i3rapvhvmzNCCI9bprQIgL1Qh4YvX8B1oxSj3_UYK2F21ruLACdaY4Fx2HoxhA</t>
  </si>
  <si>
    <t>https://drive.google.com/open?id=1rEzf3Fta_OVKA7ujAEMILLqRItlEcKQp</t>
  </si>
  <si>
    <t>https://docs.google.com/forms/d/e/1FAIpQLSeEYwFnViiqk1AbexVe1VDR73UApmeuvfn6Yr2vN8WXjwGu2Q/viewform?edit2=2_ABaOnuc0Ye9lGFilx0Npu3QoQAI5T2gTOQ9oigVbLDdzGEYg8swBrcDbLob_9SP2iJX_GnY&amp;source=documentstudio&amp;timestamp=1739328974016</t>
  </si>
  <si>
    <t>2_ABaOnuc0Ye9lGFilx0Npu3QoQAI5T2gTOQ9oigVbLDdzGEYg8swBrcDbLob_9SP2iJX_GnY</t>
  </si>
  <si>
    <t>https://drive.google.com/open?id=1ol7SjbFAdlYMwDlN6mChN5STHUKfUnU8</t>
  </si>
  <si>
    <t>https://docs.google.com/forms/d/e/1FAIpQLSeEYwFnViiqk1AbexVe1VDR73UApmeuvfn6Yr2vN8WXjwGu2Q/viewform?edit2=2_ABaOnudu9xjvnXKUNtuQLNpOedYf26T4fbbgxOaZSw6S_fFxcvTaiFumtrKkw_5_pVAkp1o&amp;source=documentstudio&amp;timestamp=1739329004077</t>
  </si>
  <si>
    <t>2_ABaOnudu9xjvnXKUNtuQLNpOedYf26T4fbbgxOaZSw6S_fFxcvTaiFumtrKkw_5_pVAkp1o</t>
  </si>
  <si>
    <t>https://drive.google.com/open?id=1i-DG4uDME-6F95iSGfgzyjUBfsdW1MiQ</t>
  </si>
  <si>
    <t>https://docs.google.com/forms/d/e/1FAIpQLSeEYwFnViiqk1AbexVe1VDR73UApmeuvfn6Yr2vN8WXjwGu2Q/viewform?edit2=2_ABaOnuejs2L2GZDY0oHULx5_lXpGsmAYX8ICzbfzuS8Oj4bZtNmYDhug3qvffWtkcgyRwM0&amp;source=documentstudio&amp;timestamp=1739329094137</t>
  </si>
  <si>
    <t>2_ABaOnuejs2L2GZDY0oHULx5_lXpGsmAYX8ICzbfzuS8Oj4bZtNmYDhug3qvffWtkcgyRwM0</t>
  </si>
  <si>
    <t>https://drive.google.com/open?id=1mIJ73DgG32BGcjs7BGzJL9kYbxkwP_Wv</t>
  </si>
  <si>
    <t>https://docs.google.com/forms/d/e/1FAIpQLSeEYwFnViiqk1AbexVe1VDR73UApmeuvfn6Yr2vN8WXjwGu2Q/viewform?edit2=2_ABaOnueTx8RuO1BFBrCkJHHr9uc3ZSfZSxRYEgAQQGmW0SDi8QoI3sFWz-YrrlShya3KJwg&amp;source=documentstudio&amp;timestamp=1739329157332</t>
  </si>
  <si>
    <t>2_ABaOnueTx8RuO1BFBrCkJHHr9uc3ZSfZSxRYEgAQQGmW0SDi8QoI3sFWz-YrrlShya3KJwg</t>
  </si>
  <si>
    <t>https://drive.google.com/open?id=1juHfWTgufmNkJx8zEjhbR-mZfOwJMdMh</t>
  </si>
  <si>
    <t>https://docs.google.com/forms/d/e/1FAIpQLSeEYwFnViiqk1AbexVe1VDR73UApmeuvfn6Yr2vN8WXjwGu2Q/viewform?edit2=2_ABaOnufSTHL4L7PgktcOOT3tNCpB0H4YHPLi0p3Y1OgF7Yv1aAd5BxeP0s4XONf2yJCujWw&amp;source=documentstudio&amp;timestamp=1739329261798</t>
  </si>
  <si>
    <t>2_ABaOnufSTHL4L7PgktcOOT3tNCpB0H4YHPLi0p3Y1OgF7Yv1aAd5BxeP0s4XONf2yJCujWw</t>
  </si>
  <si>
    <t>https://drive.google.com/open?id=1OdC4NSvaoz2wyn3zjf8VtF-OHxYYmxjr</t>
  </si>
  <si>
    <t>https://docs.google.com/forms/d/e/1FAIpQLSeEYwFnViiqk1AbexVe1VDR73UApmeuvfn6Yr2vN8WXjwGu2Q/viewform?edit2=2_ABaOnucw8Lm--0Td4sJkOhWwIfgZuCaMEwPnjBzLpZOulbfekeIpiw_s_kEVHdHEtTCLfoI&amp;source=documentstudio&amp;timestamp=1739329295302</t>
  </si>
  <si>
    <t>2_ABaOnucw8Lm--0Td4sJkOhWwIfgZuCaMEwPnjBzLpZOulbfekeIpiw_s_kEVHdHEtTCLfoI</t>
  </si>
  <si>
    <t>https://drive.google.com/open?id=17Y6yTJXC3XIc3S3Km2a0B_1vIYy9FlOM</t>
  </si>
  <si>
    <t>https://docs.google.com/forms/d/e/1FAIpQLSeEYwFnViiqk1AbexVe1VDR73UApmeuvfn6Yr2vN8WXjwGu2Q/viewform?edit2=2_ABaOnufeqf_XcLhOf3YTjCURo4gY5-TQhXMAPn-vvBNiUycVDOPCwr_UEoZw8p6s05auo54&amp;source=documentstudio&amp;timestamp=1739329346915</t>
  </si>
  <si>
    <t>2_ABaOnufeqf_XcLhOf3YTjCURo4gY5-TQhXMAPn-vvBNiUycVDOPCwr_UEoZw8p6s05auo54</t>
  </si>
  <si>
    <t>https://drive.google.com/open?id=1-gHe9AT1l212MrO5aMvmZSZKxBbfmohy</t>
  </si>
  <si>
    <t>https://docs.google.com/forms/d/e/1FAIpQLSeEYwFnViiqk1AbexVe1VDR73UApmeuvfn6Yr2vN8WXjwGu2Q/viewform?edit2=2_ABaOnueAjkbvN5SfSqWS-i5BIoL-hB6JtukUccRMesguHpSWMzSUHTxrbOAG0eLWH5jg9jw&amp;source=documentstudio&amp;timestamp=1739329378831</t>
  </si>
  <si>
    <t>2_ABaOnueAjkbvN5SfSqWS-i5BIoL-hB6JtukUccRMesguHpSWMzSUHTxrbOAG0eLWH5jg9jw</t>
  </si>
  <si>
    <t>https://drive.google.com/open?id=1fI3_Qul2pMxjU1tDdUNeFmv-Twi_Sx8d</t>
  </si>
  <si>
    <t>https://docs.google.com/forms/d/e/1FAIpQLSeEYwFnViiqk1AbexVe1VDR73UApmeuvfn6Yr2vN8WXjwGu2Q/viewform?edit2=2_ABaOnuc-f-htJ4OfL7co4ZsPHNKnKEWJwjo3YUNnp0qvS4e7IsfO1jwrCavEvGxI1D7fwZc&amp;source=documentstudio&amp;timestamp=1739329401744</t>
  </si>
  <si>
    <t>2_ABaOnuc-f-htJ4OfL7co4ZsPHNKnKEWJwjo3YUNnp0qvS4e7IsfO1jwrCavEvGxI1D7fwZc</t>
  </si>
  <si>
    <t>https://drive.google.com/open?id=1qqrDJ4Xzduz5qcpib0d7GiPlHN2t6VJs</t>
  </si>
  <si>
    <t>https://docs.google.com/forms/d/e/1FAIpQLSeEYwFnViiqk1AbexVe1VDR73UApmeuvfn6Yr2vN8WXjwGu2Q/viewform?edit2=2_ABaOnuenHB_egvOTd-X6GDxb_O3TmoUm3echTZbSYayAXz7vwlF4_ueCaQbtCeZGAptqAI0&amp;source=documentstudio&amp;timestamp=1739329406499</t>
  </si>
  <si>
    <t>2_ABaOnuenHB_egvOTd-X6GDxb_O3TmoUm3echTZbSYayAXz7vwlF4_ueCaQbtCeZGAptqAI0</t>
  </si>
  <si>
    <t>https://drive.google.com/open?id=13vRrt20slhetRd3Tpcfouj5YPYLtePWv</t>
  </si>
  <si>
    <t>https://docs.google.com/forms/d/e/1FAIpQLSeEYwFnViiqk1AbexVe1VDR73UApmeuvfn6Yr2vN8WXjwGu2Q/viewform?edit2=2_ABaOnueDLQVmKQER0MF05UJ8_q0fwi5gGPTNhY8ppgA_7VNi0cyply7IhZNPR4zuaNuDAxY&amp;source=documentstudio&amp;timestamp=1739329431314</t>
  </si>
  <si>
    <t>2_ABaOnueDLQVmKQER0MF05UJ8_q0fwi5gGPTNhY8ppgA_7VNi0cyply7IhZNPR4zuaNuDAxY</t>
  </si>
  <si>
    <t>https://drive.google.com/open?id=1iAGnCdZ_LPbXNnH0arabQXghoIPm5nF8</t>
  </si>
  <si>
    <t>https://docs.google.com/forms/d/e/1FAIpQLSeEYwFnViiqk1AbexVe1VDR73UApmeuvfn6Yr2vN8WXjwGu2Q/viewform?edit2=2_ABaOnufyDz4xhwcdj6JisC7S3YGgfTJMa-UYKY43PVn8JFVttOvO5yR6i38bfagLexl6ZwA&amp;source=documentstudio&amp;timestamp=1739329437626</t>
  </si>
  <si>
    <t>2_ABaOnufyDz4xhwcdj6JisC7S3YGgfTJMa-UYKY43PVn8JFVttOvO5yR6i38bfagLexl6ZwA</t>
  </si>
  <si>
    <t>https://drive.google.com/open?id=1Und2E0k_GX-6_8Y32IGXAoqItQ-u2hH-</t>
  </si>
  <si>
    <t>https://docs.google.com/forms/d/e/1FAIpQLSeEYwFnViiqk1AbexVe1VDR73UApmeuvfn6Yr2vN8WXjwGu2Q/viewform?edit2=2_ABaOnuecpaY3Ey9cBikRGIJEC4YkNfRDvGWj_SEgDyQEcBlOHEyWx_DhT2JYqNu-QJM_lb8&amp;source=documentstudio&amp;timestamp=1739329486252</t>
  </si>
  <si>
    <t>2_ABaOnuecpaY3Ey9cBikRGIJEC4YkNfRDvGWj_SEgDyQEcBlOHEyWx_DhT2JYqNu-QJM_lb8</t>
  </si>
  <si>
    <t>https://drive.google.com/open?id=1isaQ8CV4QcVSLGK8_gX_oEPtK7T51gd1</t>
  </si>
  <si>
    <t>https://docs.google.com/forms/d/e/1FAIpQLSeEYwFnViiqk1AbexVe1VDR73UApmeuvfn6Yr2vN8WXjwGu2Q/viewform?edit2=2_ABaOnudmpoShbEWCiegtcI5-OSBAY3lwhlEk-7W3fS8cXtBVw58JBZSsw4vAeW9x05SNUiQ&amp;source=documentstudio&amp;timestamp=1739329494963</t>
  </si>
  <si>
    <t>2_ABaOnudmpoShbEWCiegtcI5-OSBAY3lwhlEk-7W3fS8cXtBVw58JBZSsw4vAeW9x05SNUiQ</t>
  </si>
  <si>
    <t>https://drive.google.com/open?id=1oqLHhiwjzJPzqGBZjaYXYHkZooPLs5JN</t>
  </si>
  <si>
    <t>https://docs.google.com/forms/d/e/1FAIpQLSeEYwFnViiqk1AbexVe1VDR73UApmeuvfn6Yr2vN8WXjwGu2Q/viewform?edit2=2_ABaOnuedj7nEMIdJ6QCf5VDpwNeUIYprpf_3kvcmtj72pm_cVXePcUp8SST9RC3QkqzB_Ig&amp;source=documentstudio&amp;timestamp=1739329519878</t>
  </si>
  <si>
    <t>2_ABaOnuedj7nEMIdJ6QCf5VDpwNeUIYprpf_3kvcmtj72pm_cVXePcUp8SST9RC3QkqzB_Ig</t>
  </si>
  <si>
    <t>https://drive.google.com/open?id=1CJpvyuUUPL7LELpbjpBJiL9PHmSgFzSM</t>
  </si>
  <si>
    <t>https://docs.google.com/forms/d/e/1FAIpQLSeEYwFnViiqk1AbexVe1VDR73UApmeuvfn6Yr2vN8WXjwGu2Q/viewform?edit2=2_ABaOnucyYaXtH_N9LEl388pXjraPuGDU9wuhVDYH3nMdTIHaEKLcgJeR-j1rd1GMi_4eWJU&amp;source=documentstudio&amp;timestamp=1739329537308</t>
  </si>
  <si>
    <t>2_ABaOnucyYaXtH_N9LEl388pXjraPuGDU9wuhVDYH3nMdTIHaEKLcgJeR-j1rd1GMi_4eWJU</t>
  </si>
  <si>
    <t>https://drive.google.com/open?id=1DLXcxv-uwrIUxdf1HxaCyDN_44I7BPpG</t>
  </si>
  <si>
    <t>https://docs.google.com/forms/d/e/1FAIpQLSeEYwFnViiqk1AbexVe1VDR73UApmeuvfn6Yr2vN8WXjwGu2Q/viewform?edit2=2_ABaOnucKWBYPEfqP-UlqQn_Pn9670Gp_hYA8ATIfO38g7MNTmj6utDrgJH_1kxO-utFT0Eg&amp;source=documentstudio&amp;timestamp=1739329539114</t>
  </si>
  <si>
    <t>2_ABaOnucKWBYPEfqP-UlqQn_Pn9670Gp_hYA8ATIfO38g7MNTmj6utDrgJH_1kxO-utFT0Eg</t>
  </si>
  <si>
    <t>https://drive.google.com/open?id=1jU5w6wAUPzb0V0s-nmDqecMonfHaccvq</t>
  </si>
  <si>
    <t>https://docs.google.com/forms/d/e/1FAIpQLSeEYwFnViiqk1AbexVe1VDR73UApmeuvfn6Yr2vN8WXjwGu2Q/viewform?edit2=2_ABaOnuefkKjfaCOYDab_oBjGXRAOvadSsn97RMlBJSI7pYoUvhnD2tN3av6xVUrS0lbV9II&amp;source=documentstudio&amp;timestamp=1739329548382</t>
  </si>
  <si>
    <t>2_ABaOnuefkKjfaCOYDab_oBjGXRAOvadSsn97RMlBJSI7pYoUvhnD2tN3av6xVUrS0lbV9II</t>
  </si>
  <si>
    <t>https://drive.google.com/open?id=1qpFRi3BzZFtFHPTfP1WZIOk7_DxEFYYV</t>
  </si>
  <si>
    <t>https://docs.google.com/forms/d/e/1FAIpQLSeEYwFnViiqk1AbexVe1VDR73UApmeuvfn6Yr2vN8WXjwGu2Q/viewform?edit2=2_ABaOnuebPnoy5bGvZ6Uc87LWVyLPxd3okvTGlr0WNDezS2lxoNEAb465NiQZ7k-vLS6JUt8&amp;source=documentstudio&amp;timestamp=1739329571238</t>
  </si>
  <si>
    <t>2_ABaOnuebPnoy5bGvZ6Uc87LWVyLPxd3okvTGlr0WNDezS2lxoNEAb465NiQZ7k-vLS6JUt8</t>
  </si>
  <si>
    <t>https://drive.google.com/open?id=1AIw4Z0vPlDxLN8HubjSYvW3ccNV5-kAV</t>
  </si>
  <si>
    <t>https://docs.google.com/forms/d/e/1FAIpQLSeEYwFnViiqk1AbexVe1VDR73UApmeuvfn6Yr2vN8WXjwGu2Q/viewform?edit2=2_ABaOnueuCqACfqT1_23hbWiXIvmfclaCLqO021DxgI15UD3k32N_NElEBjXZvL868PwUF2k&amp;source=documentstudio&amp;timestamp=1739329572966</t>
  </si>
  <si>
    <t>2_ABaOnueuCqACfqT1_23hbWiXIvmfclaCLqO021DxgI15UD3k32N_NElEBjXZvL868PwUF2k</t>
  </si>
  <si>
    <t>https://drive.google.com/open?id=1Gx7OY2_UgddzbC3UbZNKeEuVW3qrlnQY</t>
  </si>
  <si>
    <t>https://docs.google.com/forms/d/e/1FAIpQLSeEYwFnViiqk1AbexVe1VDR73UApmeuvfn6Yr2vN8WXjwGu2Q/viewform?edit2=2_ABaOnufleGE2hyg8jHHTyztj6YvnRhBHU9vxjnwHvmpQNzpiPqfc0sfMy32TaW2WbKDCj98&amp;source=documentstudio&amp;timestamp=1739329583688</t>
  </si>
  <si>
    <t>2_ABaOnufleGE2hyg8jHHTyztj6YvnRhBHU9vxjnwHvmpQNzpiPqfc0sfMy32TaW2WbKDCj98</t>
  </si>
  <si>
    <t>https://drive.google.com/open?id=1pIXj5YuYN0VpUvpqk-8MdzvlpzR1BTMD</t>
  </si>
  <si>
    <t>https://docs.google.com/forms/d/e/1FAIpQLSeEYwFnViiqk1AbexVe1VDR73UApmeuvfn6Yr2vN8WXjwGu2Q/viewform?edit2=2_ABaOnucKsWdtFKXLgwNzl39cG2dc7Sox69kAN_IJZw2Idf5Rt6IKp21lx7Sw54sAOuc6GHk&amp;source=documentstudio&amp;timestamp=1739329611453</t>
  </si>
  <si>
    <t>2_ABaOnucKsWdtFKXLgwNzl39cG2dc7Sox69kAN_IJZw2Idf5Rt6IKp21lx7Sw54sAOuc6GHk</t>
  </si>
  <si>
    <t>https://drive.google.com/open?id=1jrooTJMjvF_TsnDcwQBHO9P9F-ggSlyA</t>
  </si>
  <si>
    <t>https://docs.google.com/forms/d/e/1FAIpQLSeEYwFnViiqk1AbexVe1VDR73UApmeuvfn6Yr2vN8WXjwGu2Q/viewform?edit2=2_ABaOnuePngUo_g2m4Ge37JhPah35Kz_oqmv3L0hEOJ0fM0p2AP6TcGh99lOx13wwRzNdkrs&amp;source=documentstudio&amp;timestamp=1739329646045</t>
  </si>
  <si>
    <t>2_ABaOnuePngUo_g2m4Ge37JhPah35Kz_oqmv3L0hEOJ0fM0p2AP6TcGh99lOx13wwRzNdkrs</t>
  </si>
  <si>
    <t>https://drive.google.com/open?id=1IhXuW64hLRPU1-z8KL49yQmga_mY3scK</t>
  </si>
  <si>
    <t>https://docs.google.com/forms/d/e/1FAIpQLSeEYwFnViiqk1AbexVe1VDR73UApmeuvfn6Yr2vN8WXjwGu2Q/viewform?edit2=2_ABaOnuc4JjrmyoL_URDOeESzA34klnU5mQE5c8fghlMKdcwYsEk8GZSvb4HHMjjA4IKBW0E&amp;source=documentstudio&amp;timestamp=1739329679258</t>
  </si>
  <si>
    <t>2_ABaOnuc4JjrmyoL_URDOeESzA34klnU5mQE5c8fghlMKdcwYsEk8GZSvb4HHMjjA4IKBW0E</t>
  </si>
  <si>
    <t>https://drive.google.com/open?id=1spPIFN0hVt3eOdSQ9A--wH2jNsR2Eh0Q</t>
  </si>
  <si>
    <t>https://docs.google.com/forms/d/e/1FAIpQLSeEYwFnViiqk1AbexVe1VDR73UApmeuvfn6Yr2vN8WXjwGu2Q/viewform?edit2=2_ABaOnufPjot_4MvqJiBlOctciXRIMu7NIRxJQ4gcm4UeZ0IAKuS1JlFs6MH8U3VWSn7bnZk&amp;source=documentstudio&amp;timestamp=1739329712897</t>
  </si>
  <si>
    <t>2_ABaOnufPjot_4MvqJiBlOctciXRIMu7NIRxJQ4gcm4UeZ0IAKuS1JlFs6MH8U3VWSn7bnZk</t>
  </si>
  <si>
    <t>https://drive.google.com/open?id=1zYnRBJbNao8EhyVp7qIt70FRpjO1y-oT</t>
  </si>
  <si>
    <t>https://docs.google.com/forms/d/e/1FAIpQLSeEYwFnViiqk1AbexVe1VDR73UApmeuvfn6Yr2vN8WXjwGu2Q/viewform?edit2=2_ABaOnufT9WuoIdUQhf8rCHcmhSuAxvMJRmgjsk3BnoSMIue5BaM7AETaiAftN_YohWu2qJ8&amp;source=documentstudio&amp;timestamp=1739330250007</t>
  </si>
  <si>
    <t>2_ABaOnufT9WuoIdUQhf8rCHcmhSuAxvMJRmgjsk3BnoSMIue5BaM7AETaiAftN_YohWu2qJ8</t>
  </si>
  <si>
    <t>https://drive.google.com/open?id=17paGon0A_nvtvPuGg87UhQTciOje0HOs</t>
  </si>
  <si>
    <t>https://docs.google.com/forms/d/e/1FAIpQLSeEYwFnViiqk1AbexVe1VDR73UApmeuvfn6Yr2vN8WXjwGu2Q/viewform?edit2=2_ABaOnudJH3899CL8E03VXUXteQuW6I9Wh55D9-rxeJWK8p2BAaZXSTHNKpY8t5HJDr-C8w0&amp;source=documentstudio&amp;timestamp=1739330290980</t>
  </si>
  <si>
    <t>2_ABaOnudJH3899CL8E03VXUXteQuW6I9Wh55D9-rxeJWK8p2BAaZXSTHNKpY8t5HJDr-C8w0</t>
  </si>
  <si>
    <t>Tahunan Penetapan</t>
  </si>
  <si>
    <t>https://drive.google.com/open?id=1Wb-80TmGg1o8BnDz3v6wHqGeHk1nO6EW</t>
  </si>
  <si>
    <t>https://docs.google.com/forms/d/e/1FAIpQLSeEYwFnViiqk1AbexVe1VDR73UApmeuvfn6Yr2vN8WXjwGu2Q/viewform?edit2=2_ABaOnuduF4LyPzjdy_eEn6K0XtveT737kDK1dV7zWlA-5joyhctADOn6EHwnprzweJXInuo&amp;source=documentstudio&amp;timestamp=1741331622370</t>
  </si>
  <si>
    <t>2_ABaOnuduF4LyPzjdy_eEn6K0XtveT737kDK1dV7zWlA-5joyhctADOn6EHwnprzweJXInuo</t>
  </si>
  <si>
    <t>https://drive.google.com/open?id=1rBXtT9_d1bZkUf4UXRK4V7V93FW3vJ2C</t>
  </si>
  <si>
    <t>https://docs.google.com/forms/d/e/1FAIpQLSeEYwFnViiqk1AbexVe1VDR73UApmeuvfn6Yr2vN8WXjwGu2Q/viewform?edit2=2_ABaOnuekXPk85yjkBApIFDI0kF_7uFeIuF7QEVMInSUxXHkBBdUt_-KBlOagTKn4qJkC5VM&amp;source=documentstudio&amp;timestamp=1741331758028</t>
  </si>
  <si>
    <t>2_ABaOnuekXPk85yjkBApIFDI0kF_7uFeIuF7QEVMInSUxXHkBBdUt_-KBlOagTKn4qJkC5VM</t>
  </si>
  <si>
    <t>Tahunan Penetapan Excel/IKI</t>
  </si>
  <si>
    <t>https://drive.google.com/open?id=1ZUC7oU02FHcrsOue0YlbdD6nhuV8hhc-</t>
  </si>
  <si>
    <t>https://docs.google.com/forms/d/e/1FAIpQLSeEYwFnViiqk1AbexVe1VDR73UApmeuvfn6Yr2vN8WXjwGu2Q/viewform?edit2=2_ABaOnucP7AALjpEstb_gC1zTX4_ADNXrcws8eb4HXO9vFdbnSQ4aezKmJQWRPsiFgdoPwDs&amp;source=documentstudio&amp;timestamp=1741331808060</t>
  </si>
  <si>
    <t>2_ABaOnucP7AALjpEstb_gC1zTX4_ADNXrcws8eb4HXO9vFdbnSQ4aezKmJQWRPsiFgdoPwDs</t>
  </si>
  <si>
    <t>https://drive.google.com/open?id=1Ri_aEbDMlkmmVwu75NehN1mxeiz24Z1d</t>
  </si>
  <si>
    <t>https://docs.google.com/forms/d/e/1FAIpQLSeEYwFnViiqk1AbexVe1VDR73UApmeuvfn6Yr2vN8WXjwGu2Q/viewform?edit2=2_ABaOnucj9vXRXDZ-9aYk0p4OUkY8fWLI4TFCm5nHhlqFk_mChRa_XHfcT1PiWej12hY5IRw&amp;source=documentstudio&amp;timestamp=1741332007771</t>
  </si>
  <si>
    <t>2_ABaOnucj9vXRXDZ-9aYk0p4OUkY8fWLI4TFCm5nHhlqFk_mChRa_XHfcT1PiWej12hY5IRw</t>
  </si>
  <si>
    <t>https://drive.google.com/open?id=15jwwx3Z3GMFl4gEvWrPs3Gmka04wbHXz</t>
  </si>
  <si>
    <t>https://docs.google.com/forms/d/e/1FAIpQLSeEYwFnViiqk1AbexVe1VDR73UApmeuvfn6Yr2vN8WXjwGu2Q/viewform?edit2=2_ABaOnueSc2v-xeYykY2nRd1cIavF5iP2qYf7h6NbsoZ6D7bYC6k8aDOSxcA3VOFKmOONrUs&amp;source=documentstudio&amp;timestamp=1741332041861</t>
  </si>
  <si>
    <t>2_ABaOnueSc2v-xeYykY2nRd1cIavF5iP2qYf7h6NbsoZ6D7bYC6k8aDOSxcA3VOFKmOONrUs</t>
  </si>
  <si>
    <t>https://drive.google.com/open?id=1QL9WGCPe3HqUcycPqRkc-37cKhhn_-yn</t>
  </si>
  <si>
    <t>https://docs.google.com/forms/d/e/1FAIpQLSeEYwFnViiqk1AbexVe1VDR73UApmeuvfn6Yr2vN8WXjwGu2Q/viewform?edit2=2_ABaOnud3WEL11qm0AEW1f2uJZ7PGWLd64p_hfts2aOl4tN7yjOIn5VrSbdfZBPgHcz10PW4&amp;source=documentstudio&amp;timestamp=1741332293164</t>
  </si>
  <si>
    <t>2_ABaOnud3WEL11qm0AEW1f2uJZ7PGWLd64p_hfts2aOl4tN7yjOIn5VrSbdfZBPgHcz10PW4</t>
  </si>
  <si>
    <t>https://drive.google.com/open?id=1VHJ0ogTVVaZIMmQjyugWg7SprOuCJ6t2</t>
  </si>
  <si>
    <t>https://docs.google.com/forms/d/e/1FAIpQLSeEYwFnViiqk1AbexVe1VDR73UApmeuvfn6Yr2vN8WXjwGu2Q/viewform?edit2=2_ABaOnud4ZPqHfc7y3Qqa1Wm-wG3fa85dxN2_D1qKweSUMurzCNvcPzAxiOzn6P9MK1Ri26w&amp;source=documentstudio&amp;timestamp=1741332347561</t>
  </si>
  <si>
    <t>2_ABaOnud4ZPqHfc7y3Qqa1Wm-wG3fa85dxN2_D1qKweSUMurzCNvcPzAxiOzn6P9MK1Ri26w</t>
  </si>
  <si>
    <t>https://drive.google.com/open?id=1C0InqWINkkfNzueS4CMevZGKTCzMHuHI</t>
  </si>
  <si>
    <t>https://docs.google.com/forms/d/e/1FAIpQLSeEYwFnViiqk1AbexVe1VDR73UApmeuvfn6Yr2vN8WXjwGu2Q/viewform?edit2=2_ABaOnufDGAHG8zhFO9hfIw_Fxi_QtIJVMOGOFgjeQT6mQZ5zk8Yv1-wtIts6XG8f4yPLx7w&amp;source=documentstudio&amp;timestamp=1741332491642</t>
  </si>
  <si>
    <t>2_ABaOnufDGAHG8zhFO9hfIw_Fxi_QtIJVMOGOFgjeQT6mQZ5zk8Yv1-wtIts6XG8f4yPLx7w</t>
  </si>
  <si>
    <t>https://drive.google.com/open?id=1UnSbmKzFXgCHor1N9v9i8l3A_RKe5EaW</t>
  </si>
  <si>
    <t>https://docs.google.com/forms/d/e/1FAIpQLSeEYwFnViiqk1AbexVe1VDR73UApmeuvfn6Yr2vN8WXjwGu2Q/viewform?edit2=2_ABaOnuf6dRq7cph6CvTiq-ye3IjY3ozA9CZh2lpWkTgEzarlS4N5Su5KIgYLOtKB9hC7jqE&amp;source=documentstudio&amp;timestamp=1741332532693</t>
  </si>
  <si>
    <t>2_ABaOnuf6dRq7cph6CvTiq-ye3IjY3ozA9CZh2lpWkTgEzarlS4N5Su5KIgYLOtKB9hC7jqE</t>
  </si>
  <si>
    <t>https://drive.google.com/open?id=1Hm6pCpXA8AusWwN3xdt6uWpTpuI869Ds</t>
  </si>
  <si>
    <t>https://docs.google.com/forms/d/e/1FAIpQLSeEYwFnViiqk1AbexVe1VDR73UApmeuvfn6Yr2vN8WXjwGu2Q/viewform?edit2=2_ABaOnufqrqxLrz7RkExRTq7Ux-tueyML9o68p4F5IcysWYMHA0yInOLjFk7rfhWmybQF4jY&amp;source=documentstudio&amp;timestamp=1741332601238</t>
  </si>
  <si>
    <t>2_ABaOnufqrqxLrz7RkExRTq7Ux-tueyML9o68p4F5IcysWYMHA0yInOLjFk7rfhWmybQF4jY</t>
  </si>
  <si>
    <t>https://drive.google.com/open?id=1R1-za8BfFYGfsBhDvez3D9JAK9pN-qia</t>
  </si>
  <si>
    <t>https://docs.google.com/forms/d/e/1FAIpQLSeEYwFnViiqk1AbexVe1VDR73UApmeuvfn6Yr2vN8WXjwGu2Q/viewform?edit2=2_ABaOnudA2wn4DjcK5Sf4V0DFij39RaalHatFWSdEY-GFeEKKErOPs80YkLgIz2MqN67w02g&amp;source=documentstudio&amp;timestamp=1741332693807</t>
  </si>
  <si>
    <t>2_ABaOnudA2wn4DjcK5Sf4V0DFij39RaalHatFWSdEY-GFeEKKErOPs80YkLgIz2MqN67w02g</t>
  </si>
  <si>
    <t>https://drive.google.com/open?id=1A5C6oMxigocgsc9zdxIF6DZ6MAgEB6ql</t>
  </si>
  <si>
    <t>https://docs.google.com/forms/d/e/1FAIpQLSeEYwFnViiqk1AbexVe1VDR73UApmeuvfn6Yr2vN8WXjwGu2Q/viewform?edit2=2_ABaOnue1KfO80qEfbmykVHsO4lYu8mnEOdVvuP3WJfTndjEv5pSwPYTyjDCwhyy6TlCotFo&amp;source=documentstudio&amp;timestamp=1741332845662</t>
  </si>
  <si>
    <t>2_ABaOnue1KfO80qEfbmykVHsO4lYu8mnEOdVvuP3WJfTndjEv5pSwPYTyjDCwhyy6TlCotFo</t>
  </si>
  <si>
    <t>https://drive.google.com/open?id=1rvtG6iwjQQOzOCm7SdFBXrubDhDyND6U</t>
  </si>
  <si>
    <t>https://docs.google.com/forms/d/e/1FAIpQLSeEYwFnViiqk1AbexVe1VDR73UApmeuvfn6Yr2vN8WXjwGu2Q/viewform?edit2=2_ABaOnufJnImbMv5Dn5H8o7aVEiRKMsIhnncgHxsm26DsBIwD_1k0UsbCh9W5bGak7-ZEHos&amp;source=documentstudio&amp;timestamp=1741333027061</t>
  </si>
  <si>
    <t>2_ABaOnufJnImbMv5Dn5H8o7aVEiRKMsIhnncgHxsm26DsBIwD_1k0UsbCh9W5bGak7-ZEHos</t>
  </si>
  <si>
    <t>https://drive.google.com/open?id=1c_xFuVjoZ7nchVpis4_T6hfUFXknwYSz</t>
  </si>
  <si>
    <t>https://docs.google.com/forms/d/e/1FAIpQLSeEYwFnViiqk1AbexVe1VDR73UApmeuvfn6Yr2vN8WXjwGu2Q/viewform?edit2=2_ABaOnudS0kaTuSZyJGZlVPEFayFR7nPpiYVRLjJ0-rxBRYCaBiy3cb3hi0xTSZC5R_JzjDo&amp;source=documentstudio&amp;timestamp=1741333200653</t>
  </si>
  <si>
    <t>2_ABaOnudS0kaTuSZyJGZlVPEFayFR7nPpiYVRLjJ0-rxBRYCaBiy3cb3hi0xTSZC5R_JzjDo</t>
  </si>
  <si>
    <t>https://drive.google.com/open?id=1aLHx3BxAsKtCor3loblbHA63cHIe-GgY</t>
  </si>
  <si>
    <t>https://docs.google.com/forms/d/e/1FAIpQLSeEYwFnViiqk1AbexVe1VDR73UApmeuvfn6Yr2vN8WXjwGu2Q/viewform?edit2=2_ABaOnueE7zD0hWBCe9mpX_kpTevOaTYrNgaabxcVrZe_8l0vxlDj2EDklaxnw6MxGtixHbY&amp;source=documentstudio&amp;timestamp=1741333232011</t>
  </si>
  <si>
    <t>2_ABaOnueE7zD0hWBCe9mpX_kpTevOaTYrNgaabxcVrZe_8l0vxlDj2EDklaxnw6MxGtixHbY</t>
  </si>
  <si>
    <t>https://drive.google.com/open?id=17AcT9vu2muzgp7po6ar_jCpVq4idFdWh</t>
  </si>
  <si>
    <t>https://docs.google.com/forms/d/e/1FAIpQLSeEYwFnViiqk1AbexVe1VDR73UApmeuvfn6Yr2vN8WXjwGu2Q/viewform?edit2=2_ABaOnudgpGpHYrr2AUxd2oBTbtfuTr8l28kltfjtJPltKDbi0zoyTH2GllBbuyX5ou2K-js&amp;source=documentstudio&amp;timestamp=1741333611820</t>
  </si>
  <si>
    <t>2_ABaOnudgpGpHYrr2AUxd2oBTbtfuTr8l28kltfjtJPltKDbi0zoyTH2GllBbuyX5ou2K-js</t>
  </si>
  <si>
    <t>https://drive.google.com/open?id=1PTu51J3KTH88f29TirBOIeHa_RaBH3f8</t>
  </si>
  <si>
    <t>https://docs.google.com/forms/d/e/1FAIpQLSeEYwFnViiqk1AbexVe1VDR73UApmeuvfn6Yr2vN8WXjwGu2Q/viewform?edit2=2_ABaOnudrQOLYALvyKh0e8Uq725Zosi2Xta4eGRBe0tm2-LJ0UmzoXlu7za3IDZdT3-6y06A&amp;source=documentstudio&amp;timestamp=1741333620132</t>
  </si>
  <si>
    <t>2_ABaOnudrQOLYALvyKh0e8Uq725Zosi2Xta4eGRBe0tm2-LJ0UmzoXlu7za3IDZdT3-6y06A</t>
  </si>
  <si>
    <t>https://drive.google.com/open?id=1BCiJmB8EDxJGsIqkjoAvk1gyYsYwt92g</t>
  </si>
  <si>
    <t>https://docs.google.com/forms/d/e/1FAIpQLSeEYwFnViiqk1AbexVe1VDR73UApmeuvfn6Yr2vN8WXjwGu2Q/viewform?edit2=2_ABaOnufIHf78hXhM74YQzr8vvz-cHeoFI-wcUgF_bVJvUlULR2seEFef8upsB9XJuSkpA-g&amp;source=documentstudio&amp;timestamp=1741333643074</t>
  </si>
  <si>
    <t>2_ABaOnufIHf78hXhM74YQzr8vvz-cHeoFI-wcUgF_bVJvUlULR2seEFef8upsB9XJuSkpA-g</t>
  </si>
  <si>
    <t>https://drive.google.com/open?id=1lYhMKKzVADw_T1WGnUFvc4g-E7_e09MG</t>
  </si>
  <si>
    <t>https://docs.google.com/forms/d/e/1FAIpQLSeEYwFnViiqk1AbexVe1VDR73UApmeuvfn6Yr2vN8WXjwGu2Q/viewform?edit2=2_ABaOnueXiSAqfuAL78PNIeWrUOAUevwoqglFmUPliBL_0ZSt0VrpbEh3gURaBvJZy26AndU&amp;source=documentstudio&amp;timestamp=1741333648001</t>
  </si>
  <si>
    <t>2_ABaOnueXiSAqfuAL78PNIeWrUOAUevwoqglFmUPliBL_0ZSt0VrpbEh3gURaBvJZy26AndU</t>
  </si>
  <si>
    <t>https://drive.google.com/open?id=1b27mdIC_fEg4MhbU5D6WD1lQ4tj99xaA</t>
  </si>
  <si>
    <t>https://docs.google.com/forms/d/e/1FAIpQLSeEYwFnViiqk1AbexVe1VDR73UApmeuvfn6Yr2vN8WXjwGu2Q/viewform?edit2=2_ABaOnuer_2wNx6zOQqVTMifL_Kb9mnDXcHl8XvCOdLU8PO85HE2KeMvJxjSdamTkXuBgTy0&amp;source=documentstudio&amp;timestamp=1741333650648</t>
  </si>
  <si>
    <t>2_ABaOnuer_2wNx6zOQqVTMifL_Kb9mnDXcHl8XvCOdLU8PO85HE2KeMvJxjSdamTkXuBgTy0</t>
  </si>
  <si>
    <t>https://drive.google.com/open?id=1Kmmgb07SY_xrTgU8lWQ_6b6J41YuZc3F</t>
  </si>
  <si>
    <t>https://docs.google.com/forms/d/e/1FAIpQLSeEYwFnViiqk1AbexVe1VDR73UApmeuvfn6Yr2vN8WXjwGu2Q/viewform?edit2=2_ABaOnufsgELK8ZH6bzF-4wVf9sBEI8FMzKK_YRIuDCcpFA2H07Zl2p8Jw8wdxgziPWobbkA&amp;source=documentstudio&amp;timestamp=1741333681815</t>
  </si>
  <si>
    <t>2_ABaOnufsgELK8ZH6bzF-4wVf9sBEI8FMzKK_YRIuDCcpFA2H07Zl2p8Jw8wdxgziPWobbkA</t>
  </si>
  <si>
    <t>https://drive.google.com/open?id=1t0VAJJ8S7H8Ix8e4kmXxQnptTEcnPuqu</t>
  </si>
  <si>
    <t>https://docs.google.com/forms/d/e/1FAIpQLSeEYwFnViiqk1AbexVe1VDR73UApmeuvfn6Yr2vN8WXjwGu2Q/viewform?edit2=2_ABaOnuewHPDp2hm3v5mFgD9u9OGP_y5JoMfNZMl-9ZKz_aPc0aSJZxpx2Rqha-x52Jblpt0&amp;source=documentstudio&amp;timestamp=1741333887273</t>
  </si>
  <si>
    <t>2_ABaOnuewHPDp2hm3v5mFgD9u9OGP_y5JoMfNZMl-9ZKz_aPc0aSJZxpx2Rqha-x52Jblpt0</t>
  </si>
  <si>
    <t>https://drive.google.com/open?id=15KU6VwQiAg66y4sVpckNWaW0gIcDStMq</t>
  </si>
  <si>
    <t>https://docs.google.com/forms/d/e/1FAIpQLSeEYwFnViiqk1AbexVe1VDR73UApmeuvfn6Yr2vN8WXjwGu2Q/viewform?edit2=2_ABaOnudYdz93baaS4lW_R2X-STxocffhYVcYvg-PEFLPLooq8FzjpWKijrpAcBGh9O3In4A&amp;source=documentstudio&amp;timestamp=1741334042598</t>
  </si>
  <si>
    <t>2_ABaOnudYdz93baaS4lW_R2X-STxocffhYVcYvg-PEFLPLooq8FzjpWKijrpAcBGh9O3In4A</t>
  </si>
  <si>
    <t>https://drive.google.com/open?id=1-DEUnMVDS2bHRQFQrCabdmWXkXQ3VF_t</t>
  </si>
  <si>
    <t>https://docs.google.com/forms/d/e/1FAIpQLSeEYwFnViiqk1AbexVe1VDR73UApmeuvfn6Yr2vN8WXjwGu2Q/viewform?edit2=2_ABaOnue0jjZAlSnH103-ZvhiWjK8aCp0i-Pty3cMHylTeXQPo1XEJ6KtT8a2yYBCNHhl7e0&amp;source=documentstudio&amp;timestamp=1741334080583</t>
  </si>
  <si>
    <t>2_ABaOnue0jjZAlSnH103-ZvhiWjK8aCp0i-Pty3cMHylTeXQPo1XEJ6KtT8a2yYBCNHhl7e0</t>
  </si>
  <si>
    <t>https://drive.google.com/open?id=1OhR6VoqWxihceVd4W4Rg88Qg_5bkAwWS</t>
  </si>
  <si>
    <t>https://docs.google.com/forms/d/e/1FAIpQLSeEYwFnViiqk1AbexVe1VDR73UApmeuvfn6Yr2vN8WXjwGu2Q/viewform?edit2=2_ABaOnudkyBEAxCzBm8Hs32RHRsi9Vu0h5wn95zEL_-jVdxHkJYv9J_Q36IvPZMIKKVY4UCI&amp;source=documentstudio&amp;timestamp=1741334302446</t>
  </si>
  <si>
    <t>2_ABaOnudkyBEAxCzBm8Hs32RHRsi9Vu0h5wn95zEL_-jVdxHkJYv9J_Q36IvPZMIKKVY4UCI</t>
  </si>
  <si>
    <t>https://drive.google.com/open?id=1yRbHdtWq9fSaqmCV0I8f8GeTx-ZOAov4</t>
  </si>
  <si>
    <t>https://docs.google.com/forms/d/e/1FAIpQLSeEYwFnViiqk1AbexVe1VDR73UApmeuvfn6Yr2vN8WXjwGu2Q/viewform?edit2=2_ABaOnufv4PgEZxifwq05XcD59suO0xkn7kIA2UniQw7AJ826du1610bR53dhm4u8SMjDAyA&amp;source=documentstudio&amp;timestamp=1741334478430</t>
  </si>
  <si>
    <t>2_ABaOnufv4PgEZxifwq05XcD59suO0xkn7kIA2UniQw7AJ826du1610bR53dhm4u8SMjDAyA</t>
  </si>
  <si>
    <t>https://drive.google.com/open?id=1Pegk5ao5k1zfdPXB4AStdrhZLcvIMeAi</t>
  </si>
  <si>
    <t>https://docs.google.com/forms/d/e/1FAIpQLSeEYwFnViiqk1AbexVe1VDR73UApmeuvfn6Yr2vN8WXjwGu2Q/viewform?edit2=2_ABaOnufAtHW1BwULNIQ3rEnruWu2CpTbYa26H96Syg-M38sfgi3EL-ndSCxXR85LFZ02M4c&amp;source=documentstudio&amp;timestamp=1741334503717</t>
  </si>
  <si>
    <t>2_ABaOnufAtHW1BwULNIQ3rEnruWu2CpTbYa26H96Syg-M38sfgi3EL-ndSCxXR85LFZ02M4c</t>
  </si>
  <si>
    <t>https://drive.google.com/open?id=1t1FEjbC6s8YSrSm7t8-pMvZ_VEpfbryL</t>
  </si>
  <si>
    <t>https://docs.google.com/forms/d/e/1FAIpQLSeEYwFnViiqk1AbexVe1VDR73UApmeuvfn6Yr2vN8WXjwGu2Q/viewform?edit2=2_ABaOnue1OAHPL2hF3wN_xsjClObrhbXVXNSiqyfX2mLA0kwkeb4vBrKUiWlBdLFAq-M6G34&amp;source=documentstudio&amp;timestamp=1741334546235</t>
  </si>
  <si>
    <t>2_ABaOnue1OAHPL2hF3wN_xsjClObrhbXVXNSiqyfX2mLA0kwkeb4vBrKUiWlBdLFAq-M6G34</t>
  </si>
  <si>
    <t>https://drive.google.com/open?id=1YLEiuud69XVQoGKEcThfxwYpseU5nShf</t>
  </si>
  <si>
    <t>https://docs.google.com/forms/d/e/1FAIpQLSeEYwFnViiqk1AbexVe1VDR73UApmeuvfn6Yr2vN8WXjwGu2Q/viewform?edit2=2_ABaOnudmtnUrUmKaBIsr7vBuJMzVET3ynIMtQUqSYeO8uuBu7m4KHbS6T8XpqZFnzStA-kI&amp;source=documentstudio&amp;timestamp=1741334556205</t>
  </si>
  <si>
    <t>2_ABaOnudmtnUrUmKaBIsr7vBuJMzVET3ynIMtQUqSYeO8uuBu7m4KHbS6T8XpqZFnzStA-kI</t>
  </si>
  <si>
    <t>https://drive.google.com/open?id=1X51yVleE86_kicWaf0DfnzVl3tTmei3i</t>
  </si>
  <si>
    <t>https://docs.google.com/forms/d/e/1FAIpQLSeEYwFnViiqk1AbexVe1VDR73UApmeuvfn6Yr2vN8WXjwGu2Q/viewform?edit2=2_ABaOnucNe_K2wrNfn3_cBQ_9MAfZRHCe6xQ1YCU-hrdMNV1aOzOAZf6pyqWZUKdqLbeVmvQ&amp;source=documentstudio&amp;timestamp=1741334565828</t>
  </si>
  <si>
    <t>2_ABaOnucNe_K2wrNfn3_cBQ_9MAfZRHCe6xQ1YCU-hrdMNV1aOzOAZf6pyqWZUKdqLbeVmvQ</t>
  </si>
  <si>
    <t>https://drive.google.com/open?id=110MbxkLKzGJ7ypTHJuufIMlQ5hbcm5fb</t>
  </si>
  <si>
    <t>https://docs.google.com/forms/d/e/1FAIpQLSeEYwFnViiqk1AbexVe1VDR73UApmeuvfn6Yr2vN8WXjwGu2Q/viewform?edit2=2_ABaOnucjIx0toc5jUR8tWp7ifhsf-hGU67cJaEPMgiTpO7Dg3s-x2Qm4ajhopI8bAQuQsIk&amp;source=documentstudio&amp;timestamp=1741334612948</t>
  </si>
  <si>
    <t>2_ABaOnucjIx0toc5jUR8tWp7ifhsf-hGU67cJaEPMgiTpO7Dg3s-x2Qm4ajhopI8bAQuQsIk</t>
  </si>
  <si>
    <t>https://drive.google.com/open?id=1DHduHZ8I3VFipvl6J-shdOsyNnRKrFO2</t>
  </si>
  <si>
    <t>https://docs.google.com/forms/d/e/1FAIpQLSeEYwFnViiqk1AbexVe1VDR73UApmeuvfn6Yr2vN8WXjwGu2Q/viewform?edit2=2_ABaOnucOJq2yKu6BVreIikiOZgfZjF8fh6g9YeD6lpH95_oONJSqSt1Xtp-9Kn5AgE9Iqgw&amp;source=documentstudio&amp;timestamp=1741334641286</t>
  </si>
  <si>
    <t>2_ABaOnucOJq2yKu6BVreIikiOZgfZjF8fh6g9YeD6lpH95_oONJSqSt1Xtp-9Kn5AgE9Iqgw</t>
  </si>
  <si>
    <t>https://drive.google.com/open?id=1d3jK44bopHNmyCS2L_Dc73Vj8RUuKxG5</t>
  </si>
  <si>
    <t>https://docs.google.com/forms/d/e/1FAIpQLSeEYwFnViiqk1AbexVe1VDR73UApmeuvfn6Yr2vN8WXjwGu2Q/viewform?edit2=2_ABaOnudYO9Za0HlIsouo4q63IVzb773zbskLIEczO5d5WyIcBlA6FkECVQ_Um_wVbL0AviY&amp;source=documentstudio&amp;timestamp=1741334696815</t>
  </si>
  <si>
    <t>2_ABaOnudYO9Za0HlIsouo4q63IVzb773zbskLIEczO5d5WyIcBlA6FkECVQ_Um_wVbL0AviY</t>
  </si>
  <si>
    <t>https://drive.google.com/open?id=1gOejaMMMYBZoyQ1Xj_nJu60v6bGZF0Lz</t>
  </si>
  <si>
    <t>https://docs.google.com/forms/d/e/1FAIpQLSeEYwFnViiqk1AbexVe1VDR73UApmeuvfn6Yr2vN8WXjwGu2Q/viewform?edit2=2_ABaOnudWiqlwfS9q7NliThYgvrXSTDnTgDyzOtF4paAXLUe4jlZqaVLbxGEZYhsDqr_IefQ&amp;source=documentstudio&amp;timestamp=1741334734939</t>
  </si>
  <si>
    <t>2_ABaOnudWiqlwfS9q7NliThYgvrXSTDnTgDyzOtF4paAXLUe4jlZqaVLbxGEZYhsDqr_IefQ</t>
  </si>
  <si>
    <t>https://drive.google.com/open?id=1AWVBgWDVA_AOjoVF5N47bg_pS21V-GcK</t>
  </si>
  <si>
    <t>https://docs.google.com/forms/d/e/1FAIpQLSeEYwFnViiqk1AbexVe1VDR73UApmeuvfn6Yr2vN8WXjwGu2Q/viewform?edit2=2_ABaOnudBP927kTDMHPFpOu_CCtxfp53aTQ0H_SHgTkuTWB-Qs13_d3w78dqycCv5L9FXZu4&amp;source=documentstudio&amp;timestamp=1741334735073</t>
  </si>
  <si>
    <t>2_ABaOnudBP927kTDMHPFpOu_CCtxfp53aTQ0H_SHgTkuTWB-Qs13_d3w78dqycCv5L9FXZu4</t>
  </si>
  <si>
    <t>https://drive.google.com/open?id=1b68-RJhL--5Qqm6Uzs3naIewetvIdrA6</t>
  </si>
  <si>
    <t>https://docs.google.com/forms/d/e/1FAIpQLSeEYwFnViiqk1AbexVe1VDR73UApmeuvfn6Yr2vN8WXjwGu2Q/viewform?edit2=2_ABaOnudI5dNF6I763krzrPheS0b8KfqqM8Rd8X2Hh9BmWeVoPkESq2FaBM2zgFg4pyvKbG4&amp;source=documentstudio&amp;timestamp=1741334736325</t>
  </si>
  <si>
    <t>2_ABaOnudI5dNF6I763krzrPheS0b8KfqqM8Rd8X2Hh9BmWeVoPkESq2FaBM2zgFg4pyvKbG4</t>
  </si>
  <si>
    <t>https://drive.google.com/open?id=138jaY7vK67QK_FtKuKjXkCSrQhqV1AUR, https://drive.google.com/open?id=1J_34E6EuWzYSBIMPYLD7BXZLR_b4WZXh</t>
  </si>
  <si>
    <t>https://docs.google.com/forms/d/e/1FAIpQLSeEYwFnViiqk1AbexVe1VDR73UApmeuvfn6Yr2vN8WXjwGu2Q/viewform?edit2=2_ABaOnuexDeZocM7_P5jjSwqtdLEIHkyhbqEPYYgKg9Ij4YZjV4KdjgGIKdw5Q66Oo7MKBUQ&amp;source=documentstudio&amp;timestamp=1741334760350</t>
  </si>
  <si>
    <t>2_ABaOnuexDeZocM7_P5jjSwqtdLEIHkyhbqEPYYgKg9Ij4YZjV4KdjgGIKdw5Q66Oo7MKBUQ</t>
  </si>
  <si>
    <t>https://drive.google.com/open?id=1r0EZe4SqbdPZ67iyrlwPpgmtQTRpL0J6</t>
  </si>
  <si>
    <t>https://docs.google.com/forms/d/e/1FAIpQLSeEYwFnViiqk1AbexVe1VDR73UApmeuvfn6Yr2vN8WXjwGu2Q/viewform?edit2=2_ABaOnuetoEIYMkMXxofFq7TeQs_8t8o3TEOZLGfC0sMUNOetUWJQAclBRJPj7pvUG2NsvL0&amp;source=documentstudio&amp;timestamp=1741334790541</t>
  </si>
  <si>
    <t>2_ABaOnuetoEIYMkMXxofFq7TeQs_8t8o3TEOZLGfC0sMUNOetUWJQAclBRJPj7pvUG2NsvL0</t>
  </si>
  <si>
    <t>https://drive.google.com/open?id=182pNVrrBxfT_EhiajZC6-kFBMGIKONt-</t>
  </si>
  <si>
    <t>https://docs.google.com/forms/d/e/1FAIpQLSeEYwFnViiqk1AbexVe1VDR73UApmeuvfn6Yr2vN8WXjwGu2Q/viewform?edit2=2_ABaOnuczEBtoMxlWdjvxvjzmAz_mS-j9yr3sr7FZ6UUSunN5lp2JgiBVNVnlItSEO_iEnlw&amp;source=documentstudio&amp;timestamp=1741334895985</t>
  </si>
  <si>
    <t>2_ABaOnuczEBtoMxlWdjvxvjzmAz_mS-j9yr3sr7FZ6UUSunN5lp2JgiBVNVnlItSEO_iEnlw</t>
  </si>
  <si>
    <t>https://drive.google.com/open?id=1a8WfTRbhQ2g6JIcUskwYlqEs24choxsM</t>
  </si>
  <si>
    <t>https://docs.google.com/forms/d/e/1FAIpQLSeEYwFnViiqk1AbexVe1VDR73UApmeuvfn6Yr2vN8WXjwGu2Q/viewform?edit2=2_ABaOnueYLQ40aLMBXLMBRZn9hBHEPPA1xHYN3BjRFc9BlE2LnyowW5_m2Aqn8oLmzGzexRQ&amp;source=documentstudio&amp;timestamp=1741335983796</t>
  </si>
  <si>
    <t>2_ABaOnueYLQ40aLMBXLMBRZn9hBHEPPA1xHYN3BjRFc9BlE2LnyowW5_m2Aqn8oLmzGzexRQ</t>
  </si>
  <si>
    <t>https://drive.google.com/open?id=1lL3GN-ZwfHrE0hat_fC7kDXrMdaUstSR</t>
  </si>
  <si>
    <t>https://docs.google.com/forms/d/e/1FAIpQLSeEYwFnViiqk1AbexVe1VDR73UApmeuvfn6Yr2vN8WXjwGu2Q/viewform?edit2=2_ABaOnufP0T_1AwiGu4rypYw3Nm1LE4QKHNXddOr2219kf2OoiYnHwPu9l2ocDjndUUkWrVQ&amp;source=documentstudio&amp;timestamp=1741336011237</t>
  </si>
  <si>
    <t>2_ABaOnufP0T_1AwiGu4rypYw3Nm1LE4QKHNXddOr2219kf2OoiYnHwPu9l2ocDjndUUkWrVQ</t>
  </si>
  <si>
    <t>https://drive.google.com/open?id=1Dj7FIVF8O3TWv286ao5JZ2nIaj3h2mSm</t>
  </si>
  <si>
    <t>https://docs.google.com/forms/d/e/1FAIpQLSeEYwFnViiqk1AbexVe1VDR73UApmeuvfn6Yr2vN8WXjwGu2Q/viewform?edit2=2_ABaOnucwaDcTLl6BBl3v7nt4kugv-OYObJyD50r77Ioz2FR_QGdr14KCnA133QFojMEXndo&amp;source=documentstudio&amp;timestamp=1741336034694</t>
  </si>
  <si>
    <t>2_ABaOnucwaDcTLl6BBl3v7nt4kugv-OYObJyD50r77Ioz2FR_QGdr14KCnA133QFojMEXndo</t>
  </si>
  <si>
    <t>https://drive.google.com/open?id=19idpcZ80qOLJnBtgM3ii73YKSxwRvu-p</t>
  </si>
  <si>
    <t>https://docs.google.com/forms/d/e/1FAIpQLSeEYwFnViiqk1AbexVe1VDR73UApmeuvfn6Yr2vN8WXjwGu2Q/viewform?edit2=2_ABaOnuci6lw4jmwJk5CQDU_xZA83VznFSuM210JVTMfK9_DEnY2IEX5A0kgP78VM07_4Chw&amp;source=documentstudio&amp;timestamp=1741336249083</t>
  </si>
  <si>
    <t>2_ABaOnuci6lw4jmwJk5CQDU_xZA83VznFSuM210JVTMfK9_DEnY2IEX5A0kgP78VM07_4Chw</t>
  </si>
  <si>
    <t>https://drive.google.com/open?id=1TxewFx9J689EAdfqwAKyK2GwrGDYg-x6, https://drive.google.com/open?id=1813fAVpiUOPeteu93YkCOY_pKE4RJfZV</t>
  </si>
  <si>
    <t>https://docs.google.com/forms/d/e/1FAIpQLSeEYwFnViiqk1AbexVe1VDR73UApmeuvfn6Yr2vN8WXjwGu2Q/viewform?edit2=2_ABaOnudwImZIOWVaZ0xwpZQyte2JENU3YO9PTvLCDkhcWRbqBYhJoK9iGHe36WEdFrnXJlY&amp;source=documentstudio&amp;timestamp=1741336333462</t>
  </si>
  <si>
    <t>2_ABaOnudwImZIOWVaZ0xwpZQyte2JENU3YO9PTvLCDkhcWRbqBYhJoK9iGHe36WEdFrnXJlY</t>
  </si>
  <si>
    <t>https://drive.google.com/open?id=1cwfSqnOtbx93XfZPDl666Lv4HMz2uFr4, https://drive.google.com/open?id=1CPhwuG1bOrx08SMmA5ntAdFl8dli77YX</t>
  </si>
  <si>
    <t>https://docs.google.com/forms/d/e/1FAIpQLSeEYwFnViiqk1AbexVe1VDR73UApmeuvfn6Yr2vN8WXjwGu2Q/viewform?edit2=2_ABaOnufUwFJ1kTydYq5920BN7uCHwlM6E9mof36OUS7X5BYd0Mx9VMIkFfz--3WbzeeH8O0&amp;source=documentstudio&amp;timestamp=1741336343703</t>
  </si>
  <si>
    <t>2_ABaOnufUwFJ1kTydYq5920BN7uCHwlM6E9mof36OUS7X5BYd0Mx9VMIkFfz--3WbzeeH8O0</t>
  </si>
  <si>
    <t>https://drive.google.com/open?id=1pKyG61G7Z3w5xnWqXH0uLCzhCOlPGymr</t>
  </si>
  <si>
    <t>https://docs.google.com/forms/d/e/1FAIpQLSeEYwFnViiqk1AbexVe1VDR73UApmeuvfn6Yr2vN8WXjwGu2Q/viewform?edit2=2_ABaOnuew0MRiNARq70G6BnOxdxtlKQkiE5VdjnC0NZyHf2CAMJZHnc7PBfHt6EWrzwMHoyE&amp;source=documentstudio&amp;timestamp=1741336401202</t>
  </si>
  <si>
    <t>2_ABaOnuew0MRiNARq70G6BnOxdxtlKQkiE5VdjnC0NZyHf2CAMJZHnc7PBfHt6EWrzwMHoyE</t>
  </si>
  <si>
    <t>https://drive.google.com/open?id=1_ME-SbT2rjoQSIvM3UkImydIsRivGuxr, https://drive.google.com/open?id=16-4trr47VSyoioNIMeAtc1MVZCTfjiuc</t>
  </si>
  <si>
    <t>https://docs.google.com/forms/d/e/1FAIpQLSeEYwFnViiqk1AbexVe1VDR73UApmeuvfn6Yr2vN8WXjwGu2Q/viewform?edit2=2_ABaOnucE1YOEPsLp16ye15hcktYFqbxb5D9O4kil160mJVNoOm2jaXq-6xleKxt1VEO5X24&amp;source=documentstudio&amp;timestamp=1741336427519</t>
  </si>
  <si>
    <t>2_ABaOnucE1YOEPsLp16ye15hcktYFqbxb5D9O4kil160mJVNoOm2jaXq-6xleKxt1VEO5X24</t>
  </si>
  <si>
    <t>https://drive.google.com/open?id=1raPdO9dUxYdcbxj7qkKuESSSYLcb5-4K</t>
  </si>
  <si>
    <t>https://docs.google.com/forms/d/e/1FAIpQLSeEYwFnViiqk1AbexVe1VDR73UApmeuvfn6Yr2vN8WXjwGu2Q/viewform?edit2=2_ABaOnuc8RRW7o5tNul9fXJREr7KOobql1lpW5Taaj3qyLDiXzXolt_FK6GhMBJ8HW49kwu4&amp;source=documentstudio&amp;timestamp=1741337059711</t>
  </si>
  <si>
    <t>2_ABaOnuc8RRW7o5tNul9fXJREr7KOobql1lpW5Taaj3qyLDiXzXolt_FK6GhMBJ8HW49kwu4</t>
  </si>
  <si>
    <t>https://drive.google.com/open?id=12tanyRjS4Iblivn5Scti9b8yoV3PbFNn</t>
  </si>
  <si>
    <t>https://docs.google.com/forms/d/e/1FAIpQLSeEYwFnViiqk1AbexVe1VDR73UApmeuvfn6Yr2vN8WXjwGu2Q/viewform?edit2=2_ABaOnuc6JGZ-FBmEy5HdPEsZYY-6VG0UQgUOKGUPqG30EtaisvdvzK-V1K4LAQtn938MZD8&amp;source=documentstudio&amp;timestamp=1741337100731</t>
  </si>
  <si>
    <t>2_ABaOnuc6JGZ-FBmEy5HdPEsZYY-6VG0UQgUOKGUPqG30EtaisvdvzK-V1K4LAQtn938MZD8</t>
  </si>
  <si>
    <t>https://drive.google.com/open?id=1DwOk5g2yOEDkqPOESs3BzkX0YY8sUuyy</t>
  </si>
  <si>
    <t>https://docs.google.com/forms/d/e/1FAIpQLSeEYwFnViiqk1AbexVe1VDR73UApmeuvfn6Yr2vN8WXjwGu2Q/viewform?edit2=2_ABaOnud4teNJzycOLfzdBELkEA2ihbhXS1Dnc3TYILMf0Fw_QKz6w6lL0DVsoA-Kf60CYpg&amp;source=documentstudio&amp;timestamp=1741340483832</t>
  </si>
  <si>
    <t>2_ABaOnud4teNJzycOLfzdBELkEA2ihbhXS1Dnc3TYILMf0Fw_QKz6w6lL0DVsoA-Kf60CYpg</t>
  </si>
  <si>
    <t>https://drive.google.com/open?id=1NKqM8A9InlniQlB8iszXnDA1KT0ZZfG6</t>
  </si>
  <si>
    <t>https://docs.google.com/forms/d/e/1FAIpQLSeEYwFnViiqk1AbexVe1VDR73UApmeuvfn6Yr2vN8WXjwGu2Q/viewform?edit2=2_ABaOnueIsb5umpw7a3rUMT3FGJZXxaKdhe4bb-9C3zJcHvEel-DtSU-RR6BdjAaKAZFDNCg&amp;source=documentstudio&amp;timestamp=1741340510490</t>
  </si>
  <si>
    <t>2_ABaOnueIsb5umpw7a3rUMT3FGJZXxaKdhe4bb-9C3zJcHvEel-DtSU-RR6BdjAaKAZFDNCg</t>
  </si>
  <si>
    <t>https://drive.google.com/open?id=1U3eUB7esjS6_iD6M8rUZVaKV2SRm2VYl</t>
  </si>
  <si>
    <t>https://docs.google.com/forms/d/e/1FAIpQLSeEYwFnViiqk1AbexVe1VDR73UApmeuvfn6Yr2vN8WXjwGu2Q/viewform?edit2=2_ABaOnucjGB8wdLVNIKxhDAyENkN2Mmin5M4qqTMSZQ9yKXInca1Err-D3C3G-1MBbUlmx-I&amp;source=documentstudio&amp;timestamp=1741340561315</t>
  </si>
  <si>
    <t>2_ABaOnucjGB8wdLVNIKxhDAyENkN2Mmin5M4qqTMSZQ9yKXInca1Err-D3C3G-1MBbUlmx-I</t>
  </si>
  <si>
    <t>https://drive.google.com/open?id=1aWXj60ySC9IXSQx1EJMYBlMw-gqrN-1d</t>
  </si>
  <si>
    <t>https://docs.google.com/forms/d/e/1FAIpQLSeEYwFnViiqk1AbexVe1VDR73UApmeuvfn6Yr2vN8WXjwGu2Q/viewform?edit2=2_ABaOnueTYR2Par-0TAQPf1Ic0eK063N8eYZLMbfg_DorHsfxANyOJOky95wK-2NVj-p-Gaw&amp;source=documentstudio&amp;timestamp=1741340623118</t>
  </si>
  <si>
    <t>2_ABaOnueTYR2Par-0TAQPf1Ic0eK063N8eYZLMbfg_DorHsfxANyOJOky95wK-2NVj-p-Gaw</t>
  </si>
  <si>
    <t>https://drive.google.com/open?id=1wGqihnKIG3uALBRebdPXt0IlV0e--FuY</t>
  </si>
  <si>
    <t>https://docs.google.com/forms/d/e/1FAIpQLSeEYwFnViiqk1AbexVe1VDR73UApmeuvfn6Yr2vN8WXjwGu2Q/viewform?edit2=2_ABaOnucFo-HuNYff2ebK5wlYlFDR7Bum2uFI-5m3xCmvfuGHwSaBpLOXfPG8rFP1AuKFVu8&amp;source=documentstudio&amp;timestamp=1741340666098</t>
  </si>
  <si>
    <t>2_ABaOnucFo-HuNYff2ebK5wlYlFDR7Bum2uFI-5m3xCmvfuGHwSaBpLOXfPG8rFP1AuKFVu8</t>
  </si>
  <si>
    <t>https://drive.google.com/open?id=1Av5pG7vZ5R-SUJ1_9aN-SbPhia6ujxo0</t>
  </si>
  <si>
    <t>https://docs.google.com/forms/d/e/1FAIpQLSeEYwFnViiqk1AbexVe1VDR73UApmeuvfn6Yr2vN8WXjwGu2Q/viewform?edit2=2_ABaOnuf5yNLbiFnqLjY9FDWZ1Y49wy15dIeXBiNIwJ__klUyJHjtpM0-btotmSKehY-gGMs&amp;source=documentstudio&amp;timestamp=1741340721586</t>
  </si>
  <si>
    <t>2_ABaOnuf5yNLbiFnqLjY9FDWZ1Y49wy15dIeXBiNIwJ__klUyJHjtpM0-btotmSKehY-gGMs</t>
  </si>
  <si>
    <t>https://drive.google.com/open?id=1Ol7VgcQzZ-0UZZ48Tg5HCQYwRO5U8f6Y</t>
  </si>
  <si>
    <t>https://docs.google.com/forms/d/e/1FAIpQLSeEYwFnViiqk1AbexVe1VDR73UApmeuvfn6Yr2vN8WXjwGu2Q/viewform?edit2=2_ABaOnufM0wto9bclkDOaD0LOeVvtV6R42fyLrQiFUsOyEmlwdfWZ3YbFrw0wJs4IlBrB-QQ&amp;source=documentstudio&amp;timestamp=1741341253758</t>
  </si>
  <si>
    <t>2_ABaOnufM0wto9bclkDOaD0LOeVvtV6R42fyLrQiFUsOyEmlwdfWZ3YbFrw0wJs4IlBrB-QQ</t>
  </si>
  <si>
    <t>https://drive.google.com/open?id=1YbU324wifKmoZBnxKMcfMFym23uLPfc4</t>
  </si>
  <si>
    <t>https://docs.google.com/forms/d/e/1FAIpQLSeEYwFnViiqk1AbexVe1VDR73UApmeuvfn6Yr2vN8WXjwGu2Q/viewform?edit2=2_ABaOnucagN70VcQoxw7bIAigrGysMrfv5ZYWu_tNwDkS3DwkJH5Gg5IO3ERC8UFfRnOMqb4&amp;source=documentstudio&amp;timestamp=1741341284027</t>
  </si>
  <si>
    <t>2_ABaOnucagN70VcQoxw7bIAigrGysMrfv5ZYWu_tNwDkS3DwkJH5Gg5IO3ERC8UFfRnOMqb4</t>
  </si>
  <si>
    <t>https://drive.google.com/open?id=1YbGZ4zamyVphwyz9A2K_gw2Ww8cxHp4K</t>
  </si>
  <si>
    <t>https://docs.google.com/forms/d/e/1FAIpQLSeEYwFnViiqk1AbexVe1VDR73UApmeuvfn6Yr2vN8WXjwGu2Q/viewform?edit2=2_ABaOnueGVjG0POdU0s3NaUsTTAx1TjinIylpPwW4SoVUJKSmc-MU01TClRTHBz8o8ycb0Ic&amp;source=documentstudio&amp;timestamp=1741341388376</t>
  </si>
  <si>
    <t>2_ABaOnueGVjG0POdU0s3NaUsTTAx1TjinIylpPwW4SoVUJKSmc-MU01TClRTHBz8o8ycb0Ic</t>
  </si>
  <si>
    <t>https://drive.google.com/open?id=1tt50HgyJvQRT3UJHjQ9fNVyUqnc2XrQz</t>
  </si>
  <si>
    <t>https://docs.google.com/forms/d/e/1FAIpQLSeEYwFnViiqk1AbexVe1VDR73UApmeuvfn6Yr2vN8WXjwGu2Q/viewform?edit2=2_ABaOnudxijmuYErBq5a4wJbJqm5f-km7Pg8mI90yZQimiR8JH7ng0ayrrfgLZb0T-aHD3-U&amp;source=documentstudio&amp;timestamp=1741407447836</t>
  </si>
  <si>
    <t>2_ABaOnudxijmuYErBq5a4wJbJqm5f-km7Pg8mI90yZQimiR8JH7ng0ayrrfgLZb0T-aHD3-U</t>
  </si>
  <si>
    <t>https://drive.google.com/open?id=1c3S_GbER8Nsets0cFNERAS9i9I6fVWOp</t>
  </si>
  <si>
    <t>https://docs.google.com/forms/d/e/1FAIpQLSeEYwFnViiqk1AbexVe1VDR73UApmeuvfn6Yr2vN8WXjwGu2Q/viewform?edit2=2_ABaOnudxXR9FHUXPa47QrCngs-5wl7ZweGT7QWoZbIaxh4JM_gyP6AcmWb22tXYLC4Y2u00&amp;source=documentstudio&amp;timestamp=1741407486722</t>
  </si>
  <si>
    <t>2_ABaOnudxXR9FHUXPa47QrCngs-5wl7ZweGT7QWoZbIaxh4JM_gyP6AcmWb22tXYLC4Y2u00</t>
  </si>
  <si>
    <t>https://drive.google.com/open?id=1nR4PJEn33xFIfYidLg564K-rQlf7r6Ua</t>
  </si>
  <si>
    <t>https://docs.google.com/forms/d/e/1FAIpQLSeEYwFnViiqk1AbexVe1VDR73UApmeuvfn6Yr2vN8WXjwGu2Q/viewform?edit2=2_ABaOnucWw4fRXnbKLbZdDVsE3ddN7narsSbmJ6JIlHIPTYXF7VJuSEpM6U2EPPpyZI7Q1os&amp;source=documentstudio&amp;timestamp=1741418021618</t>
  </si>
  <si>
    <t>2_ABaOnucWw4fRXnbKLbZdDVsE3ddN7narsSbmJ6JIlHIPTYXF7VJuSEpM6U2EPPpyZI7Q1os</t>
  </si>
  <si>
    <t>https://drive.google.com/open?id=1Pj5bg993UjVVviCHYBvC_UIN9gQ2HWtf</t>
  </si>
  <si>
    <t>https://docs.google.com/forms/d/e/1FAIpQLSeEYwFnViiqk1AbexVe1VDR73UApmeuvfn6Yr2vN8WXjwGu2Q/viewform?edit2=2_ABaOnudrHJAltzcLxBBMCY_-eZBMF_EETr6b6ZMFCcRClD_lmvXQhLdltxoAj05xaINGxLk&amp;source=documentstudio&amp;timestamp=1741418048772</t>
  </si>
  <si>
    <t>2_ABaOnudrHJAltzcLxBBMCY_-eZBMF_EETr6b6ZMFCcRClD_lmvXQhLdltxoAj05xaINGxLk</t>
  </si>
  <si>
    <t>https://drive.google.com/open?id=1A-Fwwrg5Qy8w6Uxgo2ym10-nzA4ltncA, https://drive.google.com/open?id=1hWAMbI2W5HchBftpwK4fZSVjgxxqu_jz</t>
  </si>
  <si>
    <t>https://docs.google.com/forms/d/e/1FAIpQLSeEYwFnViiqk1AbexVe1VDR73UApmeuvfn6Yr2vN8WXjwGu2Q/viewform?edit2=2_ABaOnucNidgxSfwZoqXcGmAOhu3fAXOe5pZGCZkbE2DLVEE1Vxn6-2Yag4PhLLb8UyTTMIk&amp;source=documentstudio&amp;timestamp=1741511849485</t>
  </si>
  <si>
    <t>2_ABaOnucNidgxSfwZoqXcGmAOhu3fAXOe5pZGCZkbE2DLVEE1Vxn6-2Yag4PhLLb8UyTTMIk</t>
  </si>
  <si>
    <t>https://drive.google.com/open?id=1Rbyk4K-nWbBCx4Nq2N9dL8qj0t9ffg5l</t>
  </si>
  <si>
    <t>https://docs.google.com/forms/d/e/1FAIpQLSeEYwFnViiqk1AbexVe1VDR73UApmeuvfn6Yr2vN8WXjwGu2Q/viewform?edit2=2_ABaOnudoyDH4mAnhtkH9y0Zj8YdhInHAP0-WHC7EibDM5wYNmsVpv9jYaBeeFfWtFfnktXw&amp;source=documentstudio&amp;timestamp=1741567070391</t>
  </si>
  <si>
    <t>2_ABaOnudoyDH4mAnhtkH9y0Zj8YdhInHAP0-WHC7EibDM5wYNmsVpv9jYaBeeFfWtFfnktXw</t>
  </si>
  <si>
    <t>https://drive.google.com/open?id=1RkDmUM0Hhih0EMpTZq_ZPje1Q2BSwLSS</t>
  </si>
  <si>
    <t>https://docs.google.com/forms/d/e/1FAIpQLSeEYwFnViiqk1AbexVe1VDR73UApmeuvfn6Yr2vN8WXjwGu2Q/viewform?edit2=2_ABaOnuebxXzq-hThqWBHL_3GggCZswhUYKo3SnDa1DToIATlv5KcMJMS7tphgTfeF4f3Kc4&amp;source=documentstudio&amp;timestamp=1741567270587</t>
  </si>
  <si>
    <t>2_ABaOnuebxXzq-hThqWBHL_3GggCZswhUYKo3SnDa1DToIATlv5KcMJMS7tphgTfeF4f3Kc4</t>
  </si>
  <si>
    <t>https://drive.google.com/open?id=1pBwFOku3nTvUnwHv5BLlbE9egLOTeslG</t>
  </si>
  <si>
    <t>https://docs.google.com/forms/d/e/1FAIpQLSeEYwFnViiqk1AbexVe1VDR73UApmeuvfn6Yr2vN8WXjwGu2Q/viewform?edit2=2_ABaOnuep44rIn4SNDYQ8UzrrwIen_5beXxv1m-mH2b6HAuZUX4FbyCBUg4cijH1fYOLHj5M&amp;source=documentstudio&amp;timestamp=1741567396004</t>
  </si>
  <si>
    <t>2_ABaOnuep44rIn4SNDYQ8UzrrwIen_5beXxv1m-mH2b6HAuZUX4FbyCBUg4cijH1fYOLHj5M</t>
  </si>
  <si>
    <t>https://drive.google.com/open?id=1umSX_9YlfcmGyHYmH8UxCOWu8jxfPWmN</t>
  </si>
  <si>
    <t>https://docs.google.com/forms/d/e/1FAIpQLSeEYwFnViiqk1AbexVe1VDR73UApmeuvfn6Yr2vN8WXjwGu2Q/viewform?edit2=2_ABaOnuf9dFdaUglSn8dZCxs6yrBgR1_oF-iHflnDVX5xIfHtedl0RtIcZn_LRd06wjvz_Gc&amp;source=documentstudio&amp;timestamp=1741568052753</t>
  </si>
  <si>
    <t>2_ABaOnuf9dFdaUglSn8dZCxs6yrBgR1_oF-iHflnDVX5xIfHtedl0RtIcZn_LRd06wjvz_Gc</t>
  </si>
  <si>
    <t>https://drive.google.com/open?id=1zvh1pr-R9PSgrCwexRKOk3ev3htc8qSC</t>
  </si>
  <si>
    <t>https://docs.google.com/forms/d/e/1FAIpQLSeEYwFnViiqk1AbexVe1VDR73UApmeuvfn6Yr2vN8WXjwGu2Q/viewform?edit2=2_ABaOnudRu4Qfd896ondl3zIOOH98QptMYxvKmBNGfx-0DkkR1E5kbEoSwcqMKWQj5YbS7C4&amp;source=documentstudio&amp;timestamp=1741568068045</t>
  </si>
  <si>
    <t>2_ABaOnudRu4Qfd896ondl3zIOOH98QptMYxvKmBNGfx-0DkkR1E5kbEoSwcqMKWQj5YbS7C4</t>
  </si>
  <si>
    <t>https://drive.google.com/open?id=1C3sZqzXTMUOpSJmXbAiM0EWH4n0Xv_eK</t>
  </si>
  <si>
    <t>https://docs.google.com/forms/d/e/1FAIpQLSeEYwFnViiqk1AbexVe1VDR73UApmeuvfn6Yr2vN8WXjwGu2Q/viewform?edit2=2_ABaOnudsYUDNiTIznThNylhduQF31pV9GAbCboA2XhU9H7W-oLuc51S2MwFHwOXN0r7J67k&amp;source=documentstudio&amp;timestamp=1741568093808</t>
  </si>
  <si>
    <t>2_ABaOnudsYUDNiTIznThNylhduQF31pV9GAbCboA2XhU9H7W-oLuc51S2MwFHwOXN0r7J67k</t>
  </si>
  <si>
    <t>https://drive.google.com/open?id=1dZ8lVrQNCbXCltf7iDrbIEXVbJsu2IOa</t>
  </si>
  <si>
    <t>https://docs.google.com/forms/d/e/1FAIpQLSeEYwFnViiqk1AbexVe1VDR73UApmeuvfn6Yr2vN8WXjwGu2Q/viewform?edit2=2_ABaOnudfnS4MF1XERvtqOUHh75brxol8twrW4manguf78pUiXWPW9UlPlsG5XapempNnIlI&amp;source=documentstudio&amp;timestamp=1741568535517</t>
  </si>
  <si>
    <t>2_ABaOnudfnS4MF1XERvtqOUHh75brxol8twrW4manguf78pUiXWPW9UlPlsG5XapempNnIlI</t>
  </si>
  <si>
    <t>https://drive.google.com/open?id=1raz25ZtDhofmlbyWf1zxTDTiLnQImYY-</t>
  </si>
  <si>
    <t>https://docs.google.com/forms/d/e/1FAIpQLSeEYwFnViiqk1AbexVe1VDR73UApmeuvfn6Yr2vN8WXjwGu2Q/viewform?edit2=2_ABaOnudgzT-SNKVPUQIz_A5LXypxQF-jR_Y8UH8LHZqpr6MTnUBY9pH9glpfJHg3UOfQFRI&amp;source=documentstudio&amp;timestamp=1741571780110</t>
  </si>
  <si>
    <t>2_ABaOnudgzT-SNKVPUQIz_A5LXypxQF-jR_Y8UH8LHZqpr6MTnUBY9pH9glpfJHg3UOfQFRI</t>
  </si>
  <si>
    <t>https://drive.google.com/open?id=1s5OAOPFykyZ1N2lToPPtX7f0SIozx2nZ</t>
  </si>
  <si>
    <t>https://docs.google.com/forms/d/e/1FAIpQLSeEYwFnViiqk1AbexVe1VDR73UApmeuvfn6Yr2vN8WXjwGu2Q/viewform?edit2=2_ABaOnucFl_abVKKuSLRKOJ68oD4IP2rYR8n0GqPsNRJO2Ukp91LN0JLdaDNHUgndZua9zN0&amp;source=documentstudio&amp;timestamp=1741572674675</t>
  </si>
  <si>
    <t>2_ABaOnucFl_abVKKuSLRKOJ68oD4IP2rYR8n0GqPsNRJO2Ukp91LN0JLdaDNHUgndZua9zN0</t>
  </si>
  <si>
    <t>https://drive.google.com/open?id=1qlTn1J3Q87s6cuNjjV8YKH3cv8hBqsxn</t>
  </si>
  <si>
    <t>https://docs.google.com/forms/d/e/1FAIpQLSeEYwFnViiqk1AbexVe1VDR73UApmeuvfn6Yr2vN8WXjwGu2Q/viewform?edit2=2_ABaOnuc_dTXVumEo7pTnUEj7f3CU_IsHGEayHhXe6Bqxdxku9cLHv3R0GiPemVun9kdpKik&amp;source=documentstudio&amp;timestamp=1741572853374</t>
  </si>
  <si>
    <t>2_ABaOnuc_dTXVumEo7pTnUEj7f3CU_IsHGEayHhXe6Bqxdxku9cLHv3R0GiPemVun9kdpKik</t>
  </si>
  <si>
    <t>https://drive.google.com/open?id=1MmAzz5YKuElLBKuNR2c0GJEgEBV27Gvi</t>
  </si>
  <si>
    <t>https://docs.google.com/forms/d/e/1FAIpQLSeEYwFnViiqk1AbexVe1VDR73UApmeuvfn6Yr2vN8WXjwGu2Q/viewform?edit2=2_ABaOnufoK8XYMmdB3WaDicoCbqz_7VVBQpE87bQML8g4LuWvNJWyGUl0sSaWPVPIHJc2hUs&amp;source=documentstudio&amp;timestamp=1741573360449</t>
  </si>
  <si>
    <t>2_ABaOnufoK8XYMmdB3WaDicoCbqz_7VVBQpE87bQML8g4LuWvNJWyGUl0sSaWPVPIHJc2hUs</t>
  </si>
  <si>
    <t>https://drive.google.com/open?id=118OZ4t6FCsm4pR3hJPs0tK7MkUHSXZYp</t>
  </si>
  <si>
    <t>https://docs.google.com/forms/d/e/1FAIpQLSeEYwFnViiqk1AbexVe1VDR73UApmeuvfn6Yr2vN8WXjwGu2Q/viewform?edit2=2_ABaOnucOUWrZxtx0DKkcyYT1ROry5wvR85IFj1XvmOZ2fiZDFY5AQrYtAvMJuUqY1dh_16g&amp;source=documentstudio&amp;timestamp=1741573526243</t>
  </si>
  <si>
    <t>2_ABaOnucOUWrZxtx0DKkcyYT1ROry5wvR85IFj1XvmOZ2fiZDFY5AQrYtAvMJuUqY1dh_16g</t>
  </si>
  <si>
    <t>https://drive.google.com/open?id=1qAWj_cSPee0xByXL1bRWauMK8FpLwLle</t>
  </si>
  <si>
    <t>https://docs.google.com/forms/d/e/1FAIpQLSeEYwFnViiqk1AbexVe1VDR73UApmeuvfn6Yr2vN8WXjwGu2Q/viewform?edit2=2_ABaOnudshuaDWb1t3CqLLi7PNAa6UbSzVFjTxVHC81O3WLScHq8NeoDgod260zX7Gr0IUx4&amp;source=documentstudio&amp;timestamp=1741573635396</t>
  </si>
  <si>
    <t>2_ABaOnudshuaDWb1t3CqLLi7PNAa6UbSzVFjTxVHC81O3WLScHq8NeoDgod260zX7Gr0IUx4</t>
  </si>
  <si>
    <t>https://drive.google.com/open?id=11JEYmNA8BQYThm3U7NYACcgqHJFZZ7wI</t>
  </si>
  <si>
    <t>https://docs.google.com/forms/d/e/1FAIpQLSeEYwFnViiqk1AbexVe1VDR73UApmeuvfn6Yr2vN8WXjwGu2Q/viewform?edit2=2_ABaOnuew42yvSFl-kdzuewx_P2PM29DYE8nc54axGOrN-qnUydrE7WlfqTqPp1SoAS5UuAk&amp;source=documentstudio&amp;timestamp=1741573662614</t>
  </si>
  <si>
    <t>2_ABaOnuew42yvSFl-kdzuewx_P2PM29DYE8nc54axGOrN-qnUydrE7WlfqTqPp1SoAS5UuAk</t>
  </si>
  <si>
    <t>https://drive.google.com/open?id=1OGHM_Z5IVwspdAY0akqUDCFwFuowVzpm</t>
  </si>
  <si>
    <t>https://docs.google.com/forms/d/e/1FAIpQLSeEYwFnViiqk1AbexVe1VDR73UApmeuvfn6Yr2vN8WXjwGu2Q/viewform?edit2=2_ABaOnufJlBW7EueQOaaADNKpxUyhTnKp7tqwTOTCzCZyB8rLGX_DwqzR1LjpyJY2Ustb8-w&amp;source=documentstudio&amp;timestamp=1741573717650</t>
  </si>
  <si>
    <t>2_ABaOnufJlBW7EueQOaaADNKpxUyhTnKp7tqwTOTCzCZyB8rLGX_DwqzR1LjpyJY2Ustb8-w</t>
  </si>
  <si>
    <t>https://drive.google.com/open?id=1u5hfJh4Ks7rFNVcinS3f-RmHffMzFngB</t>
  </si>
  <si>
    <t>https://docs.google.com/forms/d/e/1FAIpQLSeEYwFnViiqk1AbexVe1VDR73UApmeuvfn6Yr2vN8WXjwGu2Q/viewform?edit2=2_ABaOnufSDmv-864AiWcOSwTKfU2DcLQ7GUs6_B4S0DSYM3Q5430dWDelWgQe_5oXnVVQI80&amp;source=documentstudio&amp;timestamp=1741573746127</t>
  </si>
  <si>
    <t>2_ABaOnufSDmv-864AiWcOSwTKfU2DcLQ7GUs6_B4S0DSYM3Q5430dWDelWgQe_5oXnVVQI80</t>
  </si>
  <si>
    <t>https://drive.google.com/open?id=1R0e45fYtMBHmgg4SJjK-UI2s9OJMafxP</t>
  </si>
  <si>
    <t>https://docs.google.com/forms/d/e/1FAIpQLSeEYwFnViiqk1AbexVe1VDR73UApmeuvfn6Yr2vN8WXjwGu2Q/viewform?edit2=2_ABaOnueIpB-kET34_oy_36OFmE7i8G_EB17Sy7JjZhG2GxlFQYTR_KP3AI2Ps97uH0DiMpQ&amp;source=documentstudio&amp;timestamp=1741573748107</t>
  </si>
  <si>
    <t>2_ABaOnueIpB-kET34_oy_36OFmE7i8G_EB17Sy7JjZhG2GxlFQYTR_KP3AI2Ps97uH0DiMpQ</t>
  </si>
  <si>
    <t>https://drive.google.com/open?id=1dMQdCObVOq0H2sPuBqiItYeBJ50_UlEn</t>
  </si>
  <si>
    <t>https://docs.google.com/forms/d/e/1FAIpQLSeEYwFnViiqk1AbexVe1VDR73UApmeuvfn6Yr2vN8WXjwGu2Q/viewform?edit2=2_ABaOnufqpya3wpJRptDNlIlTLjPJtBA4snq4cYNPFLZbCVOGjlvrfby92pBbwRTEKE-wq-8&amp;source=documentstudio&amp;timestamp=1741573795566</t>
  </si>
  <si>
    <t>2_ABaOnufqpya3wpJRptDNlIlTLjPJtBA4snq4cYNPFLZbCVOGjlvrfby92pBbwRTEKE-wq-8</t>
  </si>
  <si>
    <t>https://drive.google.com/open?id=1o9YDOMSgaBeKr4G3yGFlb3Qm0NSlMsqN</t>
  </si>
  <si>
    <t>https://docs.google.com/forms/d/e/1FAIpQLSeEYwFnViiqk1AbexVe1VDR73UApmeuvfn6Yr2vN8WXjwGu2Q/viewform?edit2=2_ABaOnufDV6-cjy5m-E5kOKnCDjaxSxS4hDUMSWeVRfpA4C_M8OO3M6osQnLCZBT5aEs2POs&amp;source=documentstudio&amp;timestamp=1741573797722</t>
  </si>
  <si>
    <t>2_ABaOnufDV6-cjy5m-E5kOKnCDjaxSxS4hDUMSWeVRfpA4C_M8OO3M6osQnLCZBT5aEs2POs</t>
  </si>
  <si>
    <t>https://drive.google.com/open?id=11uk_yJi3p1Wah_8JBzBOOSU4sJa8RnlL</t>
  </si>
  <si>
    <t>https://docs.google.com/forms/d/e/1FAIpQLSeEYwFnViiqk1AbexVe1VDR73UApmeuvfn6Yr2vN8WXjwGu2Q/viewform?edit2=2_ABaOnuf1lIiFGpMR74JnHbfBxESae1xuUr-Nx4uCRBMJOMFzP2IjBPHWFUVYsEbRohz45oA&amp;source=documentstudio&amp;timestamp=1741573904740</t>
  </si>
  <si>
    <t>2_ABaOnuf1lIiFGpMR74JnHbfBxESae1xuUr-Nx4uCRBMJOMFzP2IjBPHWFUVYsEbRohz45oA</t>
  </si>
  <si>
    <t>https://drive.google.com/open?id=1DffRPpPqNTVUcC26r3qUeK5tmp3TInT6</t>
  </si>
  <si>
    <t>https://docs.google.com/forms/d/e/1FAIpQLSeEYwFnViiqk1AbexVe1VDR73UApmeuvfn6Yr2vN8WXjwGu2Q/viewform?edit2=2_ABaOnucbPzBgzBc_UlY983HNAsdup9lGRdNQX8fYbrkbYAvJhr9r8O8ej1xHcY5gFBwZd8o&amp;source=documentstudio&amp;timestamp=1741574741587</t>
  </si>
  <si>
    <t>2_ABaOnucbPzBgzBc_UlY983HNAsdup9lGRdNQX8fYbrkbYAvJhr9r8O8ej1xHcY5gFBwZd8o</t>
  </si>
  <si>
    <t>https://drive.google.com/open?id=1Ss7wXEoGui6RgP5faliuC7qcQDJ5ujfp</t>
  </si>
  <si>
    <t>https://docs.google.com/forms/d/e/1FAIpQLSeEYwFnViiqk1AbexVe1VDR73UApmeuvfn6Yr2vN8WXjwGu2Q/viewform?edit2=2_ABaOnueQLsJD0ODtR7_sWKZufP9J1AG3GorHL61HhOj2TS-ZrvvwQtqFczBiGdUH0P-oGxA&amp;source=documentstudio&amp;timestamp=1741575108094</t>
  </si>
  <si>
    <t>2_ABaOnueQLsJD0ODtR7_sWKZufP9J1AG3GorHL61HhOj2TS-ZrvvwQtqFczBiGdUH0P-oGxA</t>
  </si>
  <si>
    <t>https://drive.google.com/open?id=1jQFrFbh_ux3yayBO2Bxt2L3jT0E8bUJG</t>
  </si>
  <si>
    <t>https://docs.google.com/forms/d/e/1FAIpQLSeEYwFnViiqk1AbexVe1VDR73UApmeuvfn6Yr2vN8WXjwGu2Q/viewform?edit2=2_ABaOnucS97ywTIoEe0RFsvChG7OsZiihKDu0ddAyO6A4pIn8jABTtX5uzBAhxyZlXtH6RUk&amp;source=documentstudio&amp;timestamp=1741575633146</t>
  </si>
  <si>
    <t>2_ABaOnucS97ywTIoEe0RFsvChG7OsZiihKDu0ddAyO6A4pIn8jABTtX5uzBAhxyZlXtH6RUk</t>
  </si>
  <si>
    <t>https://drive.google.com/open?id=1_TXIOKaSg0UVZejy1uy5XRIJ5dzAALHb</t>
  </si>
  <si>
    <t>https://docs.google.com/forms/d/e/1FAIpQLSeEYwFnViiqk1AbexVe1VDR73UApmeuvfn6Yr2vN8WXjwGu2Q/viewform?edit2=2_ABaOnufYaIMW3Ms9jrK8GHDFhmEI3y3YR-Z8HDnQyxAGPRB6dxgb1cpIq9S9XFA3edcZ5rc&amp;source=documentstudio&amp;timestamp=1741575755596</t>
  </si>
  <si>
    <t>2_ABaOnufYaIMW3Ms9jrK8GHDFhmEI3y3YR-Z8HDnQyxAGPRB6dxgb1cpIq9S9XFA3edcZ5rc</t>
  </si>
  <si>
    <t>https://drive.google.com/open?id=1WtyutLE_NdAjQaY5VZojvxp7gmuFYcw-</t>
  </si>
  <si>
    <t>https://docs.google.com/forms/d/e/1FAIpQLSeEYwFnViiqk1AbexVe1VDR73UApmeuvfn6Yr2vN8WXjwGu2Q/viewform?edit2=2_ABaOnudmtv0MXw9Qtzj5lugH5rpTdxfkoqhxjbfOnYq005ijRsshnAfEBwVeje9YDqagxYo&amp;source=documentstudio&amp;timestamp=1741576361455</t>
  </si>
  <si>
    <t>2_ABaOnudmtv0MXw9Qtzj5lugH5rpTdxfkoqhxjbfOnYq005ijRsshnAfEBwVeje9YDqagxYo</t>
  </si>
  <si>
    <t>https://drive.google.com/open?id=1WDmrMDn3nMRfQAx59ZqGSeDACsW3REvh</t>
  </si>
  <si>
    <t>https://docs.google.com/forms/d/e/1FAIpQLSeEYwFnViiqk1AbexVe1VDR73UApmeuvfn6Yr2vN8WXjwGu2Q/viewform?edit2=2_ABaOnufv2nQLOQbHDOyiDX-mcbY76RsEyNixv4_WdomXBMgzeFpyH21J3l8h9uQNGrUVtP4&amp;source=documentstudio&amp;timestamp=1741576530795</t>
  </si>
  <si>
    <t>2_ABaOnufv2nQLOQbHDOyiDX-mcbY76RsEyNixv4_WdomXBMgzeFpyH21J3l8h9uQNGrUVtP4</t>
  </si>
  <si>
    <t>https://drive.google.com/open?id=1WNs3CjbWFl0v22YFzQqi9Bmw1bufoIYl</t>
  </si>
  <si>
    <t>https://docs.google.com/forms/d/e/1FAIpQLSeEYwFnViiqk1AbexVe1VDR73UApmeuvfn6Yr2vN8WXjwGu2Q/viewform?edit2=2_ABaOnufKxuf5w0AibJtklaKWS5MeTPS9_Dn8NZ0GAyXLjCZEU-xNIygBZ3S-3IpWp1Fl8yc&amp;source=documentstudio&amp;timestamp=1741576893726</t>
  </si>
  <si>
    <t>2_ABaOnufKxuf5w0AibJtklaKWS5MeTPS9_Dn8NZ0GAyXLjCZEU-xNIygBZ3S-3IpWp1Fl8yc</t>
  </si>
  <si>
    <t>https://drive.google.com/open?id=1ACl-jO44YH_NhXOccvOJyuce1MkOEYVb</t>
  </si>
  <si>
    <t>https://docs.google.com/forms/d/e/1FAIpQLSeEYwFnViiqk1AbexVe1VDR73UApmeuvfn6Yr2vN8WXjwGu2Q/viewform?edit2=2_ABaOnucZE6rk_WC2Fp-UOd1DIVnrMlY8Z_5uMgZji4yb1ctn9Y9578OF9iIsQtmozA99LCw&amp;source=documentstudio&amp;timestamp=1741578225295</t>
  </si>
  <si>
    <t>2_ABaOnucZE6rk_WC2Fp-UOd1DIVnrMlY8Z_5uMgZji4yb1ctn9Y9578OF9iIsQtmozA99LCw</t>
  </si>
  <si>
    <t>https://drive.google.com/open?id=1BQm3La1FQpdVxQ_IUOYJ8wJfSrZWqfzS</t>
  </si>
  <si>
    <t>https://docs.google.com/forms/d/e/1FAIpQLSeEYwFnViiqk1AbexVe1VDR73UApmeuvfn6Yr2vN8WXjwGu2Q/viewform?edit2=2_ABaOnuccXIyIvhfde1af7PXMjqRQiDbmac8ODWFNfXsH-KwRzBbGNn9d4CTUz2gNRTWY4js&amp;source=documentstudio&amp;timestamp=1741740567228</t>
  </si>
  <si>
    <t>2_ABaOnuccXIyIvhfde1af7PXMjqRQiDbmac8ODWFNfXsH-KwRzBbGNn9d4CTUz2gNRTWY4js</t>
  </si>
  <si>
    <t>https://drive.google.com/open?id=1Dz6F_Okc7tlvf5Os7EPIP27Gm8qhp5Av</t>
  </si>
  <si>
    <t>https://docs.google.com/forms/d/e/1FAIpQLSeEYwFnViiqk1AbexVe1VDR73UApmeuvfn6Yr2vN8WXjwGu2Q/viewform?edit2=2_ABaOnucdVz2-chuyzPgv-B1VNSHmmtu-5ITU3K2oNEgapzbDXIB3XbzDdyklCfvHfq7WyH8&amp;source=documentstudio&amp;timestamp=1741746989816</t>
  </si>
  <si>
    <t>2_ABaOnucdVz2-chuyzPgv-B1VNSHmmtu-5ITU3K2oNEgapzbDXIB3XbzDdyklCfvHfq7WyH8</t>
  </si>
  <si>
    <t>https://drive.google.com/open?id=1jn8MoRfnqDoVAJNXuY_KU0xChy2xj9hl</t>
  </si>
  <si>
    <t>https://docs.google.com/forms/d/e/1FAIpQLSeEYwFnViiqk1AbexVe1VDR73UApmeuvfn6Yr2vN8WXjwGu2Q/viewform?edit2=2_ABaOnudKR58GY_ksYmmW0u2S7fLCnwZN43hA4YCN7M0A3auEYegHXzDS75UrVVra_ATeNMg&amp;source=documentstudio&amp;timestamp=1741747026337</t>
  </si>
  <si>
    <t>2_ABaOnudKR58GY_ksYmmW0u2S7fLCnwZN43hA4YCN7M0A3auEYegHXzDS75UrVVra_ATeNMg</t>
  </si>
  <si>
    <t>https://drive.google.com/open?id=1szOuy1RcTDrDS12t0GRk7Q1c7_YFg8cR</t>
  </si>
  <si>
    <t>https://docs.google.com/forms/d/e/1FAIpQLSeEYwFnViiqk1AbexVe1VDR73UApmeuvfn6Yr2vN8WXjwGu2Q/viewform?edit2=2_ABaOnuf9zbQUiFDsRkWQHVGn8TJpsW2n_2AkHq37dS6LJBRwNVsaHPI6pIAJ_1wrMt6EiwY&amp;source=documentstudio&amp;timestamp=1741747373579</t>
  </si>
  <si>
    <t>2_ABaOnuf9zbQUiFDsRkWQHVGn8TJpsW2n_2AkHq37dS6LJBRwNVsaHPI6pIAJ_1wrMt6EiwY</t>
  </si>
  <si>
    <t>https://drive.google.com/open?id=15yQUJldzsbdVpXidV9zN5lMHnkkcC5tP</t>
  </si>
  <si>
    <t>https://docs.google.com/forms/d/e/1FAIpQLSeEYwFnViiqk1AbexVe1VDR73UApmeuvfn6Yr2vN8WXjwGu2Q/viewform?edit2=2_ABaOnudCZWamQt38710QldH5gFnvPUcBp7IyqsSeQoh-8OQnZAP_hfsBysZui0jieVsXe9M&amp;source=documentstudio&amp;timestamp=1741747459010</t>
  </si>
  <si>
    <t>2_ABaOnudCZWamQt38710QldH5gFnvPUcBp7IyqsSeQoh-8OQnZAP_hfsBysZui0jieVsXe9M</t>
  </si>
  <si>
    <t>https://drive.google.com/open?id=16K1lZaPC4g_RPvmeuTyg6ONRBJpP08bA</t>
  </si>
  <si>
    <t>https://docs.google.com/forms/d/e/1FAIpQLSeEYwFnViiqk1AbexVe1VDR73UApmeuvfn6Yr2vN8WXjwGu2Q/viewform?edit2=2_ABaOnuefdqeWBpNBS5I30LpujoDeI3STIApJ1uVDguCWkfq-Jfc5RmfdEOgu4DfL3-j6QxU&amp;source=documentstudio&amp;timestamp=1741747519683</t>
  </si>
  <si>
    <t>2_ABaOnuefdqeWBpNBS5I30LpujoDeI3STIApJ1uVDguCWkfq-Jfc5RmfdEOgu4DfL3-j6QxU</t>
  </si>
  <si>
    <t>https://drive.google.com/open?id=1aiq6CXK5QFSVL7XK0GJZWpTfhuUXACnL</t>
  </si>
  <si>
    <t>https://docs.google.com/forms/d/e/1FAIpQLSeEYwFnViiqk1AbexVe1VDR73UApmeuvfn6Yr2vN8WXjwGu2Q/viewform?edit2=2_ABaOnucowSSD-Qd8Eu4ACXDQOJTEoKPhDFwO4PIpRySemvAiGjMvoLm6TgjvT0kDhgz6eKs&amp;source=documentstudio&amp;timestamp=1741747987392</t>
  </si>
  <si>
    <t>2_ABaOnucowSSD-Qd8Eu4ACXDQOJTEoKPhDFwO4PIpRySemvAiGjMvoLm6TgjvT0kDhgz6eKs</t>
  </si>
  <si>
    <t>https://drive.google.com/open?id=1bzhx060m3ep1ukkLPmACcmzozoGqmBmV</t>
  </si>
  <si>
    <t>https://docs.google.com/forms/d/e/1FAIpQLSeEYwFnViiqk1AbexVe1VDR73UApmeuvfn6Yr2vN8WXjwGu2Q/viewform?edit2=2_ABaOnudsuqxK1e_Sg2f024lvOwgMEipye44VSsgGF9x4BUGGJ1d4UtYYFAkUzdQnjojiJVQ&amp;source=documentstudio&amp;timestamp=1741748083325</t>
  </si>
  <si>
    <t>2_ABaOnudsuqxK1e_Sg2f024lvOwgMEipye44VSsgGF9x4BUGGJ1d4UtYYFAkUzdQnjojiJVQ</t>
  </si>
  <si>
    <t>https://drive.google.com/open?id=1fvxMRBgtY4T_I1FyPbRSsgxvptgS2_12</t>
  </si>
  <si>
    <t>https://docs.google.com/forms/d/e/1FAIpQLSeEYwFnViiqk1AbexVe1VDR73UApmeuvfn6Yr2vN8WXjwGu2Q/viewform?edit2=2_ABaOnuc_oszw8QHu9hxrO_PTOdEr1BDy4bM-UINCezVi2-Q_O0k1tBQSvRhaCcGpgWNvW6w&amp;source=documentstudio&amp;timestamp=1741748169284</t>
  </si>
  <si>
    <t>2_ABaOnuc_oszw8QHu9hxrO_PTOdEr1BDy4bM-UINCezVi2-Q_O0k1tBQSvRhaCcGpgWNvW6w</t>
  </si>
  <si>
    <t>https://drive.google.com/open?id=12otjsZWiCMGFo-bKtvXkwLhVE49Q_3MZ</t>
  </si>
  <si>
    <t>https://docs.google.com/forms/d/e/1FAIpQLSeEYwFnViiqk1AbexVe1VDR73UApmeuvfn6Yr2vN8WXjwGu2Q/viewform?edit2=2_ABaOnueL1qyweYxewDQt4yuxLzdUh8ZLfdAzZ066cTxBg4BQRhPPiwSJsL_Clr8pvh3Je40&amp;source=documentstudio&amp;timestamp=1741750900831</t>
  </si>
  <si>
    <t>2_ABaOnueL1qyweYxewDQt4yuxLzdUh8ZLfdAzZ066cTxBg4BQRhPPiwSJsL_Clr8pvh3Je40</t>
  </si>
  <si>
    <t>https://drive.google.com/open?id=1ghn-8QuLd1Mmxt3CxSO6W3U5aggT1b1f</t>
  </si>
  <si>
    <t>https://docs.google.com/forms/d/e/1FAIpQLSeEYwFnViiqk1AbexVe1VDR73UApmeuvfn6Yr2vN8WXjwGu2Q/viewform?edit2=2_ABaOnuenjlPJe1c0JvMKxg9iloXDkW_vEb2kDu-QT7cs7T7l5tHuZz2Wr9i6nKHjWuNH3j0&amp;source=documentstudio&amp;timestamp=1741752718682</t>
  </si>
  <si>
    <t>2_ABaOnuenjlPJe1c0JvMKxg9iloXDkW_vEb2kDu-QT7cs7T7l5tHuZz2Wr9i6nKHjWuNH3j0</t>
  </si>
  <si>
    <t>https://drive.google.com/open?id=1i6HcXyPgwYxt3597yPCO1YvDtS-RoXh1</t>
  </si>
  <si>
    <t>https://docs.google.com/forms/d/e/1FAIpQLSeEYwFnViiqk1AbexVe1VDR73UApmeuvfn6Yr2vN8WXjwGu2Q/viewform?edit2=2_ABaOnufhqdstVxQblTYB7jb7GCWL8wKlz2MlTh4Way_SlOuWj0M9k3CdgAMByq8PQVy3xM0&amp;source=documentstudio&amp;timestamp=1741755604728</t>
  </si>
  <si>
    <t>2_ABaOnufhqdstVxQblTYB7jb7GCWL8wKlz2MlTh4Way_SlOuWj0M9k3CdgAMByq8PQVy3xM0</t>
  </si>
  <si>
    <t>https://drive.google.com/open?id=1ENhaWf6NV7VgtM-dOYOJEWh91qWjAn0W</t>
  </si>
  <si>
    <t>https://docs.google.com/forms/d/e/1FAIpQLSeEYwFnViiqk1AbexVe1VDR73UApmeuvfn6Yr2vN8WXjwGu2Q/viewform?edit2=2_ABaOnudWJ41fdslPFH49BTSUBvceYqYHlfek_2CSgl2QsoQW_K8O1FgfUaJUk8PkZ4tusv8&amp;source=documentstudio&amp;timestamp=1741755662230</t>
  </si>
  <si>
    <t>2_ABaOnudWJ41fdslPFH49BTSUBvceYqYHlfek_2CSgl2QsoQW_K8O1FgfUaJUk8PkZ4tusv8</t>
  </si>
  <si>
    <t>https://drive.google.com/open?id=1EiIR9x3Asz12WsEHu0jxneFjEStPwPUV</t>
  </si>
  <si>
    <t>https://docs.google.com/forms/d/e/1FAIpQLSeEYwFnViiqk1AbexVe1VDR73UApmeuvfn6Yr2vN8WXjwGu2Q/viewform?edit2=2_ABaOnucecY_Z9GiywM7Uba_g5vMYlVwdRumqZ5LYCAx_WezV8MKvIF9zyzjdvC-6U3pXFl0&amp;source=documentstudio&amp;timestamp=1741760083590</t>
  </si>
  <si>
    <t>2_ABaOnucecY_Z9GiywM7Uba_g5vMYlVwdRumqZ5LYCAx_WezV8MKvIF9zyzjdvC-6U3pXFl0</t>
  </si>
  <si>
    <t>https://drive.google.com/open?id=1acKR36rB44Sebd8d2gQKO8ygMgt0F6Ud</t>
  </si>
  <si>
    <t>https://docs.google.com/forms/d/e/1FAIpQLSeEYwFnViiqk1AbexVe1VDR73UApmeuvfn6Yr2vN8WXjwGu2Q/viewform?edit2=2_ABaOnueSViGcG_LBdpkuw9wWlxucxPxGH527dXhoqWslAw9MtJyI9lS14ZVECqotEMuuc2o&amp;source=documentstudio&amp;timestamp=1741834159430</t>
  </si>
  <si>
    <t>2_ABaOnueSViGcG_LBdpkuw9wWlxucxPxGH527dXhoqWslAw9MtJyI9lS14ZVECqotEMuuc2o</t>
  </si>
  <si>
    <t>https://drive.google.com/open?id=1npW61D82loUSDSLL-_j0mzWjBflgPia-</t>
  </si>
  <si>
    <t>https://docs.google.com/forms/d/e/1FAIpQLSeEYwFnViiqk1AbexVe1VDR73UApmeuvfn6Yr2vN8WXjwGu2Q/viewform?edit2=2_ABaOnufw_yZOEmzVTh1oE-ginE7d2_1R4EhN4ZZxF-POvg35hXrEkpkrZanQa7N35Q9sGw0&amp;source=documentstudio&amp;timestamp=1741847732831</t>
  </si>
  <si>
    <t>2_ABaOnufw_yZOEmzVTh1oE-ginE7d2_1R4EhN4ZZxF-POvg35hXrEkpkrZanQa7N35Q9sGw0</t>
  </si>
  <si>
    <t>https://drive.google.com/open?id=1_2ewmwv_jtAoL4VNZfTh5SQCA-rg3Qzb</t>
  </si>
  <si>
    <t>https://docs.google.com/forms/d/e/1FAIpQLSeEYwFnViiqk1AbexVe1VDR73UApmeuvfn6Yr2vN8WXjwGu2Q/viewform?edit2=2_ABaOnuf3-VwH1DIMr_NSGcWKlBUnM2UM08MTSoRd1iEx8w_zvU0NJacCnGxzvAST-TQosx4&amp;source=documentstudio&amp;timestamp=1741850336711</t>
  </si>
  <si>
    <t>2_ABaOnuf3-VwH1DIMr_NSGcWKlBUnM2UM08MTSoRd1iEx8w_zvU0NJacCnGxzvAST-TQosx4</t>
  </si>
  <si>
    <t>https://drive.google.com/open?id=1eXOw0Y_OsywNvmHKDtNMdF4ErQX2VU6W</t>
  </si>
  <si>
    <t>https://docs.google.com/forms/d/e/1FAIpQLSeEYwFnViiqk1AbexVe1VDR73UApmeuvfn6Yr2vN8WXjwGu2Q/viewform?edit2=2_ABaOnufy0pcPQdpKawlpLZ_qOP-rlJvl2QrRqVFDl-TG2hItW5X7msNdKNcLAB56oqO97zM&amp;source=documentstudio&amp;timestamp=1741850373068</t>
  </si>
  <si>
    <t>2_ABaOnufy0pcPQdpKawlpLZ_qOP-rlJvl2QrRqVFDl-TG2hItW5X7msNdKNcLAB56oqO97zM</t>
  </si>
  <si>
    <t>https://drive.google.com/open?id=1Grv1aDOdqsxX5evn9CXem0BaLx0b4B1W</t>
  </si>
  <si>
    <t>https://docs.google.com/forms/d/e/1FAIpQLSeEYwFnViiqk1AbexVe1VDR73UApmeuvfn6Yr2vN8WXjwGu2Q/viewform?edit2=2_ABaOnueWUtebOyhTxUAj7613ZBtd7j1qRez75R4VVFi_DPw5Xv8bY4mFGeMKd20qHd6xnAA&amp;source=documentstudio&amp;timestamp=1741921048040</t>
  </si>
  <si>
    <t>2_ABaOnueWUtebOyhTxUAj7613ZBtd7j1qRez75R4VVFi_DPw5Xv8bY4mFGeMKd20qHd6xnAA</t>
  </si>
  <si>
    <t>https://drive.google.com/open?id=1erK9GNUninfqPgDpqL_DbjflmNd9vTUV</t>
  </si>
  <si>
    <t>https://docs.google.com/forms/d/e/1FAIpQLSeEYwFnViiqk1AbexVe1VDR73UApmeuvfn6Yr2vN8WXjwGu2Q/viewform?edit2=2_ABaOnue5OfP5oftrJt87q5bOWpMcyNWAN7Ppl80JpGKUCj_023GhKARjCQdxcf10aPiCVmU&amp;source=documentstudio&amp;timestamp=1741922207269</t>
  </si>
  <si>
    <t>2_ABaOnue5OfP5oftrJt87q5bOWpMcyNWAN7Ppl80JpGKUCj_023GhKARjCQdxcf10aPiCVmU</t>
  </si>
  <si>
    <t>https://drive.google.com/open?id=1YEbG1Yg3_45K28SsI0d9DjmckiDiHaRe</t>
  </si>
  <si>
    <t>https://docs.google.com/forms/d/e/1FAIpQLSeEYwFnViiqk1AbexVe1VDR73UApmeuvfn6Yr2vN8WXjwGu2Q/viewform?edit2=2_ABaOnufGb0F_XJ7yo43asCkWl4lwm07K0shRh28XaV_-tIvGd31cj2_KH7Oyk-WK87ll510&amp;source=documentstudio&amp;timestamp=1741924641680</t>
  </si>
  <si>
    <t>2_ABaOnufGb0F_XJ7yo43asCkWl4lwm07K0shRh28XaV_-tIvGd31cj2_KH7Oyk-WK87ll510</t>
  </si>
  <si>
    <t>https://drive.google.com/open?id=1NQbLfNWcNARZIuDkogoBiA1mFUU-MObC</t>
  </si>
  <si>
    <t>https://docs.google.com/forms/d/e/1FAIpQLSeEYwFnViiqk1AbexVe1VDR73UApmeuvfn6Yr2vN8WXjwGu2Q/viewform?edit2=2_ABaOnueybvdhsPW5thAi3FVUUkuuIHec9tv1PXUOVp04B93SDZbpcsBioYhR1XMl6iUmzUY&amp;source=documentstudio&amp;timestamp=1741925914343</t>
  </si>
  <si>
    <t>2_ABaOnueybvdhsPW5thAi3FVUUkuuIHec9tv1PXUOVp04B93SDZbpcsBioYhR1XMl6iUmzUY</t>
  </si>
  <si>
    <t>https://drive.google.com/open?id=1ESmVB_PrdmUclKW6xgTIzkD50raRx0r7</t>
  </si>
  <si>
    <t>https://docs.google.com/forms/d/e/1FAIpQLSeEYwFnViiqk1AbexVe1VDR73UApmeuvfn6Yr2vN8WXjwGu2Q/viewform?edit2=2_ABaOnudRSGsky_2Kek-ldhUtxgFpxhwqBMh7WHx9bt7bORyH-cYNaOT78mwIcjuRgF0fDCY&amp;source=documentstudio&amp;timestamp=1741926595033</t>
  </si>
  <si>
    <t>2_ABaOnudRSGsky_2Kek-ldhUtxgFpxhwqBMh7WHx9bt7bORyH-cYNaOT78mwIcjuRgF0fDCY</t>
  </si>
  <si>
    <t>https://drive.google.com/open?id=1ofTw2Dbm52iNIyjDasZS2AQV0Yk0NKw2</t>
  </si>
  <si>
    <t>https://docs.google.com/forms/d/e/1FAIpQLSeEYwFnViiqk1AbexVe1VDR73UApmeuvfn6Yr2vN8WXjwGu2Q/viewform?edit2=2_ABaOnucWqXRk6mROoIcEBkrd0_RYgFRhO8RGhaBhpIjFQkHLaLr9r5m-KcFvPMlmtMqGw9I&amp;source=documentstudio&amp;timestamp=1742021083668</t>
  </si>
  <si>
    <t>2_ABaOnucWqXRk6mROoIcEBkrd0_RYgFRhO8RGhaBhpIjFQkHLaLr9r5m-KcFvPMlmtMqGw9I</t>
  </si>
  <si>
    <t>https://drive.google.com/open?id=1sCQjNGJC7IJeIHHphs2UX-46ZFRLIIqs</t>
  </si>
  <si>
    <t>https://docs.google.com/forms/d/e/1FAIpQLSeEYwFnViiqk1AbexVe1VDR73UApmeuvfn6Yr2vN8WXjwGu2Q/viewform?edit2=2_ABaOnucs2pJlP6UF1l7H3oNwCNDW1J69CJM8TXzhhwiQE5pLyZAACAdOTaRv3Nhr6jSlh8k&amp;source=documentstudio&amp;timestamp=1742021158620</t>
  </si>
  <si>
    <t>2_ABaOnucs2pJlP6UF1l7H3oNwCNDW1J69CJM8TXzhhwiQE5pLyZAACAdOTaRv3Nhr6jSlh8k</t>
  </si>
  <si>
    <t>https://drive.google.com/open?id=1rnHpAU8ITjTPJ6qPJEyAUUQ6-XqSoLSV</t>
  </si>
  <si>
    <t>https://docs.google.com/forms/d/e/1FAIpQLSeEYwFnViiqk1AbexVe1VDR73UApmeuvfn6Yr2vN8WXjwGu2Q/viewform?edit2=2_ABaOnufmQONWPw9vAZ5taGBMmdtGXB4Dxy4y6ZjRlCxouhc21W6X0WOa7ztMqkwruAdA3yk&amp;source=documentstudio&amp;timestamp=1742021456774</t>
  </si>
  <si>
    <t>2_ABaOnufmQONWPw9vAZ5taGBMmdtGXB4Dxy4y6ZjRlCxouhc21W6X0WOa7ztMqkwruAdA3yk</t>
  </si>
  <si>
    <t>https://drive.google.com/open?id=1LogR31joYmQ0qmqTbvT-tlmFINK_LnTw</t>
  </si>
  <si>
    <t>https://docs.google.com/forms/d/e/1FAIpQLSeEYwFnViiqk1AbexVe1VDR73UApmeuvfn6Yr2vN8WXjwGu2Q/viewform?edit2=2_ABaOnueBywkD9yDooYZTOQT1h7yMORGhlRWxiJqRbRiNO2HqsapBObcfDG97IiAJ9WNFNbM&amp;source=documentstudio&amp;timestamp=1742176873460</t>
  </si>
  <si>
    <t>2_ABaOnueBywkD9yDooYZTOQT1h7yMORGhlRWxiJqRbRiNO2HqsapBObcfDG97IiAJ9WNFNbM</t>
  </si>
  <si>
    <t>https://drive.google.com/open?id=1SBE7BoAsQ34q0BSA7bMkVaxQtX7kB0Fk</t>
  </si>
  <si>
    <t>https://docs.google.com/forms/d/e/1FAIpQLSeEYwFnViiqk1AbexVe1VDR73UApmeuvfn6Yr2vN8WXjwGu2Q/viewform?edit2=2_ABaOnueUsyRI1rdNO2PfnXoCNUTATAro9_Hvw4y9anmY9HsY5TIgLATugR6uMEt2vHi6NoA&amp;source=documentstudio&amp;timestamp=1742177017785</t>
  </si>
  <si>
    <t>2_ABaOnueUsyRI1rdNO2PfnXoCNUTATAro9_Hvw4y9anmY9HsY5TIgLATugR6uMEt2vHi6NoA</t>
  </si>
  <si>
    <t>https://drive.google.com/open?id=1nJsKBLcujPon_H-05p_2SObRmpwlDz2c</t>
  </si>
  <si>
    <t>https://docs.google.com/forms/d/e/1FAIpQLSeEYwFnViiqk1AbexVe1VDR73UApmeuvfn6Yr2vN8WXjwGu2Q/viewform?edit2=2_ABaOnuc_mSX902Rq_iPDplg_psjgs1meBx-w8BfduXyeDaIvOz_H_qdpq8mdWLVNTRcIJhg&amp;source=documentstudio&amp;timestamp=1742177383039</t>
  </si>
  <si>
    <t>2_ABaOnuc_mSX902Rq_iPDplg_psjgs1meBx-w8BfduXyeDaIvOz_H_qdpq8mdWLVNTRcIJhg</t>
  </si>
  <si>
    <t>https://drive.google.com/open?id=1jUevP-zoSEvAdtIijdgpTQzEKpwcyfOd</t>
  </si>
  <si>
    <t>https://docs.google.com/forms/d/e/1FAIpQLSeEYwFnViiqk1AbexVe1VDR73UApmeuvfn6Yr2vN8WXjwGu2Q/viewform?edit2=2_ABaOnudJk3XADGI-TAH9i4GMNusE7KPljozFFpRspQgrDRDo0aH9-zb_SM92DqAFNPG-y9U&amp;source=documentstudio&amp;timestamp=1742177409708</t>
  </si>
  <si>
    <t>2_ABaOnudJk3XADGI-TAH9i4GMNusE7KPljozFFpRspQgrDRDo0aH9-zb_SM92DqAFNPG-y9U</t>
  </si>
  <si>
    <t>https://drive.google.com/open?id=1KcxNnt1w83VQugobkdgua0LyvZrJHPX6</t>
  </si>
  <si>
    <t>https://docs.google.com/forms/d/e/1FAIpQLSeEYwFnViiqk1AbexVe1VDR73UApmeuvfn6Yr2vN8WXjwGu2Q/viewform?edit2=2_ABaOnudoEs-BK5q_5PZkCAzMUBRWYgPC9TUsODbA2U51m2qqQ21KE7Jis0PLf0BrbnTV33c&amp;source=documentstudio&amp;timestamp=1742179905309</t>
  </si>
  <si>
    <t>2_ABaOnudoEs-BK5q_5PZkCAzMUBRWYgPC9TUsODbA2U51m2qqQ21KE7Jis0PLf0BrbnTV33c</t>
  </si>
  <si>
    <t>https://drive.google.com/open?id=1af7L2kp9saWIi5PgaFuDFCuM9bcEu2VE</t>
  </si>
  <si>
    <t>https://docs.google.com/forms/d/e/1FAIpQLSeEYwFnViiqk1AbexVe1VDR73UApmeuvfn6Yr2vN8WXjwGu2Q/viewform?edit2=2_ABaOnud5iO9BqPZQCZSWKaALmAx2FkXUHVBjsfFCS_vCSocW03zrm-GyS5EbhIXUOSoxXDI&amp;source=documentstudio&amp;timestamp=1742180003850</t>
  </si>
  <si>
    <t>2_ABaOnud5iO9BqPZQCZSWKaALmAx2FkXUHVBjsfFCS_vCSocW03zrm-GyS5EbhIXUOSoxXDI</t>
  </si>
  <si>
    <t>https://drive.google.com/open?id=1pYSZanq5pNC3wZkKOR3cTdtJCKbePrDo</t>
  </si>
  <si>
    <t>https://docs.google.com/forms/d/e/1FAIpQLSeEYwFnViiqk1AbexVe1VDR73UApmeuvfn6Yr2vN8WXjwGu2Q/viewform?edit2=2_ABaOnufLxWrxdLYE1G8kKFWne_MYKFCCPs5o52pBIqcSiFdzxToxANT4BsQFs3vEzpRZ8X8&amp;source=documentstudio&amp;timestamp=1742180048687</t>
  </si>
  <si>
    <t>2_ABaOnufLxWrxdLYE1G8kKFWne_MYKFCCPs5o52pBIqcSiFdzxToxANT4BsQFs3vEzpRZ8X8</t>
  </si>
  <si>
    <t>https://drive.google.com/open?id=1Sn_VgyR_Y49wEZSZS9XGQEHAkQXMPXkb</t>
  </si>
  <si>
    <t>https://docs.google.com/forms/d/e/1FAIpQLSeEYwFnViiqk1AbexVe1VDR73UApmeuvfn6Yr2vN8WXjwGu2Q/viewform?edit2=2_ABaOnudR4Zo3DH8htkHcn_ox5E1DF_8Ln_lr2T0P2ayjny9DzZRJDbS3iRG3vV0PX9Omg_s&amp;source=documentstudio&amp;timestamp=1742183407722</t>
  </si>
  <si>
    <t>2_ABaOnudR4Zo3DH8htkHcn_ox5E1DF_8Ln_lr2T0P2ayjny9DzZRJDbS3iRG3vV0PX9Omg_s</t>
  </si>
  <si>
    <t>https://drive.google.com/open?id=1Zyl1eNY0QyOQ1lu4pO4Xy3fA60DvGexJ</t>
  </si>
  <si>
    <t>https://docs.google.com/forms/d/e/1FAIpQLSeEYwFnViiqk1AbexVe1VDR73UApmeuvfn6Yr2vN8WXjwGu2Q/viewform?edit2=2_ABaOnufFeF1jVQ3agCRoicsyfmuh0WGjl8treQ0fkUL5uoJirhF3K0FFGlpJQ5hMDqDs4Vg&amp;source=documentstudio&amp;timestamp=1742185094169</t>
  </si>
  <si>
    <t>2_ABaOnufFeF1jVQ3agCRoicsyfmuh0WGjl8treQ0fkUL5uoJirhF3K0FFGlpJQ5hMDqDs4Vg</t>
  </si>
  <si>
    <t>https://drive.google.com/open?id=1dOekzx2gRupFRM1V_YkYIWDfnZc3ZGKS</t>
  </si>
  <si>
    <t>https://docs.google.com/forms/d/e/1FAIpQLSeEYwFnViiqk1AbexVe1VDR73UApmeuvfn6Yr2vN8WXjwGu2Q/viewform?edit2=2_ABaOnuczxgO-T1-4DoWeVezZjJeVuAUuY-HM8u8o8QmfczstkiUFOOJf4jA6zb2ODR1Ym7Q&amp;source=documentstudio&amp;timestamp=1742185175716</t>
  </si>
  <si>
    <t>2_ABaOnuczxgO-T1-4DoWeVezZjJeVuAUuY-HM8u8o8QmfczstkiUFOOJf4jA6zb2ODR1Ym7Q</t>
  </si>
  <si>
    <t>https://drive.google.com/open?id=1WWkRbAVyLW9vAlS9_NICheBPLQRt2o3Y</t>
  </si>
  <si>
    <t>https://docs.google.com/forms/d/e/1FAIpQLSeEYwFnViiqk1AbexVe1VDR73UApmeuvfn6Yr2vN8WXjwGu2Q/viewform?edit2=2_ABaOnudHsyzlUs9MbzeHw45DwyDUQ5WrMiDImRajiFJ-WV83UyEJfV46HnlKWnR5nnhTXZ0&amp;source=documentstudio&amp;timestamp=1742350210958</t>
  </si>
  <si>
    <t>2_ABaOnudHsyzlUs9MbzeHw45DwyDUQ5WrMiDImRajiFJ-WV83UyEJfV46HnlKWnR5nnhTXZ0</t>
  </si>
  <si>
    <t>https://drive.google.com/open?id=197PCj1mt2EGyAKbkJQyhXXqVyFeNL4oX</t>
  </si>
  <si>
    <t>https://docs.google.com/forms/d/e/1FAIpQLSeEYwFnViiqk1AbexVe1VDR73UApmeuvfn6Yr2vN8WXjwGu2Q/viewform?edit2=2_ABaOnucuW9udEosbOaMFpINi8egF5OHdIMOlED_EffSYchgzox4IaIKSFmqziB0bcsvuag0&amp;source=documentstudio&amp;timestamp=1742358548263</t>
  </si>
  <si>
    <t>2_ABaOnucuW9udEosbOaMFpINi8egF5OHdIMOlED_EffSYchgzox4IaIKSFmqziB0bcsvuag0</t>
  </si>
  <si>
    <t>https://drive.google.com/open?id=1-rvQ4Z5-vTSyRACkCPnCgG3JnqWST-wV</t>
  </si>
  <si>
    <t>https://docs.google.com/forms/d/e/1FAIpQLSeEYwFnViiqk1AbexVe1VDR73UApmeuvfn6Yr2vN8WXjwGu2Q/viewform?edit2=2_ABaOnucwo4eac2cawMswk3-tiPqC8TCau7U39dm4mc-BR5qRoopMgHgDbT4TfbX3VBYPYZQ&amp;source=documentstudio&amp;timestamp=1742437537321</t>
  </si>
  <si>
    <t>2_ABaOnucwo4eac2cawMswk3-tiPqC8TCau7U39dm4mc-BR5qRoopMgHgDbT4TfbX3VBYPYZQ</t>
  </si>
  <si>
    <t>https://drive.google.com/open?id=15AjBMjb62oYQDilIoFRxBM63T0IkyS0A</t>
  </si>
  <si>
    <t>https://docs.google.com/forms/d/e/1FAIpQLSeEYwFnViiqk1AbexVe1VDR73UApmeuvfn6Yr2vN8WXjwGu2Q/viewform?edit2=2_ABaOnuf75LWdORL9jrMIOm2M6eoZDKSjhu0WIoDivTg5nwBN3pfbf9BA2ps9loDDw-YwHLs&amp;source=documentstudio&amp;timestamp=1744348959791</t>
  </si>
  <si>
    <t>2_ABaOnuf75LWdORL9jrMIOm2M6eoZDKSjhu0WIoDivTg5nwBN3pfbf9BA2ps9loDDw-YwHLs</t>
  </si>
  <si>
    <t>https://drive.google.com/open?id=12pRPBBeZWUqwbfmoLIIEMZ5oC30QSwJs</t>
  </si>
  <si>
    <t>https://docs.google.com/forms/d/e/1FAIpQLSeEYwFnViiqk1AbexVe1VDR73UApmeuvfn6Yr2vN8WXjwGu2Q/viewform?edit2=2_ABaOnueH4xZz0gGtDGadyrw-RF3X6C4-gSGuuLgJP0q0BqNhOqpTW9s81FndJxpJie2gXkw&amp;source=documentstudio&amp;timestamp=1744349054329</t>
  </si>
  <si>
    <t>2_ABaOnueH4xZz0gGtDGadyrw-RF3X6C4-gSGuuLgJP0q0BqNhOqpTW9s81FndJxpJie2gXkw</t>
  </si>
  <si>
    <t>https://drive.google.com/open?id=1aD89Kal7Bs1buxy6dqfGJ-N3JoMf0yj0</t>
  </si>
  <si>
    <t>https://docs.google.com/forms/d/e/1FAIpQLSeEYwFnViiqk1AbexVe1VDR73UApmeuvfn6Yr2vN8WXjwGu2Q/viewform?edit2=2_ABaOnuecCZaaNgr2-lZ0m3WVLzzweD8XJ3K7lf670td226N_oBAmGYGXt4b03HhrmQpAzHo&amp;source=documentstudio&amp;timestamp=1744596219855</t>
  </si>
  <si>
    <t>2_ABaOnuecCZaaNgr2-lZ0m3WVLzzweD8XJ3K7lf670td226N_oBAmGYGXt4b03HhrmQpAzHo</t>
  </si>
  <si>
    <t>https://drive.google.com/open?id=1COeNltDtMdmu51Tq3bG73oG7OarzH716</t>
  </si>
  <si>
    <t>https://docs.google.com/forms/d/e/1FAIpQLSeEYwFnViiqk1AbexVe1VDR73UApmeuvfn6Yr2vN8WXjwGu2Q/viewform?edit2=2_ABaOnue-4Ynl57zky2NKpzXVNhim2a5pcivZ6AqyfWQANgffSBtuq9pRmeb3wWDtctnzwng&amp;source=documentstudio&amp;timestamp=1744682165488</t>
  </si>
  <si>
    <t>2_ABaOnue-4Ynl57zky2NKpzXVNhim2a5pcivZ6AqyfWQANgffSBtuq9pRmeb3wWDtctnzwng</t>
  </si>
  <si>
    <t>https://drive.google.com/open?id=1bLuNmBsmBFnrJiepVOB9uPcOAgSt6M3H</t>
  </si>
  <si>
    <t>https://docs.google.com/forms/d/e/1FAIpQLSeEYwFnViiqk1AbexVe1VDR73UApmeuvfn6Yr2vN8WXjwGu2Q/viewform?edit2=2_ABaOnudJAjTySdNndi3z59VCZ9Sqc-2vqCxlYPtS9yQPz7mAa_rHuUCeb9KkY4U-451xhSY&amp;source=documentstudio&amp;timestamp=1744683324624</t>
  </si>
  <si>
    <t>2_ABaOnudJAjTySdNndi3z59VCZ9Sqc-2vqCxlYPtS9yQPz7mAa_rHuUCeb9KkY4U-451xhSY</t>
  </si>
  <si>
    <t>https://drive.google.com/open?id=1622nEmhW3NpKz0PFvR6d6AsUJWgGbj7o</t>
  </si>
  <si>
    <t>https://docs.google.com/forms/d/e/1FAIpQLSeEYwFnViiqk1AbexVe1VDR73UApmeuvfn6Yr2vN8WXjwGu2Q/viewform?edit2=2_ABaOnucX2Wpt35TyaWiZWvxX2LRoZYF9yE1S5Wje6UhcJOTvMioYh48FDqP8fuaeGEEeObk&amp;source=documentstudio&amp;timestamp=1744683363545</t>
  </si>
  <si>
    <t>2_ABaOnucX2Wpt35TyaWiZWvxX2LRoZYF9yE1S5Wje6UhcJOTvMioYh48FDqP8fuaeGEEeObk</t>
  </si>
  <si>
    <t>https://drive.google.com/open?id=1gvel94sjELQPrw4GwTcK1oBcPlSteuYh</t>
  </si>
  <si>
    <t>https://docs.google.com/forms/d/e/1FAIpQLSeEYwFnViiqk1AbexVe1VDR73UApmeuvfn6Yr2vN8WXjwGu2Q/viewform?edit2=2_ABaOnudAgB5FR0v0IwMSnQEoNNSKY4GuQqEvlKlIsxgJMOQ5PpNAo-noobvZAMSU7Ol_iTM&amp;source=documentstudio&amp;timestamp=1744683716293</t>
  </si>
  <si>
    <t>2_ABaOnudAgB5FR0v0IwMSnQEoNNSKY4GuQqEvlKlIsxgJMOQ5PpNAo-noobvZAMSU7Ol_iTM</t>
  </si>
  <si>
    <t>https://drive.google.com/open?id=1rOAUFmHX3RaWXuzhbMrurnffk6dt0XUP</t>
  </si>
  <si>
    <t>https://docs.google.com/forms/d/e/1FAIpQLSeEYwFnViiqk1AbexVe1VDR73UApmeuvfn6Yr2vN8WXjwGu2Q/viewform?edit2=2_ABaOnufV1og6ubeuDl4Ix3XeIc2_Ktg7iLi9Qnttwrzn85aV7fGRbtN4RpP30-TOQRivlxc&amp;source=documentstudio&amp;timestamp=1744861898414</t>
  </si>
  <si>
    <t>2_ABaOnufV1og6ubeuDl4Ix3XeIc2_Ktg7iLi9Qnttwrzn85aV7fGRbtN4RpP30-TOQRivlxc</t>
  </si>
  <si>
    <t>https://drive.google.com/open?id=1bSEJqk-fcs1M_njlxav5tIojl0onF7F8</t>
  </si>
  <si>
    <t>https://docs.google.com/forms/d/e/1FAIpQLSeEYwFnViiqk1AbexVe1VDR73UApmeuvfn6Yr2vN8WXjwGu2Q/viewform?edit2=2_ABaOnucQpEfo1euBUiM6FnXj4uPixexj123VjSzXPLCCK2K8ECLxkwGaWhcpMpsJfPqUn28&amp;source=documentstudio&amp;timestamp=1744861927166</t>
  </si>
  <si>
    <t>2_ABaOnucQpEfo1euBUiM6FnXj4uPixexj123VjSzXPLCCK2K8ECLxkwGaWhcpMpsJfPqUn28</t>
  </si>
  <si>
    <t>https://drive.google.com/open?id=1pWeaUBXadS8rN5w7eVXM3sd8br56dz8n</t>
  </si>
  <si>
    <t>https://docs.google.com/forms/d/e/1FAIpQLSeEYwFnViiqk1AbexVe1VDR73UApmeuvfn6Yr2vN8WXjwGu2Q/viewform?edit2=2_ABaOnuc4cfn4-cRbgWwzYfTiORNjlfc0qxRAWMWP8YZ2yQdv4TCtnD81VJrwAZWx7hPOlgw&amp;source=documentstudio&amp;timestamp=1745198962155</t>
  </si>
  <si>
    <t>2_ABaOnuc4cfn4-cRbgWwzYfTiORNjlfc0qxRAWMWP8YZ2yQdv4TCtnD81VJrwAZWx7hPOlgw</t>
  </si>
  <si>
    <t>https://drive.google.com/open?id=1tRBgM8yUQmRm_prNgEETC0AHh5i_R7z1</t>
  </si>
  <si>
    <t>https://docs.google.com/forms/d/e/1FAIpQLSeEYwFnViiqk1AbexVe1VDR73UApmeuvfn6Yr2vN8WXjwGu2Q/viewform?edit2=2_ABaOnufhjZzXnyEdgLs7bLvCsDnL4dIug4l-6UmV5cT2HZ-jvVFHniikkkAg7K4oSwQMs64&amp;source=documentstudio&amp;timestamp=1745199102038</t>
  </si>
  <si>
    <t>2_ABaOnufhjZzXnyEdgLs7bLvCsDnL4dIug4l-6UmV5cT2HZ-jvVFHniikkkAg7K4oSwQMs64</t>
  </si>
  <si>
    <t>https://drive.google.com/open?id=1mgrmsR-p92UAqGAl5Na3Zgb1jgSaXk4F</t>
  </si>
  <si>
    <t>https://docs.google.com/forms/d/e/1FAIpQLSeEYwFnViiqk1AbexVe1VDR73UApmeuvfn6Yr2vN8WXjwGu2Q/viewform?edit2=2_ABaOnud64QMSv2YnQ7hgqr9061YzWI8Mnt3G7D4YQtMhU1vG64-ZoQp9VG5LryIvQqgI5C0&amp;source=documentstudio&amp;timestamp=1745201606116</t>
  </si>
  <si>
    <t>2_ABaOnud64QMSv2YnQ7hgqr9061YzWI8Mnt3G7D4YQtMhU1vG64-ZoQp9VG5LryIvQqgI5C0</t>
  </si>
  <si>
    <t>https://drive.google.com/open?id=1k5tQvd5zu7r2c8hm4mRsENBuXNCMkLvU</t>
  </si>
  <si>
    <t>https://docs.google.com/forms/d/e/1FAIpQLSeEYwFnViiqk1AbexVe1VDR73UApmeuvfn6Yr2vN8WXjwGu2Q/viewform?edit2=2_ABaOnueLD3mKHqWhV_QDiomK-xCtAw9SR8vmNZOCffPaAwygZ9iBBa79Oi_cr65bnNiFbbg&amp;source=documentstudio&amp;timestamp=1745206247852</t>
  </si>
  <si>
    <t>2_ABaOnueLD3mKHqWhV_QDiomK-xCtAw9SR8vmNZOCffPaAwygZ9iBBa79Oi_cr65bnNiFbbg</t>
  </si>
  <si>
    <t>https://drive.google.com/open?id=1hAtdW5EHE23lXYvD4Ut3vV4GRNgBTXit</t>
  </si>
  <si>
    <t>https://docs.google.com/forms/d/e/1FAIpQLSeEYwFnViiqk1AbexVe1VDR73UApmeuvfn6Yr2vN8WXjwGu2Q/viewform?edit2=2_ABaOnudTVqU_RvphTJLavhgivPopiF0S6qLiaIbR3t3OzAebefcHxxtcvGxJqWkmP0VaGSw&amp;source=documentstudio&amp;timestamp=1745310082832</t>
  </si>
  <si>
    <t>2_ABaOnudTVqU_RvphTJLavhgivPopiF0S6qLiaIbR3t3OzAebefcHxxtcvGxJqWkmP0VaGSw</t>
  </si>
  <si>
    <t>https://drive.google.com/open?id=1YRn66f5GUIeFCwYywfr0W6xnTr0mAqoS</t>
  </si>
  <si>
    <t>https://docs.google.com/forms/d/e/1FAIpQLSeEYwFnViiqk1AbexVe1VDR73UApmeuvfn6Yr2vN8WXjwGu2Q/viewform?edit2=2_ABaOnufnBY8cKjs1J77UsRaoCVEI9dmw80vMqJNGMEIq_Kyffkf0XRe96FjZk-tiiHhh8ow&amp;source=documentstudio&amp;timestamp=1745310445186</t>
  </si>
  <si>
    <t>2_ABaOnufnBY8cKjs1J77UsRaoCVEI9dmw80vMqJNGMEIq_Kyffkf0XRe96FjZk-tiiHhh8ow</t>
  </si>
  <si>
    <t>https://drive.google.com/open?id=1pvLxhtw3xlXgnwWUGRyL9smWnqt4btqG</t>
  </si>
  <si>
    <t>https://docs.google.com/forms/d/e/1FAIpQLSeEYwFnViiqk1AbexVe1VDR73UApmeuvfn6Yr2vN8WXjwGu2Q/viewform?edit2=2_ABaOnuey8KC0ASElJxQTiQqUDzIdvDmRXZ8Vgi0ccPX9yXP1_gtTMTAGfn4yD44mzThstwk&amp;source=documentstudio&amp;timestamp=1745310677537</t>
  </si>
  <si>
    <t>2_ABaOnuey8KC0ASElJxQTiQqUDzIdvDmRXZ8Vgi0ccPX9yXP1_gtTMTAGfn4yD44mzThstwk</t>
  </si>
  <si>
    <t>https://drive.google.com/open?id=15sixx_r_kWuVGIqB-tY2DJ3e1-iwhaKE</t>
  </si>
  <si>
    <t>https://docs.google.com/forms/d/e/1FAIpQLSeEYwFnViiqk1AbexVe1VDR73UApmeuvfn6Yr2vN8WXjwGu2Q/viewform?edit2=2_ABaOnud-O9f5hezlEJKijxA7ZuiPMEPefgm0stzjuq5zj5y7WJGqN-X567YjvOLIPxZYHn0&amp;source=documentstudio&amp;timestamp=1745310705204</t>
  </si>
  <si>
    <t>2_ABaOnud-O9f5hezlEJKijxA7ZuiPMEPefgm0stzjuq5zj5y7WJGqN-X567YjvOLIPxZYHn0</t>
  </si>
  <si>
    <t>https://drive.google.com/open?id=1nx2L5GjoBBwDqxI55D8_xLiDVVatvlzc</t>
  </si>
  <si>
    <t>https://docs.google.com/forms/d/e/1FAIpQLSeEYwFnViiqk1AbexVe1VDR73UApmeuvfn6Yr2vN8WXjwGu2Q/viewform?edit2=2_ABaOnucs0Ys4FkJcPgr4U6Z_ZG0tFluyAPV0YwJJjCJjJ4PsKB0jhJHslnL9ndL_NBEzVW0&amp;source=documentstudio&amp;timestamp=1745310908181</t>
  </si>
  <si>
    <t>2_ABaOnucs0Ys4FkJcPgr4U6Z_ZG0tFluyAPV0YwJJjCJjJ4PsKB0jhJHslnL9ndL_NBEzVW0</t>
  </si>
  <si>
    <t>https://drive.google.com/open?id=1O4Pye0JlSdLnWfMbEAPSHLl9LGrMtKTH</t>
  </si>
  <si>
    <t>https://docs.google.com/forms/d/e/1FAIpQLSeEYwFnViiqk1AbexVe1VDR73UApmeuvfn6Yr2vN8WXjwGu2Q/viewform?edit2=2_ABaOnucGyf7LTC5TbxXyyG9spGRHBx4wjKO9ASHUXMd8C3TGbekq4EgUzba8vPzW6o0V-fA&amp;source=documentstudio&amp;timestamp=1745310914427</t>
  </si>
  <si>
    <t>2_ABaOnucGyf7LTC5TbxXyyG9spGRHBx4wjKO9ASHUXMd8C3TGbekq4EgUzba8vPzW6o0V-fA</t>
  </si>
  <si>
    <t>https://drive.google.com/open?id=1V6FkPyKxsxW8Q83w5dD70jjqiN0tHOUI</t>
  </si>
  <si>
    <t>https://docs.google.com/forms/d/e/1FAIpQLSeEYwFnViiqk1AbexVe1VDR73UApmeuvfn6Yr2vN8WXjwGu2Q/viewform?edit2=2_ABaOnuf999Ir_-Hj1pUVeY36xrWWTqhKYVkbw51V1nhVLr86ketYHY86AmOeNMhRJ_7XCN4&amp;source=documentstudio&amp;timestamp=1745310930635</t>
  </si>
  <si>
    <t>2_ABaOnuf999Ir_-Hj1pUVeY36xrWWTqhKYVkbw51V1nhVLr86ketYHY86AmOeNMhRJ_7XCN4</t>
  </si>
  <si>
    <t>https://drive.google.com/open?id=1mNK7Zdso0WFzwDP8H8AGQKor_MuuRfaV</t>
  </si>
  <si>
    <t>https://docs.google.com/forms/d/e/1FAIpQLSeEYwFnViiqk1AbexVe1VDR73UApmeuvfn6Yr2vN8WXjwGu2Q/viewform?edit2=2_ABaOnucUgagwaXp9dX3YTL-M0EgGeUEA_xhsUhj_Bds6xFmWM-Fqxt1DlUbjMVyIdRL8tT8&amp;source=documentstudio&amp;timestamp=1745377237608</t>
  </si>
  <si>
    <t>2_ABaOnucUgagwaXp9dX3YTL-M0EgGeUEA_xhsUhj_Bds6xFmWM-Fqxt1DlUbjMVyIdRL8tT8</t>
  </si>
  <si>
    <t>https://drive.google.com/open?id=1p2y7TWpmyuexWynTjwRsWNfoqH4dTT6p</t>
  </si>
  <si>
    <t>https://docs.google.com/forms/d/e/1FAIpQLSeEYwFnViiqk1AbexVe1VDR73UApmeuvfn6Yr2vN8WXjwGu2Q/viewform?edit2=2_ABaOnufYjFAW4MeXdhMyKG5ar2_kb8pr9nfGPNp3Y-uZGJi0Q7u9JHTri7T9brTFrEcxsls&amp;source=documentstudio&amp;timestamp=1745377318794</t>
  </si>
  <si>
    <t>2_ABaOnufYjFAW4MeXdhMyKG5ar2_kb8pr9nfGPNp3Y-uZGJi0Q7u9JHTri7T9brTFrEcxsls</t>
  </si>
  <si>
    <t>https://drive.google.com/open?id=1DI8XY8woZ-t1EByhJK3zVR8M3ueDTZ5M</t>
  </si>
  <si>
    <t>https://docs.google.com/forms/d/e/1FAIpQLSeEYwFnViiqk1AbexVe1VDR73UApmeuvfn6Yr2vN8WXjwGu2Q/viewform?edit2=2_ABaOnuf75TLHPOhNNlmdu7LMgj8SPo76nEoG4YpP23xAE6qCOIZ42jMtJhpGrsahEQZHh48&amp;source=documentstudio&amp;timestamp=1745398264839</t>
  </si>
  <si>
    <t>2_ABaOnuf75TLHPOhNNlmdu7LMgj8SPo76nEoG4YpP23xAE6qCOIZ42jMtJhpGrsahEQZHh48</t>
  </si>
  <si>
    <t>https://drive.google.com/open?id=1XJfqdZ_H-tRpiCk9uptn3zJIaEkdf9iJ</t>
  </si>
  <si>
    <t>https://docs.google.com/forms/d/e/1FAIpQLSeEYwFnViiqk1AbexVe1VDR73UApmeuvfn6Yr2vN8WXjwGu2Q/viewform?edit2=2_ABaOnueepRL-0dvpqznxIuuI0m0L6lB04-E8VNiEFtqBm51Jz2Kq9fNYSyXaZwTBd2Dsh3I&amp;source=documentstudio&amp;timestamp=1745398292764</t>
  </si>
  <si>
    <t>2_ABaOnueepRL-0dvpqznxIuuI0m0L6lB04-E8VNiEFtqBm51Jz2Kq9fNYSyXaZwTBd2Dsh3I</t>
  </si>
  <si>
    <t>https://drive.google.com/open?id=1_ERg3ME8m7o3bF2G9708-dB7hNLo0sNC</t>
  </si>
  <si>
    <t>https://docs.google.com/forms/d/e/1FAIpQLSeEYwFnViiqk1AbexVe1VDR73UApmeuvfn6Yr2vN8WXjwGu2Q/viewform?edit2=2_ABaOnucFKuPTM43iSV6gyoD3g_NkKrHVf4nyn6E1ApFO5NKLT6NDE40Q_Xdy7yihn5TiEf4&amp;source=documentstudio&amp;timestamp=1745481455373</t>
  </si>
  <si>
    <t>2_ABaOnucFKuPTM43iSV6gyoD3g_NkKrHVf4nyn6E1ApFO5NKLT6NDE40Q_Xdy7yihn5TiEf4</t>
  </si>
  <si>
    <t>https://drive.google.com/open?id=1QlI9NkwbkAoKrwKlr5kvHmQZmNV4YP8O</t>
  </si>
  <si>
    <t>https://docs.google.com/forms/d/e/1FAIpQLSeEYwFnViiqk1AbexVe1VDR73UApmeuvfn6Yr2vN8WXjwGu2Q/viewform?edit2=2_ABaOnufhwIpkz64ITwtxAu32LsU2MArdylQ8WGmObZU18nwVWwXemxIKuepNDYEApe0Qga8&amp;source=documentstudio&amp;timestamp=1745481485538</t>
  </si>
  <si>
    <t>2_ABaOnufhwIpkz64ITwtxAu32LsU2MArdylQ8WGmObZU18nwVWwXemxIKuepNDYEApe0Qga8</t>
  </si>
  <si>
    <t>https://drive.google.com/open?id=1Scb-JKIjxXd3Pj8aLx9WozC46R18VHvE</t>
  </si>
  <si>
    <t>https://docs.google.com/forms/d/e/1FAIpQLSeEYwFnViiqk1AbexVe1VDR73UApmeuvfn6Yr2vN8WXjwGu2Q/viewform?edit2=2_ABaOnuddelCfoW10_D81Q4LzpTEbFJwmwtdXn5FFfIATrp_QMlLq6r13K5-w3V63o6nzI9k&amp;source=documentstudio&amp;timestamp=1745481509033</t>
  </si>
  <si>
    <t>2_ABaOnuddelCfoW10_D81Q4LzpTEbFJwmwtdXn5FFfIATrp_QMlLq6r13K5-w3V63o6nzI9k</t>
  </si>
  <si>
    <t>https://drive.google.com/open?id=1z31bFKdMBBYgz0kyVIGltzgMZ5gYrWAg</t>
  </si>
  <si>
    <t>https://docs.google.com/forms/d/e/1FAIpQLSeEYwFnViiqk1AbexVe1VDR73UApmeuvfn6Yr2vN8WXjwGu2Q/viewform?edit2=2_ABaOnue7pJwp4zK067xd5JVcowSzS_biLMCz3Av7C8FZ_aOy7Bv2OK2av7R7F_XLbnQOwF0&amp;source=documentstudio&amp;timestamp=1745542450195</t>
  </si>
  <si>
    <t>2_ABaOnue7pJwp4zK067xd5JVcowSzS_biLMCz3Av7C8FZ_aOy7Bv2OK2av7R7F_XLbnQOwF0</t>
  </si>
  <si>
    <t>https://drive.google.com/open?id=1ISq_naRhIb6E3wtVmeXT2ysjMt9eZpMv</t>
  </si>
  <si>
    <t>https://docs.google.com/forms/d/e/1FAIpQLSeEYwFnViiqk1AbexVe1VDR73UApmeuvfn6Yr2vN8WXjwGu2Q/viewform?edit2=2_ABaOnueXuq7qQ2qm6PUgwnpHGKHgz2Bd9l7NAr71MylHgDRAPBpcPMaPsTJqAZedt-JswKE&amp;source=documentstudio&amp;timestamp=1745542479830</t>
  </si>
  <si>
    <t>2_ABaOnueXuq7qQ2qm6PUgwnpHGKHgz2Bd9l7NAr71MylHgDRAPBpcPMaPsTJqAZedt-JswKE</t>
  </si>
  <si>
    <t>https://drive.google.com/open?id=1iQQwCm6Jm-1NU4CCBUQr40nb358Q0Cwu</t>
  </si>
  <si>
    <t>https://docs.google.com/forms/d/e/1FAIpQLSeEYwFnViiqk1AbexVe1VDR73UApmeuvfn6Yr2vN8WXjwGu2Q/viewform?edit2=2_ABaOnucc-ErpaOhlEiztyWbKOe5qXtLMTlPCnxfAtKpReCq37HmVm0mQNJexxq21NhuVSWg&amp;source=documentstudio&amp;timestamp=1745542513857</t>
  </si>
  <si>
    <t>2_ABaOnucc-ErpaOhlEiztyWbKOe5qXtLMTlPCnxfAtKpReCq37HmVm0mQNJexxq21NhuVSWg</t>
  </si>
  <si>
    <t>https://drive.google.com/open?id=1XhfFPNhvm34dHC03iwCfe431ryoZiAzZ</t>
  </si>
  <si>
    <t>https://docs.google.com/forms/d/e/1FAIpQLSeEYwFnViiqk1AbexVe1VDR73UApmeuvfn6Yr2vN8WXjwGu2Q/viewform?edit2=2_ABaOnueVgINML8r4sW9TZDGZM6okd07N8aVFfweRUNzvcu9xKfz8EtBx2qPMSwj5grbYZ_I&amp;source=documentstudio&amp;timestamp=1745573597470</t>
  </si>
  <si>
    <t>2_ABaOnueVgINML8r4sW9TZDGZM6okd07N8aVFfweRUNzvcu9xKfz8EtBx2qPMSwj5grbYZ_I</t>
  </si>
  <si>
    <t>https://drive.google.com/open?id=12mLZPA5rQhvq0EYM2yX-XzAy3q8VzyOo</t>
  </si>
  <si>
    <t>https://docs.google.com/forms/d/e/1FAIpQLSeEYwFnViiqk1AbexVe1VDR73UApmeuvfn6Yr2vN8WXjwGu2Q/viewform?edit2=2_ABaOnuffeLv_TVOjsVcaIIT0CR-QTCBiGt6aoPacUE_ytncX8luR10P4qu46XBO8u3g81AU&amp;source=documentstudio&amp;timestamp=1745573631610</t>
  </si>
  <si>
    <t>2_ABaOnuffeLv_TVOjsVcaIIT0CR-QTCBiGt6aoPacUE_ytncX8luR10P4qu46XBO8u3g81AU</t>
  </si>
  <si>
    <t>https://drive.google.com/open?id=1KonR83z2LbolaY5j5uGcqhcFm4wsXkuK</t>
  </si>
  <si>
    <t>https://docs.google.com/forms/d/e/1FAIpQLSeEYwFnViiqk1AbexVe1VDR73UApmeuvfn6Yr2vN8WXjwGu2Q/viewform?edit2=2_ABaOnuePFRHbYtDjjqMlFyC9_vhRlZRL-M2RI8a8q8sKHYS8YXnIPKI-D9fwAPr0VxInf5w&amp;source=documentstudio&amp;timestamp=1745807499657</t>
  </si>
  <si>
    <t>2_ABaOnuePFRHbYtDjjqMlFyC9_vhRlZRL-M2RI8a8q8sKHYS8YXnIPKI-D9fwAPr0VxInf5w</t>
  </si>
  <si>
    <t>https://drive.google.com/open?id=1HYuI7D-CYXo7WRVS88BPckdRH4dfCmEY</t>
  </si>
  <si>
    <t>https://docs.google.com/forms/d/e/1FAIpQLSeEYwFnViiqk1AbexVe1VDR73UApmeuvfn6Yr2vN8WXjwGu2Q/viewform?edit2=2_ABaOnufeCDk5dXeQVEEExDITsrL21H718fJoErKlHd3Tfzo8doqnfwcbnr7RbFcP-sW-Ufs&amp;source=documentstudio&amp;timestamp=1745813609913</t>
  </si>
  <si>
    <t>2_ABaOnufeCDk5dXeQVEEExDITsrL21H718fJoErKlHd3Tfzo8doqnfwcbnr7RbFcP-sW-Ufs</t>
  </si>
  <si>
    <t>https://drive.google.com/open?id=1-nbWgUzxF24TgD57XkeWQYKJRESfbZvo</t>
  </si>
  <si>
    <t>https://docs.google.com/forms/d/e/1FAIpQLSeEYwFnViiqk1AbexVe1VDR73UApmeuvfn6Yr2vN8WXjwGu2Q/viewform?edit2=2_ABaOnucvGiTpYVGgCMEx6wwYpyuK0Il7s9oQIGRdlquha0XeTG3LvLMFMLusFHtLfmaB_RI&amp;source=documentstudio&amp;timestamp=1746428659455</t>
  </si>
  <si>
    <t>2_ABaOnucvGiTpYVGgCMEx6wwYpyuK0Il7s9oQIGRdlquha0XeTG3LvLMFMLusFHtLfmaB_RI</t>
  </si>
  <si>
    <t>https://drive.google.com/open?id=13xpRxx9_F7C2_HrBkFPvuje6NuPO28Gx</t>
  </si>
  <si>
    <t>https://docs.google.com/forms/d/e/1FAIpQLSeEYwFnViiqk1AbexVe1VDR73UApmeuvfn6Yr2vN8WXjwGu2Q/viewform?edit2=2_ABaOnue1JAJR0Gq0NBjqJb65bTHgvRI-i1z6T0Ka3aiE7flygXlQXh1DtHRjTNb6B-bye3E&amp;source=documentstudio&amp;timestamp=1746428710159</t>
  </si>
  <si>
    <t>2_ABaOnue1JAJR0Gq0NBjqJb65bTHgvRI-i1z6T0Ka3aiE7flygXlQXh1DtHRjTNb6B-bye3E</t>
  </si>
  <si>
    <t>https://drive.google.com/open?id=1oFDtyC15uKX2A_6rkI_Xi3cNud5Ddm2x</t>
  </si>
  <si>
    <t>https://docs.google.com/forms/d/e/1FAIpQLSeEYwFnViiqk1AbexVe1VDR73UApmeuvfn6Yr2vN8WXjwGu2Q/viewform?edit2=2_ABaOnuen2VcJIzQUJJ3X7Ntw_KZdOsRyCCAmepLeDnxY6_70_OGHsw36TzCpZKyTqWeoauI&amp;source=documentstudio&amp;timestamp=1746428743738</t>
  </si>
  <si>
    <t>2_ABaOnuen2VcJIzQUJJ3X7Ntw_KZdOsRyCCAmepLeDnxY6_70_OGHsw36TzCpZKyTqWeoauI</t>
  </si>
  <si>
    <t>https://drive.google.com/open?id=1R2UutmYQY-0ZoM21yW-8XYxhmqhlkAo1</t>
  </si>
  <si>
    <t>https://docs.google.com/forms/d/e/1FAIpQLSeEYwFnViiqk1AbexVe1VDR73UApmeuvfn6Yr2vN8WXjwGu2Q/viewform?edit2=2_ABaOnuf2Ha8mWE6JxzLWQXbYdqQib-hvLgV2bNFJ8sJ5oeiPbA9PWq_lFFTbgpBzi9HRxE4&amp;source=documentstudio&amp;timestamp=1746591166925</t>
  </si>
  <si>
    <t>2_ABaOnuf2Ha8mWE6JxzLWQXbYdqQib-hvLgV2bNFJ8sJ5oeiPbA9PWq_lFFTbgpBzi9HRxE4</t>
  </si>
  <si>
    <t>https://drive.google.com/open?id=1-zW4s1bCA0n8Yi1Aa-yzIR9-KK20JteM</t>
  </si>
  <si>
    <t>https://docs.google.com/forms/d/e/1FAIpQLSeEYwFnViiqk1AbexVe1VDR73UApmeuvfn6Yr2vN8WXjwGu2Q/viewform?edit2=2_ABaOnufV34XRAxdcw8F8xe6_nbbHAQJwpF9NmEJD2EdfaxwBARUXSthTr1ZS6FXIwHg1_fg&amp;source=documentstudio&amp;timestamp=1746592599854</t>
  </si>
  <si>
    <t>2_ABaOnufV34XRAxdcw8F8xe6_nbbHAQJwpF9NmEJD2EdfaxwBARUXSthTr1ZS6FXIwHg1_fg</t>
  </si>
  <si>
    <t>https://drive.google.com/open?id=1bKTa5dOpFl4YLTc_SVu5wE-wbs6plUp2</t>
  </si>
  <si>
    <t>https://docs.google.com/forms/d/e/1FAIpQLSeEYwFnViiqk1AbexVe1VDR73UApmeuvfn6Yr2vN8WXjwGu2Q/viewform?edit2=2_ABaOnucvKK33YQIiqiHGCMnDGxHjhiDP6OzRBlmdAgEl18CKwPvjBxqAsZ6-7SeyUgiFwiU&amp;source=documentstudio&amp;timestamp=1746592896131</t>
  </si>
  <si>
    <t>2_ABaOnucvKK33YQIiqiHGCMnDGxHjhiDP6OzRBlmdAgEl18CKwPvjBxqAsZ6-7SeyUgiFwiU</t>
  </si>
  <si>
    <t>https://drive.google.com/open?id=1H5N4IQ_FH-TvkC-mhOpxVonRZEH8BZI1</t>
  </si>
  <si>
    <t>https://docs.google.com/forms/d/e/1FAIpQLSeEYwFnViiqk1AbexVe1VDR73UApmeuvfn6Yr2vN8WXjwGu2Q/viewform?edit2=2_ABaOnufy_UHpsyLvVLszvNmARymZm0t7b3klRt1HPvUwt7Nd_l7y18iZnqg-5E5mAfHagRs&amp;source=documentstudio&amp;timestamp=1746592928836</t>
  </si>
  <si>
    <t>2_ABaOnufy_UHpsyLvVLszvNmARymZm0t7b3klRt1HPvUwt7Nd_l7y18iZnqg-5E5mAfHagRs</t>
  </si>
  <si>
    <t>https://drive.google.com/open?id=1J0W0b-7yIf3Q8PqHjmHco6KDvKDtuWhu</t>
  </si>
  <si>
    <t>https://docs.google.com/forms/d/e/1FAIpQLSeEYwFnViiqk1AbexVe1VDR73UApmeuvfn6Yr2vN8WXjwGu2Q/viewform?edit2=2_ABaOnud7qtIg2Q8cJX2z9oUtCgt_SQ2IbhLXtuAyKNJqzx2Mi1qFkxdNf_Od4NexomTMPNQ&amp;source=documentstudio&amp;timestamp=1747189544116</t>
  </si>
  <si>
    <t>2_ABaOnud7qtIg2Q8cJX2z9oUtCgt_SQ2IbhLXtuAyKNJqzx2Mi1qFkxdNf_Od4NexomTMPNQ</t>
  </si>
  <si>
    <t>https://drive.google.com/open?id=1ygLXKbZydN_NwCSmhTbT8EAOPJ1pC2Mr</t>
  </si>
  <si>
    <t>https://docs.google.com/forms/d/e/1FAIpQLSeEYwFnViiqk1AbexVe1VDR73UApmeuvfn6Yr2vN8WXjwGu2Q/viewform?edit2=2_ABaOnufZJBlx1UySv69q0w0VF5_9XwaTGI_5PgFpMP9ax5PLzKNT5DHvxLjZcL4Z-Jp_bOw&amp;source=documentstudio&amp;timestamp=1747196543154</t>
  </si>
  <si>
    <t>2_ABaOnufZJBlx1UySv69q0w0VF5_9XwaTGI_5PgFpMP9ax5PLzKNT5DHvxLjZcL4Z-Jp_bOw</t>
  </si>
  <si>
    <t>https://drive.google.com/open?id=1rxSyAuOTbsc5CnZush2xM_Pw2XqeiIV6</t>
  </si>
  <si>
    <t>https://docs.google.com/forms/d/e/1FAIpQLSeEYwFnViiqk1AbexVe1VDR73UApmeuvfn6Yr2vN8WXjwGu2Q/viewform?edit2=2_ABaOnuf_Vl1RNndA-KgYL_G-iTK0pgxVED8csiC1_rWAhyxwrg4rSf074lJKGy0j-_0OjZw&amp;source=documentstudio&amp;timestamp=1747294200812</t>
  </si>
  <si>
    <t>2_ABaOnuf_Vl1RNndA-KgYL_G-iTK0pgxVED8csiC1_rWAhyxwrg4rSf074lJKGy0j-_0OjZw</t>
  </si>
  <si>
    <t>https://drive.google.com/open?id=1n8sVDB2OW-QwzoTQo9fQMIztcppwBXEC</t>
  </si>
  <si>
    <t>https://docs.google.com/forms/d/e/1FAIpQLSeEYwFnViiqk1AbexVe1VDR73UApmeuvfn6Yr2vN8WXjwGu2Q/viewform?edit2=2_ABaOnudZmpcRnXtFZJ6QaoCouJHmyMFZNjyfSOX86k61-JcwNnhBnmwtVAjPhBCSTKdTyXc&amp;source=documentstudio&amp;timestamp=1747296073892</t>
  </si>
  <si>
    <t>2_ABaOnudZmpcRnXtFZJ6QaoCouJHmyMFZNjyfSOX86k61-JcwNnhBnmwtVAjPhBCSTKdTyXc</t>
  </si>
  <si>
    <t>https://drive.google.com/open?id=1Vbfif-Rr5x8G_2GhFyMWAZA6NdSO9iaB</t>
  </si>
  <si>
    <t>https://docs.google.com/forms/d/e/1FAIpQLSeEYwFnViiqk1AbexVe1VDR73UApmeuvfn6Yr2vN8WXjwGu2Q/viewform?edit2=2_ABaOnudGNCvfvgaAym8DGxkvTRmjsLOYeoduYq_f608B3CBfHHmcW5DzruPTVXFRRUNlJ_o&amp;source=documentstudio&amp;timestamp=1747296330431</t>
  </si>
  <si>
    <t>2_ABaOnudGNCvfvgaAym8DGxkvTRmjsLOYeoduYq_f608B3CBfHHmcW5DzruPTVXFRRUNlJ_o</t>
  </si>
  <si>
    <t>https://drive.google.com/open?id=1ZGfRnQ84Zz-wlKSACJ_NnKg1Mb1twKoq</t>
  </si>
  <si>
    <t>https://docs.google.com/forms/d/e/1FAIpQLSeEYwFnViiqk1AbexVe1VDR73UApmeuvfn6Yr2vN8WXjwGu2Q/viewform?edit2=2_ABaOnudefyZJhY4SsgMSG3HiVU4IuRCoQl-PASE0b0CNMZ8IJe6kKy4n6uQ593rPNwqlZCU&amp;source=documentstudio&amp;timestamp=1747310564209</t>
  </si>
  <si>
    <t>2_ABaOnudefyZJhY4SsgMSG3HiVU4IuRCoQl-PASE0b0CNMZ8IJe6kKy4n6uQ593rPNwqlZCU</t>
  </si>
  <si>
    <t>https://drive.google.com/open?id=1pMBCONvvijPj-7w1QpplbRvaBVy8pESM</t>
  </si>
  <si>
    <t>https://docs.google.com/forms/d/e/1FAIpQLSeEYwFnViiqk1AbexVe1VDR73UApmeuvfn6Yr2vN8WXjwGu2Q/viewform?edit2=2_ABaOnud1K6SWiOOk_0AVM49i4WIDKgQ_ZQbI6I4bnPiB5bASalePe7NSKemL4uVGjWdQ02Y&amp;source=documentstudio&amp;timestamp=1747618604242</t>
  </si>
  <si>
    <t>2_ABaOnud1K6SWiOOk_0AVM49i4WIDKgQ_ZQbI6I4bnPiB5bASalePe7NSKemL4uVGjWdQ02Y</t>
  </si>
  <si>
    <t>https://drive.google.com/open?id=1vubsdRJo4KzLVtctOAKjpuTg-LjzoLYg</t>
  </si>
  <si>
    <t>https://docs.google.com/forms/d/e/1FAIpQLSeEYwFnViiqk1AbexVe1VDR73UApmeuvfn6Yr2vN8WXjwGu2Q/viewform?edit2=2_ABaOnucUvpsjnstW8Psc25HI_GMwBtLucnWkMQENWx8PVSzz3gW8mv3EonMjTLXUhvff5Tg&amp;source=documentstudio&amp;timestamp=1747879554656</t>
  </si>
  <si>
    <t>2_ABaOnucUvpsjnstW8Psc25HI_GMwBtLucnWkMQENWx8PVSzz3gW8mv3EonMjTLXUhvff5Tg</t>
  </si>
  <si>
    <t>https://drive.google.com/open?id=15YlWupRJeFkc6IBFjTUrB3lRfPsTixrf</t>
  </si>
  <si>
    <t>https://drive.google.com/open?id=1SJZgTvsWVRiw1I_amjBei4XV2QwbOSYb</t>
  </si>
  <si>
    <t>https://docs.google.com/forms/d/e/1FAIpQLSeEYwFnViiqk1AbexVe1VDR73UApmeuvfn6Yr2vN8WXjwGu2Q/viewform?edit2=2_ABaOnudcwndrtj_BhnGcKX_U_yQj4fL1vlqBj69oNppHukTk0brI5D196fJ0Llx1UKe0-yY&amp;source=documentstudio&amp;timestamp=1747882922186</t>
  </si>
  <si>
    <t>2_ABaOnudcwndrtj_BhnGcKX_U_yQj4fL1vlqBj69oNppHukTk0brI5D196fJ0Llx1UKe0-yY</t>
  </si>
  <si>
    <t>https://drive.google.com/open?id=15yM_8iKB1W2izfKcws8bBernPgcPm-fa</t>
  </si>
  <si>
    <t>https://docs.google.com/forms/d/e/1FAIpQLSeEYwFnViiqk1AbexVe1VDR73UApmeuvfn6Yr2vN8WXjwGu2Q/viewform?edit2=2_ABaOnueJPf74-bbmauGlcZa6mwlPSZcv9JG70m8AafJBT174JPD8WJ2Y0NrsuCuEMshyMIs&amp;source=documentstudio&amp;timestamp=1747882975920</t>
  </si>
  <si>
    <t>2_ABaOnueJPf74-bbmauGlcZa6mwlPSZcv9JG70m8AafJBT174JPD8WJ2Y0NrsuCuEMshyMIs</t>
  </si>
  <si>
    <t>https://drive.google.com/open?id=1lTlYPi8JVx3Szk1RM9cd61u-NfWdF6M3</t>
  </si>
  <si>
    <t>https://docs.google.com/forms/d/e/1FAIpQLSeEYwFnViiqk1AbexVe1VDR73UApmeuvfn6Yr2vN8WXjwGu2Q/viewform?edit2=2_ABaOnufsoCa4UVY_Yp2uCPs6kBMDumgvETzWBQSg1GjUzVOXWwmbGD7LSkKPnJNBcRspci8&amp;source=documentstudio&amp;timestamp=1747883011935</t>
  </si>
  <si>
    <t>2_ABaOnufsoCa4UVY_Yp2uCPs6kBMDumgvETzWBQSg1GjUzVOXWwmbGD7LSkKPnJNBcRspci8</t>
  </si>
  <si>
    <t>https://drive.google.com/open?id=19zBBUnkp1kmk710c55rqRPlCAkHUfJqx</t>
  </si>
  <si>
    <t>https://docs.google.com/forms/d/e/1FAIpQLSeEYwFnViiqk1AbexVe1VDR73UApmeuvfn6Yr2vN8WXjwGu2Q/viewform?edit2=2_ABaOnufFrgxVxKN8TptTPs_RmDqdJbKDWnyrM3dGmRQDoVJmzkyK_kKJ4qxMbfe5iLIADUU&amp;source=documentstudio&amp;timestamp=1747888801223</t>
  </si>
  <si>
    <t>2_ABaOnufFrgxVxKN8TptTPs_RmDqdJbKDWnyrM3dGmRQDoVJmzkyK_kKJ4qxMbfe5iLIADUU</t>
  </si>
  <si>
    <t>https://drive.google.com/open?id=1FwARG9xrmBbRQzdHOX7YVtGlgt4psmrv</t>
  </si>
  <si>
    <t>https://docs.google.com/forms/d/e/1FAIpQLSeEYwFnViiqk1AbexVe1VDR73UApmeuvfn6Yr2vN8WXjwGu2Q/viewform?edit2=2_ABaOnufJ1pfy9yemzsaSp-4RFl6sbDnpGPEqygzEi2-Gey2mUzZaRIN2D3tCZJLYw7MOsmE&amp;source=documentstudio&amp;timestamp=1747891470044</t>
  </si>
  <si>
    <t>2_ABaOnufJ1pfy9yemzsaSp-4RFl6sbDnpGPEqygzEi2-Gey2mUzZaRIN2D3tCZJLYw7MOsmE</t>
  </si>
  <si>
    <t>https://drive.google.com/open?id=17A68buKVtoEWNCwLu1gJQq4moh1tRc8O</t>
  </si>
  <si>
    <t>https://docs.google.com/forms/d/e/1FAIpQLSeEYwFnViiqk1AbexVe1VDR73UApmeuvfn6Yr2vN8WXjwGu2Q/viewform?edit2=2_ABaOnucKUzfejNHzXusKTKEFVCUvvNzpl5yRxJh2Nd5hoFTnMhO3CKsIzshXdvfDvsvo8OY&amp;source=documentstudio&amp;timestamp=1748217774069</t>
  </si>
  <si>
    <t>2_ABaOnucKUzfejNHzXusKTKEFVCUvvNzpl5yRxJh2Nd5hoFTnMhO3CKsIzshXdvfDvsvo8OY</t>
  </si>
  <si>
    <t>https://drive.google.com/open?id=1qUSffEL9MATHP1h-6EKmuAz2sofqkjaT</t>
  </si>
  <si>
    <t>https://docs.google.com/forms/d/e/1FAIpQLSeEYwFnViiqk1AbexVe1VDR73UApmeuvfn6Yr2vN8WXjwGu2Q/viewform?edit2=2_ABaOnudIQVA1k5zYxT8ZHZc9UOzD0-t6yNrHrbXB9g79rxCWVenz7Rith_qMGudUeqmNFLM&amp;source=documentstudio&amp;timestamp=1748217839722</t>
  </si>
  <si>
    <t>2_ABaOnudIQVA1k5zYxT8ZHZc9UOzD0-t6yNrHrbXB9g79rxCWVenz7Rith_qMGudUeqmNFLM</t>
  </si>
  <si>
    <t>https://drive.google.com/open?id=1MxhsoeVWQ7g-E8SJgGtWTb5lZt8okZoU</t>
  </si>
  <si>
    <t>https://docs.google.com/forms/d/e/1FAIpQLSeEYwFnViiqk1AbexVe1VDR73UApmeuvfn6Yr2vN8WXjwGu2Q/viewform?edit2=2_ABaOnucWQiDFGsc_tsOR0FaSF6W8IlgGytE5z7JidCLj7mxmzCjj7OAoV7dUSh7W3_n7beI&amp;source=documentstudio&amp;timestamp=1748217888496</t>
  </si>
  <si>
    <t>2_ABaOnucWQiDFGsc_tsOR0FaSF6W8IlgGytE5z7JidCLj7mxmzCjj7OAoV7dUSh7W3_n7beI</t>
  </si>
  <si>
    <t>https://drive.google.com/open?id=1zVZo3R6yO5HkUAjbCg0OS-HH75jxMrQ_</t>
  </si>
  <si>
    <t>https://docs.google.com/forms/d/e/1FAIpQLSeEYwFnViiqk1AbexVe1VDR73UApmeuvfn6Yr2vN8WXjwGu2Q/viewform?edit2=2_ABaOnufrp-iWN5ucICqOjfJgnfykP6X8sbGkmrk4ju0AinXV9ecP3Ye1nVkk66msO5FOaxU&amp;source=documentstudio&amp;timestamp=1748217920511</t>
  </si>
  <si>
    <t>2_ABaOnufrp-iWN5ucICqOjfJgnfykP6X8sbGkmrk4ju0AinXV9ecP3Ye1nVkk66msO5FOaxU</t>
  </si>
  <si>
    <t>https://drive.google.com/open?id=1KET2eGjwQOUqQavbT1WRbf0fiyDETIaJ</t>
  </si>
  <si>
    <t>https://docs.google.com/forms/d/e/1FAIpQLSeEYwFnViiqk1AbexVe1VDR73UApmeuvfn6Yr2vN8WXjwGu2Q/viewform?edit2=2_ABaOnuc60sas3DjLI8tVOEXya4CyMMlHQ6hyNV3T0ff5qKQ7v_eQ5xogolVb69A3yJpeSTA&amp;source=documentstudio&amp;timestamp=1748491079143</t>
  </si>
  <si>
    <t>2_ABaOnuc60sas3DjLI8tVOEXya4CyMMlHQ6hyNV3T0ff5qKQ7v_eQ5xogolVb69A3yJpeSTA</t>
  </si>
  <si>
    <t>https://drive.google.com/open?id=1yzO3gGb3EncYCEOKw3l0C3cAnGUZpSEr</t>
  </si>
  <si>
    <t>https://docs.google.com/forms/d/e/1FAIpQLSeEYwFnViiqk1AbexVe1VDR73UApmeuvfn6Yr2vN8WXjwGu2Q/viewform?edit2=2_ABaOnufY9Vj2ONwWBRxwmdmRfCfnix_oXOxrlZO0Tuk2EooZr_B1z48v4cewrZLuX_SzWZc&amp;source=documentstudio&amp;timestamp=1748491105075</t>
  </si>
  <si>
    <t>2_ABaOnufY9Vj2ONwWBRxwmdmRfCfnix_oXOxrlZO0Tuk2EooZr_B1z48v4cewrZLuX_SzWZc</t>
  </si>
  <si>
    <t>https://drive.google.com/open?id=1aJi15jPp6vEsTCi1xJOsQRtE10dF3GPg</t>
  </si>
  <si>
    <t>https://docs.google.com/forms/d/e/1FAIpQLSeEYwFnViiqk1AbexVe1VDR73UApmeuvfn6Yr2vN8WXjwGu2Q/viewform?edit2=2_ABaOnucM1HK0nJV7mii8jX_WAGc-0MMhn5LkQHJS99iQYrLXi9laQSosHjF3Pow9hINtIpg&amp;source=documentstudio&amp;timestamp=1748831071080</t>
  </si>
  <si>
    <t>2_ABaOnucM1HK0nJV7mii8jX_WAGc-0MMhn5LkQHJS99iQYrLXi9laQSosHjF3Pow9hINtIpg</t>
  </si>
  <si>
    <t>https://drive.google.com/open?id=1a2wAz3mGkA5Z0kQptFGZgVIDIKSVBvMg</t>
  </si>
  <si>
    <t>https://docs.google.com/forms/d/e/1FAIpQLSeEYwFnViiqk1AbexVe1VDR73UApmeuvfn6Yr2vN8WXjwGu2Q/viewform?edit2=2_ABaOnufmMs_rlgidLvB6ErMi_a9IDEYR9gBSVzo4CStnU7UaELQecgtKMWukGt9fYXUryQI&amp;source=documentstudio&amp;timestamp=1748831095631</t>
  </si>
  <si>
    <t>2_ABaOnufmMs_rlgidLvB6ErMi_a9IDEYR9gBSVzo4CStnU7UaELQecgtKMWukGt9fYXUryQI</t>
  </si>
  <si>
    <t>https://drive.google.com/open?id=1Po2-ntM_3WeAaSj1g-2aTGaFFNOoJpp9</t>
  </si>
  <si>
    <t>https://docs.google.com/forms/d/e/1FAIpQLSeEYwFnViiqk1AbexVe1VDR73UApmeuvfn6Yr2vN8WXjwGu2Q/viewform?edit2=2_ABaOnuep3kOgcTfJ9-Wyob6AVfruwPiK2bn2DnvVhM1hzW2hgSh_dk6KoLwDHm32DuI8PDE&amp;source=documentstudio&amp;timestamp=1748831123562</t>
  </si>
  <si>
    <t>2_ABaOnuep3kOgcTfJ9-Wyob6AVfruwPiK2bn2DnvVhM1hzW2hgSh_dk6KoLwDHm32DuI8PDE</t>
  </si>
  <si>
    <t>https://drive.google.com/open?id=1bXUIzba9JabejzGTrD8fANIOn_lMrwmL</t>
  </si>
  <si>
    <t>https://docs.google.com/forms/d/e/1FAIpQLSeEYwFnViiqk1AbexVe1VDR73UApmeuvfn6Yr2vN8WXjwGu2Q/viewform?edit2=2_ABaOnuffHBuWVIzgJ27EsC2c1OGNaUBDFFVerW52RYvI_7yOWn2zjw8xYCDaE9eO759DvNA&amp;source=documentstudio&amp;timestamp=1748831221626</t>
  </si>
  <si>
    <t>2_ABaOnuffHBuWVIzgJ27EsC2c1OGNaUBDFFVerW52RYvI_7yOWn2zjw8xYCDaE9eO759DvNA</t>
  </si>
  <si>
    <t>https://drive.google.com/open?id=1OkAC2WIEcTaeQvd2lRbGyTPe1PV1ng0c</t>
  </si>
  <si>
    <t>https://docs.google.com/forms/d/e/1FAIpQLSeEYwFnViiqk1AbexVe1VDR73UApmeuvfn6Yr2vN8WXjwGu2Q/viewform?edit2=2_ABaOnud1hckpWqt1NitMm-BuX3T237n0uUjrXKIdDemYYSLnvKdgIAy6QmHo5LuKlWfAsM4&amp;source=documentstudio&amp;timestamp=1748831332311</t>
  </si>
  <si>
    <t>2_ABaOnud1hckpWqt1NitMm-BuX3T237n0uUjrXKIdDemYYSLnvKdgIAy6QmHo5LuKlWfAsM4</t>
  </si>
  <si>
    <t>https://drive.google.com/open?id=1TfN6zzUbYluw5xdunTlM8B_GiZXJHx9i</t>
  </si>
  <si>
    <t>https://docs.google.com/forms/d/e/1FAIpQLSeEYwFnViiqk1AbexVe1VDR73UApmeuvfn6Yr2vN8WXjwGu2Q/viewform?edit2=2_ABaOnudOEshgXSrwaOnsZjiH3qTQ2ekAiHN_gQOEKYHy7kQx4-vz7500iHbBuVnHMLusI7M&amp;source=documentstudio&amp;timestamp=1748831350543</t>
  </si>
  <si>
    <t>2_ABaOnudOEshgXSrwaOnsZjiH3qTQ2ekAiHN_gQOEKYHy7kQx4-vz7500iHbBuVnHMLusI7M</t>
  </si>
  <si>
    <t>https://drive.google.com/open?id=1dYUHOKYPHOnQzb0Fsvg5wmhcla05yzVW</t>
  </si>
  <si>
    <t>https://docs.google.com/forms/d/e/1FAIpQLSeEYwFnViiqk1AbexVe1VDR73UApmeuvfn6Yr2vN8WXjwGu2Q/viewform?edit2=2_ABaOnue3wSkBn8qO0ff1ozkQr8yUozp12Cf2oc6XOp7by0_pnRwe9tbf_RBnagSTCWqZ23o&amp;source=documentstudio&amp;timestamp=1748831362263</t>
  </si>
  <si>
    <t>2_ABaOnue3wSkBn8qO0ff1ozkQr8yUozp12Cf2oc6XOp7by0_pnRwe9tbf_RBnagSTCWqZ23o</t>
  </si>
  <si>
    <t>https://drive.google.com/open?id=1WEQp3rYt7XLXEVsVTgquk-XvrA8sSLCM</t>
  </si>
  <si>
    <t>https://docs.google.com/forms/d/e/1FAIpQLSeEYwFnViiqk1AbexVe1VDR73UApmeuvfn6Yr2vN8WXjwGu2Q/viewform?edit2=2_ABaOnueR_lk-AXvEtl4o2AQklnl5oLzTV2fSqSvTFBBX8vzimBmtb2xjzDo9Y37D7QIzXGU&amp;source=documentstudio&amp;timestamp=1748831381553</t>
  </si>
  <si>
    <t>2_ABaOnueR_lk-AXvEtl4o2AQklnl5oLzTV2fSqSvTFBBX8vzimBmtb2xjzDo9Y37D7QIzXGU</t>
  </si>
  <si>
    <t>https://drive.google.com/open?id=1H38Q2zzajErVc4jXDjRdf8on2JQEcmfY</t>
  </si>
  <si>
    <t>https://docs.google.com/forms/d/e/1FAIpQLSeEYwFnViiqk1AbexVe1VDR73UApmeuvfn6Yr2vN8WXjwGu2Q/viewform?edit2=2_ABaOnucBEDkdl7jj82eGTddllVnv-H2chpN_ulaYqfR3GogmlolRPclmtlaN1oAja5tM6CY&amp;source=documentstudio&amp;timestamp=1748831412532</t>
  </si>
  <si>
    <t>2_ABaOnucBEDkdl7jj82eGTddllVnv-H2chpN_ulaYqfR3GogmlolRPclmtlaN1oAja5tM6CY</t>
  </si>
  <si>
    <t>https://drive.google.com/open?id=13BSgK1kKpKGnFWKrjcfh4WZVbuzm9m0c</t>
  </si>
  <si>
    <t>https://docs.google.com/forms/d/e/1FAIpQLSeEYwFnViiqk1AbexVe1VDR73UApmeuvfn6Yr2vN8WXjwGu2Q/viewform?edit2=2_ABaOnudLErHGpifp7ZEL4vZ6hTKfjbAb7zJC_h75SQ97YFlpwIkiU3C3ikX7IadWMKuDT_E&amp;source=documentstudio&amp;timestamp=1748831437617</t>
  </si>
  <si>
    <t>2_ABaOnudLErHGpifp7ZEL4vZ6hTKfjbAb7zJC_h75SQ97YFlpwIkiU3C3ikX7IadWMKuDT_E</t>
  </si>
  <si>
    <t>https://drive.google.com/open?id=1uliZEESZKXCXSqjnu8cXoLxLL4SdF1XI</t>
  </si>
  <si>
    <t>https://docs.google.com/forms/d/e/1FAIpQLSeEYwFnViiqk1AbexVe1VDR73UApmeuvfn6Yr2vN8WXjwGu2Q/viewform?edit2=2_ABaOnudZqnir46AuvCWaPpExYhZmphnPFAlTVlMDFs3v-5fCx4MbTQNsR1i_MzmW0lqH-mo&amp;source=documentstudio&amp;timestamp=1748831486715</t>
  </si>
  <si>
    <t>2_ABaOnudZqnir46AuvCWaPpExYhZmphnPFAlTVlMDFs3v-5fCx4MbTQNsR1i_MzmW0lqH-mo</t>
  </si>
  <si>
    <t>https://drive.google.com/open?id=1GgO_XwsNtwC7GMRMExrzsBiZV8I0fkK2</t>
  </si>
  <si>
    <t>https://docs.google.com/forms/d/e/1FAIpQLSeEYwFnViiqk1AbexVe1VDR73UApmeuvfn6Yr2vN8WXjwGu2Q/viewform?edit2=2_ABaOnueX2L26DmYONxYie3CSzAvTNr13cv4NSKEzFtG0GBjGY0DqV0TvZ4pJcsBXE6D3Bnw&amp;source=documentstudio&amp;timestamp=1748831532994</t>
  </si>
  <si>
    <t>2_ABaOnueX2L26DmYONxYie3CSzAvTNr13cv4NSKEzFtG0GBjGY0DqV0TvZ4pJcsBXE6D3Bnw</t>
  </si>
  <si>
    <t>https://drive.google.com/open?id=1q5s-UlB1Fq-RbWnh7Yd6ta5CkQ2LK0so</t>
  </si>
  <si>
    <t>https://docs.google.com/forms/d/e/1FAIpQLSeEYwFnViiqk1AbexVe1VDR73UApmeuvfn6Yr2vN8WXjwGu2Q/viewform?edit2=2_ABaOnufis3bnTewYWBFczuTPf_TUAB4ZA7QwwlZSltTL2VJHPzXZF_W6kvLmD_G1zv6X8IU&amp;source=documentstudio&amp;timestamp=1748831553591</t>
  </si>
  <si>
    <t>2_ABaOnufis3bnTewYWBFczuTPf_TUAB4ZA7QwwlZSltTL2VJHPzXZF_W6kvLmD_G1zv6X8IU</t>
  </si>
  <si>
    <t>https://drive.google.com/open?id=11fow8wlD8LpmfkdGTkcx4ho3O_PvdPQX</t>
  </si>
  <si>
    <t>https://docs.google.com/forms/d/e/1FAIpQLSeEYwFnViiqk1AbexVe1VDR73UApmeuvfn6Yr2vN8WXjwGu2Q/viewform?edit2=2_ABaOnudYeZMoRqNtv-PfM0ffLO5YLuVDbxy64eNaz-QnZyoqx2xKblVb27wVZwYaL0i51EE&amp;source=documentstudio&amp;timestamp=1748831573741</t>
  </si>
  <si>
    <t>2_ABaOnudYeZMoRqNtv-PfM0ffLO5YLuVDbxy64eNaz-QnZyoqx2xKblVb27wVZwYaL0i51EE</t>
  </si>
  <si>
    <t>https://drive.google.com/open?id=1AQ-yFp6IYyuUFRs1pkifTtn8W6hxLOG9</t>
  </si>
  <si>
    <t>https://docs.google.com/forms/d/e/1FAIpQLSeEYwFnViiqk1AbexVe1VDR73UApmeuvfn6Yr2vN8WXjwGu2Q/viewform?edit2=2_ABaOnuen6U3xJX2iSjUPmYCkjRGSRvBkpFRg7UFJI0jREeEL6RQNnXTc5KaMOBpardD9c9o&amp;source=documentstudio&amp;timestamp=1748831724516</t>
  </si>
  <si>
    <t>2_ABaOnuen6U3xJX2iSjUPmYCkjRGSRvBkpFRg7UFJI0jREeEL6RQNnXTc5KaMOBpardD9c9o</t>
  </si>
  <si>
    <t>https://drive.google.com/open?id=1tAlMrRTzERvslNG_euwiCxUdaAybnS-p</t>
  </si>
  <si>
    <t>https://docs.google.com/forms/d/e/1FAIpQLSeEYwFnViiqk1AbexVe1VDR73UApmeuvfn6Yr2vN8WXjwGu2Q/viewform?edit2=2_ABaOnud059l1hBSjKDPccGVxtE0vIk6yU5mBmp7jG6BkjzSderVEiASsjQqn9f4_CZgNviA&amp;source=documentstudio&amp;timestamp=1748831735798</t>
  </si>
  <si>
    <t>2_ABaOnud059l1hBSjKDPccGVxtE0vIk6yU5mBmp7jG6BkjzSderVEiASsjQqn9f4_CZgNviA</t>
  </si>
  <si>
    <t>https://drive.google.com/open?id=1Hcdg3ruXAiInAbgJxAa3ieXhWR2aodgn</t>
  </si>
  <si>
    <t>https://docs.google.com/forms/d/e/1FAIpQLSeEYwFnViiqk1AbexVe1VDR73UApmeuvfn6Yr2vN8WXjwGu2Q/viewform?edit2=2_ABaOnue2PqB9oBUWpGGdsEoLSNLmYYSvt-POfYvBEE2V9RY4HfTUfvsuKweZ5X6BpqzR7As&amp;source=documentstudio&amp;timestamp=1748831767077</t>
  </si>
  <si>
    <t>2_ABaOnue2PqB9oBUWpGGdsEoLSNLmYYSvt-POfYvBEE2V9RY4HfTUfvsuKweZ5X6BpqzR7As</t>
  </si>
  <si>
    <t>https://drive.google.com/open?id=1XEP6jCxrCFkSq41Q1ic_dKK3E6WCoU9s</t>
  </si>
  <si>
    <t>https://docs.google.com/forms/d/e/1FAIpQLSeEYwFnViiqk1AbexVe1VDR73UApmeuvfn6Yr2vN8WXjwGu2Q/viewform?edit2=2_ABaOnufEIABBgF_arms-25-qdnLFk0F1mKnUFfSO1V9r0u_3jqgk-Eqcoe7WAlHeCY80kvk&amp;source=documentstudio&amp;timestamp=1748831936371</t>
  </si>
  <si>
    <t>2_ABaOnufEIABBgF_arms-25-qdnLFk0F1mKnUFfSO1V9r0u_3jqgk-Eqcoe7WAlHeCY80kvk</t>
  </si>
  <si>
    <t>https://drive.google.com/open?id=1noMlcc9cvhGwquyNgaBAAKseUg9JYh_x</t>
  </si>
  <si>
    <t>https://docs.google.com/forms/d/e/1FAIpQLSeEYwFnViiqk1AbexVe1VDR73UApmeuvfn6Yr2vN8WXjwGu2Q/viewform?edit2=2_ABaOnud3Doidvi1WqiVEs4PubwwRisiH6otZjKeO0gdwqr8u4HjMRHLj3GxvG1ruw2czyrM&amp;source=documentstudio&amp;timestamp=1748832027541</t>
  </si>
  <si>
    <t>2_ABaOnud3Doidvi1WqiVEs4PubwwRisiH6otZjKeO0gdwqr8u4HjMRHLj3GxvG1ruw2czyrM</t>
  </si>
  <si>
    <t>https://drive.google.com/open?id=1gt1DCpxEXQOUQtizGA-Zu-YrUDY6V3BX</t>
  </si>
  <si>
    <t>https://docs.google.com/forms/d/e/1FAIpQLSeEYwFnViiqk1AbexVe1VDR73UApmeuvfn6Yr2vN8WXjwGu2Q/viewform?edit2=2_ABaOnuccg5KoM4-qBeQAjJLrDA0-f5OlkXDAlf0fbZjBM5TkI0A_2umj4jldFMVYU4si1G8&amp;source=documentstudio&amp;timestamp=1748832060614</t>
  </si>
  <si>
    <t>2_ABaOnuccg5KoM4-qBeQAjJLrDA0-f5OlkXDAlf0fbZjBM5TkI0A_2umj4jldFMVYU4si1G8</t>
  </si>
  <si>
    <t>https://drive.google.com/open?id=1pVdCCbgAjyQ4ysUO5Dx207Z39yzxMDkJ</t>
  </si>
  <si>
    <t>https://docs.google.com/forms/d/e/1FAIpQLSeEYwFnViiqk1AbexVe1VDR73UApmeuvfn6Yr2vN8WXjwGu2Q/viewform?edit2=2_ABaOnue2oC7XYMALExypvThJOOsg7lHw6B9cVxGvlC1_XPamXJK2GwRwFo4tXD18AQHJ718&amp;source=documentstudio&amp;timestamp=1748832093537</t>
  </si>
  <si>
    <t>2_ABaOnue2oC7XYMALExypvThJOOsg7lHw6B9cVxGvlC1_XPamXJK2GwRwFo4tXD18AQHJ718</t>
  </si>
  <si>
    <t>https://drive.google.com/open?id=18V9GFhmS7y4yuB79l57R-aGEw8_v4b-L</t>
  </si>
  <si>
    <t>https://docs.google.com/forms/d/e/1FAIpQLSeEYwFnViiqk1AbexVe1VDR73UApmeuvfn6Yr2vN8WXjwGu2Q/viewform?edit2=2_ABaOnufl2XrD3Mp-GSc2Jo8i17rFXoBzvcwaZcZr_ihFQZAXtH581SyNn3Ci9hnt0WmNJcQ&amp;source=documentstudio&amp;timestamp=1748832122694</t>
  </si>
  <si>
    <t>2_ABaOnufl2XrD3Mp-GSc2Jo8i17rFXoBzvcwaZcZr_ihFQZAXtH581SyNn3Ci9hnt0WmNJcQ</t>
  </si>
  <si>
    <t>https://drive.google.com/open?id=1QhJhPOxtmc51ICHrdEJ2BQ0FaQmtU9xo</t>
  </si>
  <si>
    <t>https://docs.google.com/forms/d/e/1FAIpQLSeEYwFnViiqk1AbexVe1VDR73UApmeuvfn6Yr2vN8WXjwGu2Q/viewform?edit2=2_ABaOnud4HvETpRRrPAomJx9twd6R12BtKEJMcKV4E9NnxW5yGV8P3RISupgLy9AjEekkJn8&amp;source=documentstudio&amp;timestamp=1748832542488</t>
  </si>
  <si>
    <t>2_ABaOnud4HvETpRRrPAomJx9twd6R12BtKEJMcKV4E9NnxW5yGV8P3RISupgLy9AjEekkJn8</t>
  </si>
  <si>
    <t>https://drive.google.com/open?id=1BMaesuoDnrRWr8rgRc6k36Ow2Cy1zckt</t>
  </si>
  <si>
    <t>https://docs.google.com/forms/d/e/1FAIpQLSeEYwFnViiqk1AbexVe1VDR73UApmeuvfn6Yr2vN8WXjwGu2Q/viewform?edit2=2_ABaOnufS3bjvQbvBzEKUXnkPz7CjhwNJ-4UYFj2g_-wpu96W7aOKxqUAKF3wib5pYJxe36c&amp;source=documentstudio&amp;timestamp=1748833152035</t>
  </si>
  <si>
    <t>2_ABaOnufS3bjvQbvBzEKUXnkPz7CjhwNJ-4UYFj2g_-wpu96W7aOKxqUAKF3wib5pYJxe36c</t>
  </si>
  <si>
    <t>https://drive.google.com/open?id=1r9Zko8q0W-f1VT-4-yKeql8E_8L_6EMX</t>
  </si>
  <si>
    <t>https://docs.google.com/forms/d/e/1FAIpQLSeEYwFnViiqk1AbexVe1VDR73UApmeuvfn6Yr2vN8WXjwGu2Q/viewform?edit2=2_ABaOnudK7k5bCX3H470CV7E6gobq_HQvbsWsNI5DD_XMUOc806jKGnsv7KV18MZtrBpfPDY&amp;source=documentstudio&amp;timestamp=1748833588266</t>
  </si>
  <si>
    <t>2_ABaOnudK7k5bCX3H470CV7E6gobq_HQvbsWsNI5DD_XMUOc806jKGnsv7KV18MZtrBpfPDY</t>
  </si>
  <si>
    <t>https://drive.google.com/open?id=1XPx03H0BfmHRXeRMHgp36q_2a7oLvkgf</t>
  </si>
  <si>
    <t>https://docs.google.com/forms/d/e/1FAIpQLSeEYwFnViiqk1AbexVe1VDR73UApmeuvfn6Yr2vN8WXjwGu2Q/viewform?edit2=2_ABaOnucVA04UzcA-0An2NU82THU7LAdBFE9P--Xqhq9NB-PwPcBRAyauOQeDH-m-LXq87Gk&amp;source=documentstudio&amp;timestamp=1748834089812</t>
  </si>
  <si>
    <t>2_ABaOnucVA04UzcA-0An2NU82THU7LAdBFE9P--Xqhq9NB-PwPcBRAyauOQeDH-m-LXq87Gk</t>
  </si>
  <si>
    <t>https://drive.google.com/open?id=1-N8eQroMkLO6qdjWV6fgzpCorbjUPRWI</t>
  </si>
  <si>
    <t>https://docs.google.com/forms/d/e/1FAIpQLSeEYwFnViiqk1AbexVe1VDR73UApmeuvfn6Yr2vN8WXjwGu2Q/viewform?edit2=2_ABaOnueoCEEYUIkA8dhP0rDnsCiERz9uZl3t4XTCsKg1hl4F2ierhX0H_B1sFYREGyIUlXQ&amp;source=documentstudio&amp;timestamp=1748837473345</t>
  </si>
  <si>
    <t>2_ABaOnueoCEEYUIkA8dhP0rDnsCiERz9uZl3t4XTCsKg1hl4F2ierhX0H_B1sFYREGyIUlXQ</t>
  </si>
  <si>
    <t>https://drive.google.com/open?id=1twXZ0s8M9f_0JbvYYwKiZKmYGHDglI7x</t>
  </si>
  <si>
    <t>https://docs.google.com/forms/d/e/1FAIpQLSeEYwFnViiqk1AbexVe1VDR73UApmeuvfn6Yr2vN8WXjwGu2Q/viewform?edit2=2_ABaOnudJmbvBzuAFqgaQfLwftC5g_Js_J53zLUucZo8kNzgMAJmSvDMdElwglCQRwzVYfsw&amp;source=documentstudio&amp;timestamp=1748839560318</t>
  </si>
  <si>
    <t>2_ABaOnudJmbvBzuAFqgaQfLwftC5g_Js_J53zLUucZo8kNzgMAJmSvDMdElwglCQRwzVYfsw</t>
  </si>
  <si>
    <t>https://drive.google.com/open?id=1g3hKvRPw3XqFj--GgasX7L19Hdl4qhvi</t>
  </si>
  <si>
    <t>https://docs.google.com/forms/d/e/1FAIpQLSeEYwFnViiqk1AbexVe1VDR73UApmeuvfn6Yr2vN8WXjwGu2Q/viewform?edit2=2_ABaOnueTv8xFiyknKag815TqpALtla0msIf1c84n0V408Kkur4_lCDlh9qIf_EdMurCUIKQ&amp;source=documentstudio&amp;timestamp=1748839583981</t>
  </si>
  <si>
    <t>2_ABaOnueTv8xFiyknKag815TqpALtla0msIf1c84n0V408Kkur4_lCDlh9qIf_EdMurCUIKQ</t>
  </si>
  <si>
    <t>https://drive.google.com/open?id=1JsSFr8Dda-1U7Il3JHJ5ddC89exEVgGz</t>
  </si>
  <si>
    <t>https://docs.google.com/forms/d/e/1FAIpQLSeEYwFnViiqk1AbexVe1VDR73UApmeuvfn6Yr2vN8WXjwGu2Q/viewform?edit2=2_ABaOnucDYn8amqSSwJCPzYeLoqx2y4KTm0MUUylIyj7u5ca7qRWwB5bapBGG4UDf0-B257I&amp;source=documentstudio&amp;timestamp=1748839606126</t>
  </si>
  <si>
    <t>2_ABaOnucDYn8amqSSwJCPzYeLoqx2y4KTm0MUUylIyj7u5ca7qRWwB5bapBGG4UDf0-B257I</t>
  </si>
  <si>
    <t>https://drive.google.com/open?id=1CFjWhWtzzjl1DBkCI55lOLzLQf2Thtr5</t>
  </si>
  <si>
    <t>https://docs.google.com/forms/d/e/1FAIpQLSeEYwFnViiqk1AbexVe1VDR73UApmeuvfn6Yr2vN8WXjwGu2Q/viewform?edit2=2_ABaOnueB4xA8O8y86XkmnLnoYPM0Fxg_THTu0i5tAFJTpGaGppnBE8xWvftEVbQZUWwGylw&amp;source=documentstudio&amp;timestamp=1748844058249</t>
  </si>
  <si>
    <t>2_ABaOnueB4xA8O8y86XkmnLnoYPM0Fxg_THTu0i5tAFJTpGaGppnBE8xWvftEVbQZUWwGylw</t>
  </si>
  <si>
    <t>https://drive.google.com/open?id=1czTlyGVQwMywjHK6kql9NPA6YcujvbSk</t>
  </si>
  <si>
    <t>https://docs.google.com/forms/d/e/1FAIpQLSeEYwFnViiqk1AbexVe1VDR73UApmeuvfn6Yr2vN8WXjwGu2Q/viewform?edit2=2_ABaOnucWsl6Yt92JdrphoLJh2oUDw9nJsxIKBJonOI834q_XJTKz4TxSXZsYo3TtH06moXo&amp;source=documentstudio&amp;timestamp=1748844086202</t>
  </si>
  <si>
    <t>2_ABaOnucWsl6Yt92JdrphoLJh2oUDw9nJsxIKBJonOI834q_XJTKz4TxSXZsYo3TtH06moXo</t>
  </si>
  <si>
    <t>https://drive.google.com/open?id=1MiB-XJrFidn8ucQ0MUJfUa7uT8bFLQel</t>
  </si>
  <si>
    <t>https://docs.google.com/forms/d/e/1FAIpQLSeEYwFnViiqk1AbexVe1VDR73UApmeuvfn6Yr2vN8WXjwGu2Q/viewform?edit2=2_ABaOnufg3UaMJ7x739JpMPyOoq-ltb-oMiggoz05BKQBXvoDoSnyRnc2GJ7tJzlU1i7_YmI&amp;source=documentstudio&amp;timestamp=1748844113760</t>
  </si>
  <si>
    <t>2_ABaOnufg3UaMJ7x739JpMPyOoq-ltb-oMiggoz05BKQBXvoDoSnyRnc2GJ7tJzlU1i7_YmI</t>
  </si>
  <si>
    <t>https://drive.google.com/open?id=1smY85GJAZ4MNhex7-5lEEoDoubdxQXGE</t>
  </si>
  <si>
    <t>https://docs.google.com/forms/d/e/1FAIpQLSeEYwFnViiqk1AbexVe1VDR73UApmeuvfn6Yr2vN8WXjwGu2Q/viewform?edit2=2_ABaOnudVmu-sUgCN31v91qMkriy5ZvpwwEOjz8MwU7r1588ZIWxi7SM8IdLSFqMozcGZUfA&amp;source=documentstudio&amp;timestamp=1748844139740</t>
  </si>
  <si>
    <t>2_ABaOnudVmu-sUgCN31v91qMkriy5ZvpwwEOjz8MwU7r1588ZIWxi7SM8IdLSFqMozcGZUfA</t>
  </si>
  <si>
    <t>Suko Prayogi</t>
  </si>
  <si>
    <t>https://drive.google.com/open?id=1O1h7kTqivN_WUHkw3X5YhCXwW8aicIWo</t>
  </si>
  <si>
    <t>https://docs.google.com/forms/d/e/1FAIpQLSeEYwFnViiqk1AbexVe1VDR73UApmeuvfn6Yr2vN8WXjwGu2Q/viewform?edit2=2_ABaOnuf4Ni_BxvsFQ6e-JpowXIS876ORDbDhMOWhdc0QATbdQdOutva79kpDRpB_kvSOZLE&amp;source=documentstudio&amp;timestamp=1748846107152</t>
  </si>
  <si>
    <t>2_ABaOnuf4Ni_BxvsFQ6e-JpowXIS876ORDbDhMOWhdc0QATbdQdOutva79kpDRpB_kvSOZLE</t>
  </si>
  <si>
    <t>https://drive.google.com/open?id=1r9mIgP-SesU0qqZQfNkxfh1JNxZAp7cV</t>
  </si>
  <si>
    <t>https://docs.google.com/forms/d/e/1FAIpQLSeEYwFnViiqk1AbexVe1VDR73UApmeuvfn6Yr2vN8WXjwGu2Q/viewform?edit2=2_ABaOnucK5CxrnnBvG6sumwgDnetT7FDShicmL9yf4ToOnKMT8XXRh_du-jeBeLM7K4SaR7k&amp;source=documentstudio&amp;timestamp=1748846133222</t>
  </si>
  <si>
    <t>2_ABaOnucK5CxrnnBvG6sumwgDnetT7FDShicmL9yf4ToOnKMT8XXRh_du-jeBeLM7K4SaR7k</t>
  </si>
  <si>
    <t>https://drive.google.com/open?id=1DCMaMcokUkHuvRjg-av_9Om-86GGHu4W</t>
  </si>
  <si>
    <t>https://docs.google.com/forms/d/e/1FAIpQLSeEYwFnViiqk1AbexVe1VDR73UApmeuvfn6Yr2vN8WXjwGu2Q/viewform?edit2=2_ABaOnueOoSkw5RdPtQTjMqWagg74HmkOGVhkCPXnLlHrNRTxauwaBrfkPDvM1TlWy4IZCOg&amp;source=documentstudio&amp;timestamp=1748846165116</t>
  </si>
  <si>
    <t>2_ABaOnueOoSkw5RdPtQTjMqWagg74HmkOGVhkCPXnLlHrNRTxauwaBrfkPDvM1TlWy4IZCOg</t>
  </si>
  <si>
    <t>https://drive.google.com/open?id=1eNw96S9v7BJSYyqYXLfw8tSJ0hpZn1Nx</t>
  </si>
  <si>
    <t>https://docs.google.com/forms/d/e/1FAIpQLSeEYwFnViiqk1AbexVe1VDR73UApmeuvfn6Yr2vN8WXjwGu2Q/viewform?edit2=2_ABaOnucugim7P2RzUl99i9JAaQ0Kq97qUOP_BC6_6ss7JprXTL9VEkctBFAE5oAtlx1sjw0&amp;source=documentstudio&amp;timestamp=1748846203436</t>
  </si>
  <si>
    <t>2_ABaOnucugim7P2RzUl99i9JAaQ0Kq97qUOP_BC6_6ss7JprXTL9VEkctBFAE5oAtlx1sjw0</t>
  </si>
  <si>
    <t>https://drive.google.com/open?id=1YFVz3bfU1cMlilOnCz5E2zOI_uq9LmK2</t>
  </si>
  <si>
    <t>https://docs.google.com/forms/d/e/1FAIpQLSeEYwFnViiqk1AbexVe1VDR73UApmeuvfn6Yr2vN8WXjwGu2Q/viewform?edit2=2_ABaOnueqe1zk06n1tS-wcCBUOaXuedbxYvF3eomHBXRK9UQiEfmdscKlo9IJgYxrqRymPDQ&amp;source=documentstudio&amp;timestamp=1748846240752</t>
  </si>
  <si>
    <t>2_ABaOnueqe1zk06n1tS-wcCBUOaXuedbxYvF3eomHBXRK9UQiEfmdscKlo9IJgYxrqRymPDQ</t>
  </si>
  <si>
    <t>https://drive.google.com/open?id=1m4MOxkjDZLq2Lyw4hUrde3CTVRbiKoa2</t>
  </si>
  <si>
    <t>https://docs.google.com/forms/d/e/1FAIpQLSeEYwFnViiqk1AbexVe1VDR73UApmeuvfn6Yr2vN8WXjwGu2Q/viewform?edit2=2_ABaOnucfTSWbfI2JU3ocnxLT3275ZWG_-XB5Mow1qH7W_aK_njh6HubyeB7jl4mWU5gxOtw&amp;source=documentstudio&amp;timestamp=1748846275334</t>
  </si>
  <si>
    <t>2_ABaOnucfTSWbfI2JU3ocnxLT3275ZWG_-XB5Mow1qH7W_aK_njh6HubyeB7jl4mWU5gxOtw</t>
  </si>
  <si>
    <t>https://drive.google.com/open?id=10NPUgn0WGjvlSYx0G9q2WTp2WrAEVHJM</t>
  </si>
  <si>
    <t>https://docs.google.com/forms/d/e/1FAIpQLSeEYwFnViiqk1AbexVe1VDR73UApmeuvfn6Yr2vN8WXjwGu2Q/viewform?edit2=2_ABaOnueci64NwIzNWTFgcQXzPb_UjLVDSPmK8H_xhp4_eaFiIcyBmhdwt08-hJfdRvva88A&amp;source=documentstudio&amp;timestamp=1748846308327</t>
  </si>
  <si>
    <t>2_ABaOnueci64NwIzNWTFgcQXzPb_UjLVDSPmK8H_xhp4_eaFiIcyBmhdwt08-hJfdRvva88A</t>
  </si>
  <si>
    <t>https://drive.google.com/open?id=1ZOoeifIQ25BnotoUXsTvloUnJuz8CLhV</t>
  </si>
  <si>
    <t>https://docs.google.com/forms/d/e/1FAIpQLSeEYwFnViiqk1AbexVe1VDR73UApmeuvfn6Yr2vN8WXjwGu2Q/viewform?edit2=2_ABaOnucgJaUAjZ7nKWaJxtabsjCpr3ZHlVlM_xTd5euTQTjzY95DPgZ2FFMukb4Gale2nN8&amp;source=documentstudio&amp;timestamp=1748846604998</t>
  </si>
  <si>
    <t>2_ABaOnucgJaUAjZ7nKWaJxtabsjCpr3ZHlVlM_xTd5euTQTjzY95DPgZ2FFMukb4Gale2nN8</t>
  </si>
  <si>
    <t>https://drive.google.com/open?id=1uddST3THSaYUzw49gE6e5mZpyLYwWE55</t>
  </si>
  <si>
    <t>https://docs.google.com/forms/d/e/1FAIpQLSeEYwFnViiqk1AbexVe1VDR73UApmeuvfn6Yr2vN8WXjwGu2Q/viewform?edit2=2_ABaOnuejm3iS7WSh16rMFbl6sSTK09YP0qU1YG0k81MrFur2y4z94EiBAB5rwuDHKysTNJE&amp;source=documentstudio&amp;timestamp=1748846644804</t>
  </si>
  <si>
    <t>2_ABaOnuejm3iS7WSh16rMFbl6sSTK09YP0qU1YG0k81MrFur2y4z94EiBAB5rwuDHKysTNJE</t>
  </si>
  <si>
    <t>https://drive.google.com/open?id=1C99524b-B76k3U3WbAGYmC1C9_uJ2VMk</t>
  </si>
  <si>
    <t>https://docs.google.com/forms/d/e/1FAIpQLSeEYwFnViiqk1AbexVe1VDR73UApmeuvfn6Yr2vN8WXjwGu2Q/viewform?edit2=2_ABaOnucC9mQw17iY-1Km6ycpcj32jCCfvfSJu0DtILXNp1V9DqrMoDmkSx9ooWjcTZSP7-s&amp;source=documentstudio&amp;timestamp=1748846667182</t>
  </si>
  <si>
    <t>2_ABaOnucC9mQw17iY-1Km6ycpcj32jCCfvfSJu0DtILXNp1V9DqrMoDmkSx9ooWjcTZSP7-s</t>
  </si>
  <si>
    <t>https://drive.google.com/open?id=1PbFHvTCSAIyFmfDIWzCRJ29eM4EiPek5</t>
  </si>
  <si>
    <t>https://docs.google.com/forms/d/e/1FAIpQLSeEYwFnViiqk1AbexVe1VDR73UApmeuvfn6Yr2vN8WXjwGu2Q/viewform?edit2=2_ABaOnucyIgEDC0bfuJge-3xHrbLLwBePZNnQpKX9SwUwYsaGuyCAwf7HexcYUtX7E2Zv1z4&amp;source=documentstudio&amp;timestamp=1748846685226</t>
  </si>
  <si>
    <t>2_ABaOnucyIgEDC0bfuJge-3xHrbLLwBePZNnQpKX9SwUwYsaGuyCAwf7HexcYUtX7E2Zv1z4</t>
  </si>
  <si>
    <t>https://drive.google.com/open?id=1XE79IBDvVWDIhxdMaOQFQpgg2k685alj</t>
  </si>
  <si>
    <t>https://docs.google.com/forms/d/e/1FAIpQLSeEYwFnViiqk1AbexVe1VDR73UApmeuvfn6Yr2vN8WXjwGu2Q/viewform?edit2=2_ABaOnufJ__xhHkmv3LdabiH9H6_L0KtvNshbII41iw8xvOMaVMrfkEwt-0QnzukSagoYC2o&amp;source=documentstudio&amp;timestamp=1748849963707</t>
  </si>
  <si>
    <t>2_ABaOnufJ__xhHkmv3LdabiH9H6_L0KtvNshbII41iw8xvOMaVMrfkEwt-0QnzukSagoYC2o</t>
  </si>
  <si>
    <t>https://drive.google.com/open?id=1BA1g3vbeZUzLg4LtsWhbwBuH33uE2In9</t>
  </si>
  <si>
    <t>https://docs.google.com/forms/d/e/1FAIpQLSeEYwFnViiqk1AbexVe1VDR73UApmeuvfn6Yr2vN8WXjwGu2Q/viewform?edit2=2_ABaOnuctHgGSksbOyn_4fSCPWRnE5ZG6RZsqYFgcM3zuzsM4qh5Eq5RnNbGjVGpW4VllFjg&amp;source=documentstudio&amp;timestamp=1748850001328</t>
  </si>
  <si>
    <t>2_ABaOnuctHgGSksbOyn_4fSCPWRnE5ZG6RZsqYFgcM3zuzsM4qh5Eq5RnNbGjVGpW4VllFjg</t>
  </si>
  <si>
    <t>https://drive.google.com/open?id=1CmuPTvwwv0lOv2W0btdLp0m6PX_3nJPz</t>
  </si>
  <si>
    <t>https://docs.google.com/forms/d/e/1FAIpQLSeEYwFnViiqk1AbexVe1VDR73UApmeuvfn6Yr2vN8WXjwGu2Q/viewform?edit2=2_ABaOnufcSyBFJ95MiLpzDo4QEUBGmFE_eCnkJbtOXIgYs_pDjkHXPDWexjEdvO80CAldK1M&amp;source=documentstudio&amp;timestamp=1748850042278</t>
  </si>
  <si>
    <t>2_ABaOnufcSyBFJ95MiLpzDo4QEUBGmFE_eCnkJbtOXIgYs_pDjkHXPDWexjEdvO80CAldK1M</t>
  </si>
  <si>
    <t>https://drive.google.com/open?id=1z9I083idEAQTv0QNUmOW53h8pCB4c0N5</t>
  </si>
  <si>
    <t>https://docs.google.com/forms/d/e/1FAIpQLSeEYwFnViiqk1AbexVe1VDR73UApmeuvfn6Yr2vN8WXjwGu2Q/viewform?edit2=2_ABaOnucrWWrtF5FXvNYrACCqhXH8H8nYuqpQED5VAJdep7VVyZbofjt8zSf8Pz6_h2IZODU&amp;source=documentstudio&amp;timestamp=1748917122919</t>
  </si>
  <si>
    <t>2_ABaOnucrWWrtF5FXvNYrACCqhXH8H8nYuqpQED5VAJdep7VVyZbofjt8zSf8Pz6_h2IZODU</t>
  </si>
  <si>
    <t>https://drive.google.com/open?id=1jLKMFc1M9D4Zac105LwwxV37PLiqb2Aa</t>
  </si>
  <si>
    <t>https://docs.google.com/forms/d/e/1FAIpQLSeEYwFnViiqk1AbexVe1VDR73UApmeuvfn6Yr2vN8WXjwGu2Q/viewform?edit2=2_ABaOnuerk-TUkx0fDyDBI04fcKZEVW_wbXK2STYRnhKJF2p2CPzsGAG4Mr7BWYwzx4YUSQM&amp;source=documentstudio&amp;timestamp=1748917151647</t>
  </si>
  <si>
    <t>2_ABaOnuerk-TUkx0fDyDBI04fcKZEVW_wbXK2STYRnhKJF2p2CPzsGAG4Mr7BWYwzx4YUSQM</t>
  </si>
  <si>
    <t>https://drive.google.com/open?id=1Bb3HOqmsc6TGTRolS9-FYO7NqxMaF7p9</t>
  </si>
  <si>
    <t>https://docs.google.com/forms/d/e/1FAIpQLSeEYwFnViiqk1AbexVe1VDR73UApmeuvfn6Yr2vN8WXjwGu2Q/viewform?edit2=2_ABaOnueDJDdS92x4W2Yn5eJoKL_1qSNgFEaLSRlIODbxQo0DlCaZBv4XgaT5ea5X7BOzosI&amp;source=documentstudio&amp;timestamp=1748917174087</t>
  </si>
  <si>
    <t>2_ABaOnueDJDdS92x4W2Yn5eJoKL_1qSNgFEaLSRlIODbxQo0DlCaZBv4XgaT5ea5X7BOzosI</t>
  </si>
  <si>
    <t>https://drive.google.com/open?id=16yZ3TPcULxORapAFHKItCuSyQyjgCa_r</t>
  </si>
  <si>
    <t>https://docs.google.com/forms/d/e/1FAIpQLSeEYwFnViiqk1AbexVe1VDR73UApmeuvfn6Yr2vN8WXjwGu2Q/viewform?edit2=2_ABaOnucQ4Qd22qWyOmJhQ2Jy9orx75B7RzBIskH8iE0EOgl5XHO32Eo780ChLB-HmhgTitg&amp;source=documentstudio&amp;timestamp=1748917194659</t>
  </si>
  <si>
    <t>2_ABaOnucQ4Qd22qWyOmJhQ2Jy9orx75B7RzBIskH8iE0EOgl5XHO32Eo780ChLB-HmhgTitg</t>
  </si>
  <si>
    <t>https://drive.google.com/open?id=1jdtJ4TgcfCcd-k9W_-NdrI1FooBoSYDt</t>
  </si>
  <si>
    <t>https://docs.google.com/forms/d/e/1FAIpQLSeEYwFnViiqk1AbexVe1VDR73UApmeuvfn6Yr2vN8WXjwGu2Q/viewform?edit2=2_ABaOnucVvZ0cCYOJKF8XhwtaLum8FOEW1G8LbnyhLHn0q2EHYW3lF_U7RhIe1ZCMNJawdfE&amp;source=documentstudio&amp;timestamp=1748917201732</t>
  </si>
  <si>
    <t>2_ABaOnucVvZ0cCYOJKF8XhwtaLum8FOEW1G8LbnyhLHn0q2EHYW3lF_U7RhIe1ZCMNJawdfE</t>
  </si>
  <si>
    <t>https://drive.google.com/open?id=1bcPi23UXqsyvDRwyJvSic1rlY_NdJWv3</t>
  </si>
  <si>
    <t>https://docs.google.com/forms/d/e/1FAIpQLSeEYwFnViiqk1AbexVe1VDR73UApmeuvfn6Yr2vN8WXjwGu2Q/viewform?edit2=2_ABaOnucWNdv6jJvcZtnbSQAPwGMbriLqAo4pd9C7CiN709w6lsMEBQemSIFzIrgnFt2y5As&amp;source=documentstudio&amp;timestamp=1748917217547</t>
  </si>
  <si>
    <t>2_ABaOnucWNdv6jJvcZtnbSQAPwGMbriLqAo4pd9C7CiN709w6lsMEBQemSIFzIrgnFt2y5As</t>
  </si>
  <si>
    <t>https://drive.google.com/open?id=1HxsETP1MZok0IIrCUHrDYhNtcCDIQ86G</t>
  </si>
  <si>
    <t>https://docs.google.com/forms/d/e/1FAIpQLSeEYwFnViiqk1AbexVe1VDR73UApmeuvfn6Yr2vN8WXjwGu2Q/viewform?edit2=2_ABaOnuevzJiBFf7S2CsfeJCZzOwl5urwIWFbFVrHFr9FkenyXwWQeYVxYWK3Pg6IPYB49bI&amp;source=documentstudio&amp;timestamp=1748917234592</t>
  </si>
  <si>
    <t>2_ABaOnuevzJiBFf7S2CsfeJCZzOwl5urwIWFbFVrHFr9FkenyXwWQeYVxYWK3Pg6IPYB49bI</t>
  </si>
  <si>
    <t>https://drive.google.com/open?id=1z0ujZ8FLHrz7Eljoi-l1j2_38Fp88OrN</t>
  </si>
  <si>
    <t>https://docs.google.com/forms/d/e/1FAIpQLSeEYwFnViiqk1AbexVe1VDR73UApmeuvfn6Yr2vN8WXjwGu2Q/viewform?edit2=2_ABaOnufRXJjKdZZzZjgiGBAiN7FosurkEGEpgxKwJlUf_r90KO3eh4iDwjTzy_f8x7xyc8I&amp;source=documentstudio&amp;timestamp=1748917295011</t>
  </si>
  <si>
    <t>2_ABaOnufRXJjKdZZzZjgiGBAiN7FosurkEGEpgxKwJlUf_r90KO3eh4iDwjTzy_f8x7xyc8I</t>
  </si>
  <si>
    <t>https://drive.google.com/open?id=1F58-034VN-coW5u4jiAMd1sUnhkAsSXF</t>
  </si>
  <si>
    <t>https://docs.google.com/forms/d/e/1FAIpQLSeEYwFnViiqk1AbexVe1VDR73UApmeuvfn6Yr2vN8WXjwGu2Q/viewform?edit2=2_ABaOnudvJb4wrCAa73Pj7rXSKQaj2fSYogFclRWouOtr8LNXEsDYSjHQIi3uNpHqclDyS-A&amp;source=documentstudio&amp;timestamp=1748917356565</t>
  </si>
  <si>
    <t>2_ABaOnudvJb4wrCAa73Pj7rXSKQaj2fSYogFclRWouOtr8LNXEsDYSjHQIi3uNpHqclDyS-A</t>
  </si>
  <si>
    <t>https://drive.google.com/open?id=10KQ0QHUJdU6MNk-SkL2IXzQvuxC0cYBx</t>
  </si>
  <si>
    <t>https://docs.google.com/forms/d/e/1FAIpQLSeEYwFnViiqk1AbexVe1VDR73UApmeuvfn6Yr2vN8WXjwGu2Q/viewform?edit2=2_ABaOnudw4vFPwwFCwdtm0KfcJMD1OZ5a-2iCI7COHMxzdDW-8A8ABevBzixo7AHdYMEX4Go&amp;source=documentstudio&amp;timestamp=1748917391382</t>
  </si>
  <si>
    <t>2_ABaOnudw4vFPwwFCwdtm0KfcJMD1OZ5a-2iCI7COHMxzdDW-8A8ABevBzixo7AHdYMEX4Go</t>
  </si>
  <si>
    <t>https://drive.google.com/open?id=1hbD1madkItUJuIfFtuvnTNmnuYo12D7E</t>
  </si>
  <si>
    <t>https://docs.google.com/forms/d/e/1FAIpQLSeEYwFnViiqk1AbexVe1VDR73UApmeuvfn6Yr2vN8WXjwGu2Q/viewform?edit2=2_ABaOnuc6PiY16_HQ4Pm8HUyGWL2KJSXvwfe7ylBZJbxZ8CJWZ6EbPQ_lrQlRxxYwZ8WHwts&amp;source=documentstudio&amp;timestamp=1748917613592</t>
  </si>
  <si>
    <t>2_ABaOnuc6PiY16_HQ4Pm8HUyGWL2KJSXvwfe7ylBZJbxZ8CJWZ6EbPQ_lrQlRxxYwZ8WHwts</t>
  </si>
  <si>
    <t>https://drive.google.com/open?id=1ngfSfyo7UL2f70qdcXODXVIbf1wFjqnl</t>
  </si>
  <si>
    <t>https://docs.google.com/forms/d/e/1FAIpQLSeEYwFnViiqk1AbexVe1VDR73UApmeuvfn6Yr2vN8WXjwGu2Q/viewform?edit2=2_ABaOnudC41wt4_OWEQaLpxWpn5nOOCQCiKm5pa6ykOKsF3thTBP_hvM7Llqo8Zt02d7mO84&amp;source=documentstudio&amp;timestamp=1748917879297</t>
  </si>
  <si>
    <t>2_ABaOnudC41wt4_OWEQaLpxWpn5nOOCQCiKm5pa6ykOKsF3thTBP_hvM7Llqo8Zt02d7mO84</t>
  </si>
  <si>
    <t>https://drive.google.com/open?id=1vRtyEtXM1gMBOkbfVCeeF3RlHmzcjbEe</t>
  </si>
  <si>
    <t>https://docs.google.com/forms/d/e/1FAIpQLSeEYwFnViiqk1AbexVe1VDR73UApmeuvfn6Yr2vN8WXjwGu2Q/viewform?edit2=2_ABaOnufOboYXt3CMnnm66Kpc_9hfLeOtyGoJPDYPZgvv1UR9ll5MtgCEw8giv5SN_JwRntw&amp;source=documentstudio&amp;timestamp=1748918046561</t>
  </si>
  <si>
    <t>2_ABaOnufOboYXt3CMnnm66Kpc_9hfLeOtyGoJPDYPZgvv1UR9ll5MtgCEw8giv5SN_JwRntw</t>
  </si>
  <si>
    <t>https://drive.google.com/open?id=1tcdwUlZ9y5n_25XJsOPf4PBRxu64SmkB</t>
  </si>
  <si>
    <t>https://docs.google.com/forms/d/e/1FAIpQLSeEYwFnViiqk1AbexVe1VDR73UApmeuvfn6Yr2vN8WXjwGu2Q/viewform?edit2=2_ABaOnuc20Fj_ukCY1QAWBOs9ZB4TElN7Vn8q2sPYBpmcJge3m8aE_uXF2Wz3qER4-Qgq7Yg&amp;source=documentstudio&amp;timestamp=1748918088862</t>
  </si>
  <si>
    <t>2_ABaOnuc20Fj_ukCY1QAWBOs9ZB4TElN7Vn8q2sPYBpmcJge3m8aE_uXF2Wz3qER4-Qgq7Yg</t>
  </si>
  <si>
    <t>https://drive.google.com/open?id=1Fs8Nqfq6Rv6JRBXqQV4-AIMH3vzsRAmL</t>
  </si>
  <si>
    <t>https://docs.google.com/forms/d/e/1FAIpQLSeEYwFnViiqk1AbexVe1VDR73UApmeuvfn6Yr2vN8WXjwGu2Q/viewform?edit2=2_ABaOnudBQVR5u37QVfS4PL_E0e92S3t4J9YEDnI1gPeud-mKzIPRF0c5zvnIiEjGWqGaHwU&amp;source=documentstudio&amp;timestamp=1748918119557</t>
  </si>
  <si>
    <t>2_ABaOnudBQVR5u37QVfS4PL_E0e92S3t4J9YEDnI1gPeud-mKzIPRF0c5zvnIiEjGWqGaHwU</t>
  </si>
  <si>
    <t>Khomarudin</t>
  </si>
  <si>
    <t>https://drive.google.com/open?id=1DdXGWkC_0PBLXNl7ibPmpTgM5C7AdpPq</t>
  </si>
  <si>
    <t>https://docs.google.com/forms/d/e/1FAIpQLSeEYwFnViiqk1AbexVe1VDR73UApmeuvfn6Yr2vN8WXjwGu2Q/viewform?edit2=2_ABaOnuc2SHyrDmDUyC3nAcUcc2h2V031Zu_5xKbmKkjShyoiK-IqUllGLannBeTs-bCN9oA&amp;source=documentstudio&amp;timestamp=1748918942088</t>
  </si>
  <si>
    <t>2_ABaOnuc2SHyrDmDUyC3nAcUcc2h2V031Zu_5xKbmKkjShyoiK-IqUllGLannBeTs-bCN9oA</t>
  </si>
  <si>
    <t>https://drive.google.com/open?id=1KAUv6uszWWzHMdYYpLMzRDjFdBvc6nPH</t>
  </si>
  <si>
    <t>https://docs.google.com/forms/d/e/1FAIpQLSeEYwFnViiqk1AbexVe1VDR73UApmeuvfn6Yr2vN8WXjwGu2Q/viewform?edit2=2_ABaOnud2hJ5hSvPnxVr6mJ03YlTYVA9PdX4aENwhvyQpOuUR8ip46VTDBEFa60_bdBxxEHI&amp;source=documentstudio&amp;timestamp=1748920059042</t>
  </si>
  <si>
    <t>2_ABaOnud2hJ5hSvPnxVr6mJ03YlTYVA9PdX4aENwhvyQpOuUR8ip46VTDBEFa60_bdBxxEHI</t>
  </si>
  <si>
    <t>https://drive.google.com/open?id=157gB5P56MYAAHgpyJq4NLtONfessdgvc</t>
  </si>
  <si>
    <t>https://docs.google.com/forms/d/e/1FAIpQLSeEYwFnViiqk1AbexVe1VDR73UApmeuvfn6Yr2vN8WXjwGu2Q/viewform?edit2=2_ABaOnuduSlqhsvo8XKbKLRKeenTIuaMA7CP2Ceo0OT8TCk5H3BodDO3izuZIg_QVvtjB-KI&amp;source=documentstudio&amp;timestamp=1748920104712</t>
  </si>
  <si>
    <t>2_ABaOnuduSlqhsvo8XKbKLRKeenTIuaMA7CP2Ceo0OT8TCk5H3BodDO3izuZIg_QVvtjB-KI</t>
  </si>
  <si>
    <t>https://drive.google.com/open?id=1liO8jYHHRSUe1yCBXG73ypYg_aPi-tWp</t>
  </si>
  <si>
    <t>https://docs.google.com/forms/d/e/1FAIpQLSeEYwFnViiqk1AbexVe1VDR73UApmeuvfn6Yr2vN8WXjwGu2Q/viewform?edit2=2_ABaOnucrN30nx3jsj4SiINt2mFhOfDoErGg6G_-DCLLk5H1_mhDobmVEtZBNWC-4gm3axVU&amp;source=documentstudio&amp;timestamp=1748920138205</t>
  </si>
  <si>
    <t>2_ABaOnucrN30nx3jsj4SiINt2mFhOfDoErGg6G_-DCLLk5H1_mhDobmVEtZBNWC-4gm3axVU</t>
  </si>
  <si>
    <t>https://drive.google.com/open?id=1oQjGXzOr1AnmDKhIo1WHJWf4vn6b3X3V</t>
  </si>
  <si>
    <t>https://docs.google.com/forms/d/e/1FAIpQLSeEYwFnViiqk1AbexVe1VDR73UApmeuvfn6Yr2vN8WXjwGu2Q/viewform?edit2=2_ABaOnueXPtv7of27xO3_QYhY4oDSvU2XaKj1-pxvFuujYpvvWTRBd_9oP84DosbMWwmq0i4&amp;source=documentstudio&amp;timestamp=1748920170090</t>
  </si>
  <si>
    <t>2_ABaOnueXPtv7of27xO3_QYhY4oDSvU2XaKj1-pxvFuujYpvvWTRBd_9oP84DosbMWwmq0i4</t>
  </si>
  <si>
    <t>https://drive.google.com/open?id=1mVadcSDvIX8uSRpfOYBvGwi9VX7r74pR</t>
  </si>
  <si>
    <t>https://docs.google.com/forms/d/e/1FAIpQLSeEYwFnViiqk1AbexVe1VDR73UApmeuvfn6Yr2vN8WXjwGu2Q/viewform?edit2=2_ABaOnucuMC4rIPbN33tf8YxFwPd_oHQyQTjHyPF2Spp9sxUUTxCXw2ZDWME30JzEUK5S7og&amp;source=documentstudio&amp;timestamp=1748920207209</t>
  </si>
  <si>
    <t>2_ABaOnucuMC4rIPbN33tf8YxFwPd_oHQyQTjHyPF2Spp9sxUUTxCXw2ZDWME30JzEUK5S7og</t>
  </si>
  <si>
    <t>https://drive.google.com/open?id=1M9bSTo_H95VXVPNno84aR2M3R8iKtdzk</t>
  </si>
  <si>
    <t>https://docs.google.com/forms/d/e/1FAIpQLSeEYwFnViiqk1AbexVe1VDR73UApmeuvfn6Yr2vN8WXjwGu2Q/viewform?edit2=2_ABaOnueLqIvaTVRRDvwGA29m0NJShy95-jfKGyP5hmzy0LJKx46KhYFKXbeot--oPiVwBXc&amp;source=documentstudio&amp;timestamp=1748920890234</t>
  </si>
  <si>
    <t>2_ABaOnueLqIvaTVRRDvwGA29m0NJShy95-jfKGyP5hmzy0LJKx46KhYFKXbeot--oPiVwBXc</t>
  </si>
  <si>
    <t>https://drive.google.com/open?id=1AXj-BtiiXjwuLDyRcpL120HwAfaMLjpk</t>
  </si>
  <si>
    <t>https://docs.google.com/forms/d/e/1FAIpQLSeEYwFnViiqk1AbexVe1VDR73UApmeuvfn6Yr2vN8WXjwGu2Q/viewform?edit2=2_ABaOnucHQmV12Io5uKncoJ6nyp6rcDqfhv621Z8_1Vzqry31I38lugsRFhtpd4UXg6uPQDw&amp;source=documentstudio&amp;timestamp=1748921755976</t>
  </si>
  <si>
    <t>2_ABaOnucHQmV12Io5uKncoJ6nyp6rcDqfhv621Z8_1Vzqry31I38lugsRFhtpd4UXg6uPQDw</t>
  </si>
  <si>
    <t>https://drive.google.com/open?id=1aXFRxoN3kdjL2s2KNePAKHlTnSTPkU9N</t>
  </si>
  <si>
    <t>https://docs.google.com/forms/d/e/1FAIpQLSeEYwFnViiqk1AbexVe1VDR73UApmeuvfn6Yr2vN8WXjwGu2Q/viewform?edit2=2_ABaOnuf28sn7xJ8mFYavkzF_V56EiN6bzGBYC1HaH_1_TQTa9sRPiyi9g7LJroVe_-KWJq8&amp;source=documentstudio&amp;timestamp=1748921803961</t>
  </si>
  <si>
    <t>2_ABaOnuf28sn7xJ8mFYavkzF_V56EiN6bzGBYC1HaH_1_TQTa9sRPiyi9g7LJroVe_-KWJq8</t>
  </si>
  <si>
    <t>https://drive.google.com/open?id=1SW3hin9olVfWB8sHd7Hu88UDKgxqtmgt</t>
  </si>
  <si>
    <t>https://docs.google.com/forms/d/e/1FAIpQLSeEYwFnViiqk1AbexVe1VDR73UApmeuvfn6Yr2vN8WXjwGu2Q/viewform?edit2=2_ABaOnufdCxRMCNJaW6fjXmA5JQYkm7qaufzxtAB7UGRU3qUA5jlAVsUp5lZJ3nqtSvj7XxY&amp;source=documentstudio&amp;timestamp=1748921838979</t>
  </si>
  <si>
    <t>2_ABaOnufdCxRMCNJaW6fjXmA5JQYkm7qaufzxtAB7UGRU3qUA5jlAVsUp5lZJ3nqtSvj7XxY</t>
  </si>
  <si>
    <t>https://drive.google.com/open?id=1r7uu8YoMfAVbdKK3B-J6z9e18KQtVzuY</t>
  </si>
  <si>
    <t>https://docs.google.com/forms/d/e/1FAIpQLSeEYwFnViiqk1AbexVe1VDR73UApmeuvfn6Yr2vN8WXjwGu2Q/viewform?edit2=2_ABaOnuctvqlmQLJA04yPJOerv2ojSLDMT6l6DC3L7nZnmPU5GnULgwMJ9mGiOi4w4zVpClY&amp;source=documentstudio&amp;timestamp=1749024103989</t>
  </si>
  <si>
    <t>2_ABaOnuctvqlmQLJA04yPJOerv2ojSLDMT6l6DC3L7nZnmPU5GnULgwMJ9mGiOi4w4zVpClY</t>
  </si>
  <si>
    <t>https://drive.google.com/open?id=1--k3KSgmPodOU3F6qrQ5S8K_v376xKw2</t>
  </si>
  <si>
    <t>https://docs.google.com/forms/d/e/1FAIpQLSeEYwFnViiqk1AbexVe1VDR73UApmeuvfn6Yr2vN8WXjwGu2Q/viewform?edit2=2_ABaOnufySUYvQGKN2NZ4-Cl9ev4Pt5zIzFq7k4x5izptErBcExRnhjbFJguwqq8VuC01Cq0&amp;source=documentstudio&amp;timestamp=1749024136952</t>
  </si>
  <si>
    <t>2_ABaOnufySUYvQGKN2NZ4-Cl9ev4Pt5zIzFq7k4x5izptErBcExRnhjbFJguwqq8VuC01Cq0</t>
  </si>
  <si>
    <t>https://drive.google.com/open?id=15JPW4Jxfv8UsTMpKynCGFz5EmdAOdv2t</t>
  </si>
  <si>
    <t>https://docs.google.com/forms/d/e/1FAIpQLSeEYwFnViiqk1AbexVe1VDR73UApmeuvfn6Yr2vN8WXjwGu2Q/viewform?edit2=2_ABaOnucQufz1tU2fER42OjiSvPq3LQdxlVaOog00iwi_k_rAaicdwk6p3KMO52up1vOqLho&amp;source=documentstudio&amp;timestamp=1749109152896</t>
  </si>
  <si>
    <t>2_ABaOnucQufz1tU2fER42OjiSvPq3LQdxlVaOog00iwi_k_rAaicdwk6p3KMO52up1vOqLho</t>
  </si>
  <si>
    <t>https://drive.google.com/open?id=1-w4w_IBaWN5-FvSQQJ87_8mJJK7LSnz0</t>
  </si>
  <si>
    <t>https://docs.google.com/forms/d/e/1FAIpQLSeEYwFnViiqk1AbexVe1VDR73UApmeuvfn6Yr2vN8WXjwGu2Q/viewform?edit2=2_ABaOnufbXbE5XfMBp058Bj5aRsVXlMkTRV3sb35YBc4NZ4iF57P5IuUFAqe9eHniWIs97Mo&amp;source=documentstudio&amp;timestamp=1749518617852</t>
  </si>
  <si>
    <t>2_ABaOnufbXbE5XfMBp058Bj5aRsVXlMkTRV3sb35YBc4NZ4iF57P5IuUFAqe9eHniWIs97Mo</t>
  </si>
  <si>
    <t>https://drive.google.com/open?id=1gzEIJMWZ1NeGk6ETKMF-lzcap0VdtQ1u</t>
  </si>
  <si>
    <t>https://docs.google.com/forms/d/e/1FAIpQLSeEYwFnViiqk1AbexVe1VDR73UApmeuvfn6Yr2vN8WXjwGu2Q/viewform?edit2=2_ABaOnudTCM0h4H7tfQrlA_ArAy8w03BpG31GOywmoYdZBNiP9K05hY7E0TIt22VOaj2yLbA&amp;source=documentstudio&amp;timestamp=1749519172178</t>
  </si>
  <si>
    <t>2_ABaOnudTCM0h4H7tfQrlA_ArAy8w03BpG31GOywmoYdZBNiP9K05hY7E0TIt22VOaj2yLbA</t>
  </si>
  <si>
    <t>https://drive.google.com/open?id=1KOCnap_j3DpjFxg4UfBwcJwwKLj5p7Ko</t>
  </si>
  <si>
    <t>https://docs.google.com/forms/d/e/1FAIpQLSeEYwFnViiqk1AbexVe1VDR73UApmeuvfn6Yr2vN8WXjwGu2Q/viewform?edit2=2_ABaOnudwsPym1sdXi_UTGt-jCjkmDjdIIng0wNiPzVvE75D581qGLM9EQyaYA3_2nszCSSE&amp;source=documentstudio&amp;timestamp=1749519554710</t>
  </si>
  <si>
    <t>2_ABaOnudwsPym1sdXi_UTGt-jCjkmDjdIIng0wNiPzVvE75D581qGLM9EQyaYA3_2nszCSSE</t>
  </si>
  <si>
    <t>https://drive.google.com/open?id=1uVCbufUDYqcCzBfvTwuSTnfDuek9C3-w</t>
  </si>
  <si>
    <t>https://docs.google.com/forms/d/e/1FAIpQLSeEYwFnViiqk1AbexVe1VDR73UApmeuvfn6Yr2vN8WXjwGu2Q/viewform?edit2=2_ABaOnucyp_eAcZ_xIEvTYs9ZG6Bpeo1fZ_lYeAwmRgeWKc74fb_2MP4wVTfXKEC8UCdt7g0&amp;source=documentstudio&amp;timestamp=1749528669854</t>
  </si>
  <si>
    <t>2_ABaOnucyp_eAcZ_xIEvTYs9ZG6Bpeo1fZ_lYeAwmRgeWKc74fb_2MP4wVTfXKEC8UCdt7g0</t>
  </si>
  <si>
    <t>https://drive.google.com/open?id=1-rMYL-A4zfoCgam4FnUm4kCjYkux7_Zb</t>
  </si>
  <si>
    <t>https://docs.google.com/forms/d/e/1FAIpQLSeEYwFnViiqk1AbexVe1VDR73UApmeuvfn6Yr2vN8WXjwGu2Q/viewform?edit2=2_ABaOnudEJaLSXrBPIhShpLa-BCCMX9tgRJdKe7npd0jY000zm-GyWs4ys32zdEuvXZanhaY&amp;source=documentstudio&amp;timestamp=1749528866570</t>
  </si>
  <si>
    <t>2_ABaOnudEJaLSXrBPIhShpLa-BCCMX9tgRJdKe7npd0jY000zm-GyWs4ys32zdEuvXZanhaY</t>
  </si>
  <si>
    <t>https://drive.google.com/open?id=1HXydVT1HangBSoT4MWJnG0tqjprdUkxu</t>
  </si>
  <si>
    <t>https://docs.google.com/forms/d/e/1FAIpQLSeEYwFnViiqk1AbexVe1VDR73UApmeuvfn6Yr2vN8WXjwGu2Q/viewform?edit2=2_ABaOnudD3KkLBGI_1vYDuyYZyrE5QDRKq5ibnvaJph4o5axKbZX-kwWz7q65M5M07piXdDc&amp;source=documentstudio&amp;timestamp=1749604679504</t>
  </si>
  <si>
    <t>2_ABaOnudD3KkLBGI_1vYDuyYZyrE5QDRKq5ibnvaJph4o5axKbZX-kwWz7q65M5M07piXdDc</t>
  </si>
  <si>
    <t>https://drive.google.com/open?id=19O9B3uYbNEOo2x0A3m811KHHZ-DZUUJk</t>
  </si>
  <si>
    <t>https://docs.google.com/forms/d/e/1FAIpQLSeEYwFnViiqk1AbexVe1VDR73UApmeuvfn6Yr2vN8WXjwGu2Q/viewform?edit2=2_ABaOnuePLGD1s8g9PN95ExKAOe_TkVwV5NUAHGoH0KjuZr6KMLrkKWqTekATHl3wYqyDRa8&amp;source=documentstudio&amp;timestamp=1749713869130</t>
  </si>
  <si>
    <t>2_ABaOnuePLGD1s8g9PN95ExKAOe_TkVwV5NUAHGoH0KjuZr6KMLrkKWqTekATHl3wYqyDRa8</t>
  </si>
  <si>
    <t>https://drive.google.com/open?id=11M4Zp_gbuLQDmSMjBlfyeqesrewnWP0y</t>
  </si>
  <si>
    <t>https://docs.google.com/forms/d/e/1FAIpQLSeEYwFnViiqk1AbexVe1VDR73UApmeuvfn6Yr2vN8WXjwGu2Q/viewform?edit2=2_ABaOnuftL4MvNtzPOVvfwjA2tgZvlTgVT37K1UlE6xgYuVnwJHMwHELP7tuAyYefTAuZzdE&amp;source=documentstudio&amp;timestamp=1750020082426</t>
  </si>
  <si>
    <t>2_ABaOnuftL4MvNtzPOVvfwjA2tgZvlTgVT37K1UlE6xgYuVnwJHMwHELP7tuAyYefTAuZzdE</t>
  </si>
  <si>
    <t>https://drive.google.com/open?id=1WNi3NASbfKxDlJp4O0RQFJS8CBIY3gBS</t>
  </si>
  <si>
    <t>https://docs.google.com/forms/d/e/1FAIpQLSeEYwFnViiqk1AbexVe1VDR73UApmeuvfn6Yr2vN8WXjwGu2Q/viewform?edit2=2_ABaOnuenRJuhJWBs_Cq_rSB3nnk7flnxIq2YsxNgNqYRgxfhWjslnwvhzFK45tmpZaRbD14&amp;source=documentstudio&amp;timestamp=1750020370672</t>
  </si>
  <si>
    <t>2_ABaOnuenRJuhJWBs_Cq_rSB3nnk7flnxIq2YsxNgNqYRgxfhWjslnwvhzFK45tmpZaRbD14</t>
  </si>
  <si>
    <t>https://drive.google.com/open?id=1pngIcrxe4cD1sadXPZKGNZh3LAmQZ4lH</t>
  </si>
  <si>
    <t>https://docs.google.com/forms/d/e/1FAIpQLSeEYwFnViiqk1AbexVe1VDR73UApmeuvfn6Yr2vN8WXjwGu2Q/viewform?edit2=2_ABaOnucGi5-XgZkoqr8wO6E6KfKy9JkCJpneyoohrK9BjiYAvsZkx5P1-X-C0zzh1qpVN6s&amp;source=documentstudio&amp;timestamp=1750147125982</t>
  </si>
  <si>
    <t>2_ABaOnucGi5-XgZkoqr8wO6E6KfKy9JkCJpneyoohrK9BjiYAvsZkx5P1-X-C0zzh1qpVN6s</t>
  </si>
  <si>
    <t>https://drive.google.com/open?id=1tFDCXzeBSgdpAts3TNn3qHqkGOq4dBji</t>
  </si>
  <si>
    <t>https://docs.google.com/forms/d/e/1FAIpQLSeEYwFnViiqk1AbexVe1VDR73UApmeuvfn6Yr2vN8WXjwGu2Q/viewform?edit2=2_ABaOnufXeAdqV32hHB5-VKMawM3PDulwhu-6-6_KYcJSW5nxYNoPcA2mjLD19k47bLP_1MY&amp;source=documentstudio&amp;timestamp=1750310418911</t>
  </si>
  <si>
    <t>2_ABaOnufXeAdqV32hHB5-VKMawM3PDulwhu-6-6_KYcJSW5nxYNoPcA2mjLD19k47bLP_1MY</t>
  </si>
  <si>
    <t>https://drive.google.com/open?id=1XiS6mYhe0UF4eMTfm45voxaeOV3L0PQt</t>
  </si>
  <si>
    <t>https://docs.google.com/forms/d/e/1FAIpQLSeEYwFnViiqk1AbexVe1VDR73UApmeuvfn6Yr2vN8WXjwGu2Q/viewform?edit2=2_ABaOnudcHiUEsmw-RAfwz4KsL16SJJ8n141adqox1Ah2AugOvBrIWhCaEbncFICKKrhTkp4&amp;source=documentstudio&amp;timestamp=1750641950934</t>
  </si>
  <si>
    <t>2_ABaOnudcHiUEsmw-RAfwz4KsL16SJJ8n141adqox1Ah2AugOvBrIWhCaEbncFICKKrhTkp4</t>
  </si>
  <si>
    <t>https://drive.google.com/open?id=1dozZh1H9IXJ1I2pKawsXcnbq8ybMgUtj</t>
  </si>
  <si>
    <t>https://docs.google.com/forms/d/e/1FAIpQLSeEYwFnViiqk1AbexVe1VDR73UApmeuvfn6Yr2vN8WXjwGu2Q/viewform?edit2=2_ABaOnudIZFS38f8DhzTeDMO5I-UgDfKIeWEhsCR3tBK5If99ITEPgAIKVZAv5tKd_lzm4dM&amp;source=documentstudio&amp;timestamp=1750642122397</t>
  </si>
  <si>
    <t>2_ABaOnudIZFS38f8DhzTeDMO5I-UgDfKIeWEhsCR3tBK5If99ITEPgAIKVZAv5tKd_lzm4dM</t>
  </si>
  <si>
    <t>https://drive.google.com/open?id=1pLfAc9M3i8Dzv_Gz7228KvWlp82RB_sl</t>
  </si>
  <si>
    <t>https://docs.google.com/forms/d/e/1FAIpQLSeEYwFnViiqk1AbexVe1VDR73UApmeuvfn6Yr2vN8WXjwGu2Q/viewform?edit2=2_ABaOnueqV6QUnWj3goYFKVq4VUSR2GzeiV-RjbXcha3bCIM18hsnEPZfRJYUrcWFWS0lfFA&amp;source=documentstudio&amp;timestamp=1750642973007</t>
  </si>
  <si>
    <t>2_ABaOnueqV6QUnWj3goYFKVq4VUSR2GzeiV-RjbXcha3bCIM18hsnEPZfRJYUrcWFWS0lfFA</t>
  </si>
  <si>
    <t>https://drive.google.com/open?id=176-3tIJqGcOwFD-93T_PKGHBxb8TwqRD</t>
  </si>
  <si>
    <t>https://docs.google.com/forms/d/e/1FAIpQLSeEYwFnViiqk1AbexVe1VDR73UApmeuvfn6Yr2vN8WXjwGu2Q/viewform?edit2=2_ABaOnudOQq9Cyg0Udf2sPTdOOYN3-X4TtCm88PLJMU2KEjTyWMb-5ZegTL0s5fSVrzFqvj4&amp;source=documentstudio&amp;timestamp=1750658163615</t>
  </si>
  <si>
    <t>2_ABaOnudOQq9Cyg0Udf2sPTdOOYN3-X4TtCm88PLJMU2KEjTyWMb-5ZegTL0s5fSVrzFqvj4</t>
  </si>
  <si>
    <t>https://drive.google.com/open?id=1e7LP3PboO0UV4vzJk-lu4gtIBTIo2ljG</t>
  </si>
  <si>
    <t>https://docs.google.com/forms/d/e/1FAIpQLSeEYwFnViiqk1AbexVe1VDR73UApmeuvfn6Yr2vN8WXjwGu2Q/viewform?edit2=2_ABaOnudp1Y8wvj6Lqnrjj6Kq0nvycB_l5SLflTVTEFrUDY3vkZVaY1vuk5hnvK8CgFAXQCU&amp;source=documentstudio&amp;timestamp=1750663726301</t>
  </si>
  <si>
    <t>2_ABaOnudp1Y8wvj6Lqnrjj6Kq0nvycB_l5SLflTVTEFrUDY3vkZVaY1vuk5hnvK8CgFAXQCU</t>
  </si>
  <si>
    <t>https://drive.google.com/open?id=1T0D6yp3P-FtDxEpVFn_H9yyrOgwBQCgt</t>
  </si>
  <si>
    <t>https://docs.google.com/forms/d/e/1FAIpQLSeEYwFnViiqk1AbexVe1VDR73UApmeuvfn6Yr2vN8WXjwGu2Q/viewform?edit2=2_ABaOnufJbfPrEHx5xnSsZV2dB_nTEzTpE5m2edQ_BPtNUnJbJ4lxdbzBziqKFEHt6dK6eBU&amp;source=documentstudio&amp;timestamp=1750671405445</t>
  </si>
  <si>
    <t>2_ABaOnufJbfPrEHx5xnSsZV2dB_nTEzTpE5m2edQ_BPtNUnJbJ4lxdbzBziqKFEHt6dK6eBU</t>
  </si>
  <si>
    <t>https://drive.google.com/open?id=1FsHI_HNWBZZNkILPAl398nyE80GUblQD</t>
  </si>
  <si>
    <t>https://docs.google.com/forms/d/e/1FAIpQLSeEYwFnViiqk1AbexVe1VDR73UApmeuvfn6Yr2vN8WXjwGu2Q/viewform?edit2=2_ABaOnuev1v2GG4tDX-h0q-oG8C2tFeQfTCt5O6xe_1aQ1THbHWaxTosW5nTog1FpMqD9CTs&amp;source=documentstudio&amp;timestamp=1750722402517</t>
  </si>
  <si>
    <t>2_ABaOnuev1v2GG4tDX-h0q-oG8C2tFeQfTCt5O6xe_1aQ1THbHWaxTosW5nTog1FpMqD9CTs</t>
  </si>
  <si>
    <t>https://drive.google.com/open?id=1Q47kmcZ93Oq4mwQlIP7sRxhnuwAjad6U</t>
  </si>
  <si>
    <t>https://docs.google.com/forms/d/e/1FAIpQLSeEYwFnViiqk1AbexVe1VDR73UApmeuvfn6Yr2vN8WXjwGu2Q/viewform?edit2=2_ABaOnueNz_l0NRuNEsOzPH0nUddMsKqGtaPEQO5k5Pfkekk7aLFcZ4BXSBd3B_zhddCsHxM&amp;source=documentstudio&amp;timestamp=1750729103246</t>
  </si>
  <si>
    <t>2_ABaOnueNz_l0NRuNEsOzPH0nUddMsKqGtaPEQO5k5Pfkekk7aLFcZ4BXSBd3B_zhddCsHxM</t>
  </si>
  <si>
    <t>https://drive.google.com/open?id=1ZmpQ3f1mSfaQjoSQlAKQCinQF51NEWJl</t>
  </si>
  <si>
    <t>https://docs.google.com/forms/d/e/1FAIpQLSeEYwFnViiqk1AbexVe1VDR73UApmeuvfn6Yr2vN8WXjwGu2Q/viewform?edit2=2_ABaOnud4qyGYWleWJwDExKqevyUYqQK8Mx6bPsVLDj4P7QzgISAmUot7axptyYTTdoreMgA&amp;source=documentstudio&amp;timestamp=1750729127629</t>
  </si>
  <si>
    <t>2_ABaOnud4qyGYWleWJwDExKqevyUYqQK8Mx6bPsVLDj4P7QzgISAmUot7axptyYTTdoreMgA</t>
  </si>
  <si>
    <t>https://drive.google.com/open?id=1xXnCqPebepEx5RV1Pj67xWvx34Laa8ie</t>
  </si>
  <si>
    <t>https://docs.google.com/forms/d/e/1FAIpQLSeEYwFnViiqk1AbexVe1VDR73UApmeuvfn6Yr2vN8WXjwGu2Q/viewform?edit2=2_ABaOnufLOe_fX0Snczrst4WsxV9ZeUcygr6SronEtu_ym3WThfK5I8WCSY1-MIJgrTCifgs&amp;source=documentstudio&amp;timestamp=1750749541766</t>
  </si>
  <si>
    <t>2_ABaOnufLOe_fX0Snczrst4WsxV9ZeUcygr6SronEtu_ym3WThfK5I8WCSY1-MIJgrTCifgs</t>
  </si>
  <si>
    <t>https://drive.google.com/open?id=1Tqwh63OUi1PAVoDsvPuFdne9C6sZwz5l</t>
  </si>
  <si>
    <t>https://docs.google.com/forms/d/e/1FAIpQLSeEYwFnViiqk1AbexVe1VDR73UApmeuvfn6Yr2vN8WXjwGu2Q/viewform?edit2=2_ABaOnudQ-AoaFt04hSHjclxVGufO5YEPQgGmHe7MUfnV99BTpvWpRWYRNsnfHAwqzTGIJiQ&amp;source=documentstudio&amp;timestamp=1750754047484</t>
  </si>
  <si>
    <t>2_ABaOnudQ-AoaFt04hSHjclxVGufO5YEPQgGmHe7MUfnV99BTpvWpRWYRNsnfHAwqzTGIJiQ</t>
  </si>
  <si>
    <t>https://drive.google.com/open?id=1oi1beRWx9Qz0CJk2uqNWfFISNKl4MfMV</t>
  </si>
  <si>
    <t>https://docs.google.com/forms/d/e/1FAIpQLSeEYwFnViiqk1AbexVe1VDR73UApmeuvfn6Yr2vN8WXjwGu2Q/viewform?edit2=2_ABaOnue6zn4HJP-aEgyo4AMtAAKpA5HgA1ehm6xoFXML-M5j9pXTgG3m-Phcm0x3ApzQW6U&amp;source=documentstudio&amp;timestamp=1750814618012</t>
  </si>
  <si>
    <t>2_ABaOnue6zn4HJP-aEgyo4AMtAAKpA5HgA1ehm6xoFXML-M5j9pXTgG3m-Phcm0x3ApzQW6U</t>
  </si>
  <si>
    <t>https://drive.google.com/open?id=1MoQV3iCkroL5kLuMRNcyTnz5wdarGDYj</t>
  </si>
  <si>
    <t>https://docs.google.com/forms/d/e/1FAIpQLSeEYwFnViiqk1AbexVe1VDR73UApmeuvfn6Yr2vN8WXjwGu2Q/viewform?edit2=2_ABaOnueSPEjaeIXzMX_Poqy5vhK2gLXx6eQpaenHJu4ZNR8se4dhhXX2Myfs-rgfC3p-LhU&amp;source=documentstudio&amp;timestamp=1750900567152</t>
  </si>
  <si>
    <t>2_ABaOnueSPEjaeIXzMX_Poqy5vhK2gLXx6eQpaenHJu4ZNR8se4dhhXX2Myfs-rgfC3p-LhU</t>
  </si>
  <si>
    <t>https://drive.google.com/open?id=1jCBqICPl6S-iWjFDR3_VyDdYKhsxZ4Ve</t>
  </si>
  <si>
    <t>https://docs.google.com/forms/d/e/1FAIpQLSeEYwFnViiqk1AbexVe1VDR73UApmeuvfn6Yr2vN8WXjwGu2Q/viewform?edit2=2_ABaOnudPXOGRudSr2zEs_dwKX8GNMC8jfmW8jr9xGp7uV-wb_KAeRyufKM8mMzG9HIsXbX8&amp;source=documentstudio&amp;timestamp=1751197612554</t>
  </si>
  <si>
    <t>2_ABaOnudPXOGRudSr2zEs_dwKX8GNMC8jfmW8jr9xGp7uV-wb_KAeRyufKM8mMzG9HIsXbX8</t>
  </si>
  <si>
    <t>https://drive.google.com/open?id=1tbiC1BzoRcu2C2XlilHiyOjjVYcjmtKR</t>
  </si>
  <si>
    <t>https://docs.google.com/forms/d/e/1FAIpQLSeEYwFnViiqk1AbexVe1VDR73UApmeuvfn6Yr2vN8WXjwGu2Q/viewform?edit2=2_ABaOnueDzSKe9rXzwY5e54NRcfmW4XIa0DIis-2OI_vWpKQUUKVOCZ0nwlOO6bpYelY1rrs&amp;source=documentstudio&amp;timestamp=1751197912161</t>
  </si>
  <si>
    <t>2_ABaOnueDzSKe9rXzwY5e54NRcfmW4XIa0DIis-2OI_vWpKQUUKVOCZ0nwlOO6bpYelY1rrs</t>
  </si>
  <si>
    <t>https://drive.google.com/open?id=1SUaH8vm5pbZqsclV-Q9-1nEnVgcp_abm</t>
  </si>
  <si>
    <t>https://docs.google.com/forms/d/e/1FAIpQLSeEYwFnViiqk1AbexVe1VDR73UApmeuvfn6Yr2vN8WXjwGu2Q/viewform?edit2=2_ABaOnucuxUG9PYJzUHIVpCiabBjNkreRZ0600bmucQr0lhrSRCx7ixCYwP2ls7egTCuIW0I&amp;source=documentstudio&amp;timestamp=1751197964179</t>
  </si>
  <si>
    <t>2_ABaOnucuxUG9PYJzUHIVpCiabBjNkreRZ0600bmucQr0lhrSRCx7ixCYwP2ls7egTCuIW0I</t>
  </si>
  <si>
    <t>https://drive.google.com/open?id=1XIWYR0LkgOWhQJbb3JsBNCyHW4p02ahK</t>
  </si>
  <si>
    <t>https://docs.google.com/forms/d/e/1FAIpQLSeEYwFnViiqk1AbexVe1VDR73UApmeuvfn6Yr2vN8WXjwGu2Q/viewform?edit2=2_ABaOnucOYq_BdIZdzpMdpilynDrWIVWeV8Awdct1OCANPYsHc6x5BGC1b1s0x8D59Jw3-Yo&amp;source=documentstudio&amp;timestamp=1751277298705</t>
  </si>
  <si>
    <t>2_ABaOnucOYq_BdIZdzpMdpilynDrWIVWeV8Awdct1OCANPYsHc6x5BGC1b1s0x8D59Jw3-Yo</t>
  </si>
  <si>
    <t>https://drive.google.com/open?id=16SZ1FO0Eixo0j6QqTRueq2yHjopMC_zq</t>
  </si>
  <si>
    <t>https://docs.google.com/forms/d/e/1FAIpQLSeEYwFnViiqk1AbexVe1VDR73UApmeuvfn6Yr2vN8WXjwGu2Q/viewform?edit2=2_ABaOnucp-zgxc4BTm-KBCnveStjQ8WCS7ctRLpXk-z9eJ8pNEeB64z1VCtzpdrWp2X-xKfw&amp;source=documentstudio&amp;timestamp=1751337140219</t>
  </si>
  <si>
    <t>2_ABaOnucp-zgxc4BTm-KBCnveStjQ8WCS7ctRLpXk-z9eJ8pNEeB64z1VCtzpdrWp2X-xKfw</t>
  </si>
  <si>
    <t>https://drive.google.com/open?id=14mpYZ-ZW04gBB1Tzap2iPe0FqD6URUrG</t>
  </si>
  <si>
    <t>https://docs.google.com/forms/d/e/1FAIpQLSeEYwFnViiqk1AbexVe1VDR73UApmeuvfn6Yr2vN8WXjwGu2Q/viewform?edit2=2_ABaOnuc5aqUN_T2g-Ly48J3DQCslq5zKC6sjsRc9_LUXysItkiPu8bK8wdnQEq0IDs5zCus&amp;source=documentstudio&amp;timestamp=1751337183328</t>
  </si>
  <si>
    <t>2_ABaOnuc5aqUN_T2g-Ly48J3DQCslq5zKC6sjsRc9_LUXysItkiPu8bK8wdnQEq0IDs5zCus</t>
  </si>
  <si>
    <t>https://drive.google.com/open?id=1EAHhouLT0F4tH4Jf0Hh2O3kj4Db0263U</t>
  </si>
  <si>
    <t>https://docs.google.com/forms/d/e/1FAIpQLSeEYwFnViiqk1AbexVe1VDR73UApmeuvfn6Yr2vN8WXjwGu2Q/viewform?edit2=2_ABaOnudYZrW7Roe0tBY-iFI_fjhVjPBGA1XnZ49OA3KftkDoqTaWpVTSbElHQ40tWEoo1Yc&amp;source=documentstudio&amp;timestamp=1751337251837</t>
  </si>
  <si>
    <t>2_ABaOnudYZrW7Roe0tBY-iFI_fjhVjPBGA1XnZ49OA3KftkDoqTaWpVTSbElHQ40tWEoo1Yc</t>
  </si>
  <si>
    <t>https://drive.google.com/open?id=1ue4Vs27MmKOzJd2zGakLXHTwfPS8oseE</t>
  </si>
  <si>
    <t>https://docs.google.com/forms/d/e/1FAIpQLSeEYwFnViiqk1AbexVe1VDR73UApmeuvfn6Yr2vN8WXjwGu2Q/viewform?edit2=2_ABaOnuddbdd5x-KF3w-xuJXrzsYL_VaqIpT-GKsasK5Z6d6tNZI7FH5251FZ6jRMT5CqHM4&amp;source=documentstudio&amp;timestamp=1751337344257</t>
  </si>
  <si>
    <t>2_ABaOnuddbdd5x-KF3w-xuJXrzsYL_VaqIpT-GKsasK5Z6d6tNZI7FH5251FZ6jRMT5CqHM4</t>
  </si>
  <si>
    <t>https://drive.google.com/open?id=13n5HRJkD2ME7Dr-1dJzjO1VDDonNT6Zp</t>
  </si>
  <si>
    <t>https://docs.google.com/forms/d/e/1FAIpQLSeEYwFnViiqk1AbexVe1VDR73UApmeuvfn6Yr2vN8WXjwGu2Q/viewform?edit2=2_ABaOnufx7ES2p3FIRaeZl1x9u0j1gwaok0drdbvL83VgA68LI5CiYa3x3VQ38YuE5QSnFk0&amp;source=documentstudio&amp;timestamp=1752043261727</t>
  </si>
  <si>
    <t>2_ABaOnufx7ES2p3FIRaeZl1x9u0j1gwaok0drdbvL83VgA68LI5CiYa3x3VQ38YuE5QSnFk0</t>
  </si>
  <si>
    <t>https://drive.google.com/open?id=1oA0649iYvh0CpsJcHVFezhK6TjfiUHS7</t>
  </si>
  <si>
    <t>https://docs.google.com/forms/d/e/1FAIpQLSeEYwFnViiqk1AbexVe1VDR73UApmeuvfn6Yr2vN8WXjwGu2Q/viewform?edit2=2_ABaOnucx_I8UBxX8E2GFSPGlr-kM_ULbWrRi1a38rm0rKKkash8qegEs_zpwvwxqMSwprSs&amp;source=documentstudio&amp;timestamp=1752127324932</t>
  </si>
  <si>
    <t>2_ABaOnucx_I8UBxX8E2GFSPGlr-kM_ULbWrRi1a38rm0rKKkash8qegEs_zpwvwxqMSwprSs</t>
  </si>
  <si>
    <t>https://drive.google.com/open?id=1Kw3Dxvqx-yYvp-eTPi083fy69oRtfyip</t>
  </si>
  <si>
    <t>https://docs.google.com/forms/d/e/1FAIpQLSeEYwFnViiqk1AbexVe1VDR73UApmeuvfn6Yr2vN8WXjwGu2Q/viewform?edit2=2_ABaOnud51ECIwFbvmOW1r2N2MZ2km7YPCkR73x6U2UCJUgqyfpRxH_Mdx4luQSwusoH_cWY&amp;source=documentstudio&amp;timestamp=1752134938036</t>
  </si>
  <si>
    <t>2_ABaOnud51ECIwFbvmOW1r2N2MZ2km7YPCkR73x6U2UCJUgqyfpRxH_Mdx4luQSwusoH_cWY</t>
  </si>
  <si>
    <t>https://drive.google.com/open?id=1S9rynib7InT3-ffrQSkMB1He3jyS4XQ3</t>
  </si>
  <si>
    <t>https://docs.google.com/forms/d/e/1FAIpQLSeEYwFnViiqk1AbexVe1VDR73UApmeuvfn6Yr2vN8WXjwGu2Q/viewform?edit2=2_ABaOnuchnYhIbS1824Cgm9Sj4o99_PP9goQSypAImDVV-GYZ3sHeW4X_JT6qFCUgld0csTU&amp;source=documentstudio&amp;timestamp=1752193206577</t>
  </si>
  <si>
    <t>2_ABaOnuchnYhIbS1824Cgm9Sj4o99_PP9goQSypAImDVV-GYZ3sHeW4X_JT6qFCUgld0csTU</t>
  </si>
  <si>
    <t>https://drive.google.com/open?id=13xb31wr7d0FjSzcBDvkEznXERaHJdpTE</t>
  </si>
  <si>
    <t>https://docs.google.com/forms/d/e/1FAIpQLSeEYwFnViiqk1AbexVe1VDR73UApmeuvfn6Yr2vN8WXjwGu2Q/viewform?edit2=2_ABaOnud85mb3-8XBRzJhHoK-Oa9jrBfvp3QMSPGEJMn1J09DflC8-epTVKN6OkP8vrD_AZE&amp;source=documentstudio&amp;timestamp=1752289227582</t>
  </si>
  <si>
    <t>2_ABaOnud85mb3-8XBRzJhHoK-Oa9jrBfvp3QMSPGEJMn1J09DflC8-epTVKN6OkP8vrD_AZE</t>
  </si>
  <si>
    <t>https://drive.google.com/open?id=1ItvhOzUGlMGJ7yaoror_t_-sG28sy8PB</t>
  </si>
  <si>
    <t>https://docs.google.com/forms/d/e/1FAIpQLSeEYwFnViiqk1AbexVe1VDR73UApmeuvfn6Yr2vN8WXjwGu2Q/viewform?edit2=2_ABaOnudJdg1s-zP93gh4JfH7vmQpD7sBmBbpREtlE93D1ZdkEvdXWYw9EUmzTAVT69cEoHM&amp;source=documentstudio&amp;timestamp=1752530070178</t>
  </si>
  <si>
    <t>2_ABaOnudJdg1s-zP93gh4JfH7vmQpD7sBmBbpREtlE93D1ZdkEvdXWYw9EUmzTAVT69cEoHM</t>
  </si>
  <si>
    <t>https://drive.google.com/open?id=1LcYA38gXuASs9Db2Y1EnTVU_m9hNJqQL</t>
  </si>
  <si>
    <t>https://docs.google.com/forms/d/e/1FAIpQLSeEYwFnViiqk1AbexVe1VDR73UApmeuvfn6Yr2vN8WXjwGu2Q/viewform?edit2=2_ABaOnudyGIWwRwesFctgBzkLegfFrRl4bW5ugDX9wCHsHgVXFbJLC8g3eh1bH4t1YkdMoFw&amp;source=documentstudio&amp;timestamp=1752530214963</t>
  </si>
  <si>
    <t>2_ABaOnudyGIWwRwesFctgBzkLegfFrRl4bW5ugDX9wCHsHgVXFbJLC8g3eh1bH4t1YkdMoFw</t>
  </si>
  <si>
    <t>https://drive.google.com/open?id=1ff3uLrUEsnLIJD0gYwT36gIkafHeDMED</t>
  </si>
  <si>
    <t>https://docs.google.com/forms/d/e/1FAIpQLSeEYwFnViiqk1AbexVe1VDR73UApmeuvfn6Yr2vN8WXjwGu2Q/viewform?edit2=2_ABaOnucLcgB1Bfq--uUWzI88e_60P0YLeb5IjlfKwu1LBRMQZzcQOqIHqEaM6OnEBAcThI8&amp;source=documentstudio&amp;timestamp=1752639165923</t>
  </si>
  <si>
    <t>2_ABaOnucLcgB1Bfq--uUWzI88e_60P0YLeb5IjlfKwu1LBRMQZzcQOqIHqEaM6OnEBAcThI8</t>
  </si>
  <si>
    <t>https://drive.google.com/open?id=1yYkKCQgx-rt9VHQluWAJnqjlq7cAbeFB</t>
  </si>
  <si>
    <t>https://docs.google.com/forms/d/e/1FAIpQLSeEYwFnViiqk1AbexVe1VDR73UApmeuvfn6Yr2vN8WXjwGu2Q/viewform?edit2=2_ABaOnucTKfvyuicGi-jDmqgKMkwJSHaZSSUWbTke1tpM9UY-Pp_HsdBn0ZGG2RtMsMlGsSI&amp;source=documentstudio&amp;timestamp=1752655946958</t>
  </si>
  <si>
    <t>2_ABaOnucTKfvyuicGi-jDmqgKMkwJSHaZSSUWbTke1tpM9UY-Pp_HsdBn0ZGG2RtMsMlGsSI</t>
  </si>
  <si>
    <t>https://drive.google.com/open?id=1IG9FPRJ-VD0sySj6leD_kKv7MeunU2EV</t>
  </si>
  <si>
    <t>https://docs.google.com/forms/d/e/1FAIpQLSeEYwFnViiqk1AbexVe1VDR73UApmeuvfn6Yr2vN8WXjwGu2Q/viewform?edit2=2_ABaOnucN8YOKqtRKIJ6PmEzSAVuN2svtMzychcrOy7c1vv9hV92UotuzYaI6A5EQDopMW_E&amp;source=documentstudio&amp;timestamp=1753525955135</t>
  </si>
  <si>
    <t>2_ABaOnucN8YOKqtRKIJ6PmEzSAVuN2svtMzychcrOy7c1vv9hV92UotuzYaI6A5EQDopMW_E</t>
  </si>
  <si>
    <t>https://drive.google.com/open?id=1fj5_xBqCbg0liJR6lvonXP9jb_Ms67kx</t>
  </si>
  <si>
    <t>https://docs.google.com/forms/d/e/1FAIpQLSeEYwFnViiqk1AbexVe1VDR73UApmeuvfn6Yr2vN8WXjwGu2Q/viewform?edit2=2_ABaOnudsSLlPZmvM5hJhUAr9Ie8Gqyfazldh8iwVrf6LeZVw19HD8LmNurwXrL5vaii8r3g&amp;source=documentstudio&amp;timestamp=1753753651218</t>
  </si>
  <si>
    <t>2_ABaOnudsSLlPZmvM5hJhUAr9Ie8Gqyfazldh8iwVrf6LeZVw19HD8LmNurwXrL5vaii8r3g</t>
  </si>
  <si>
    <t>https://drive.google.com/open?id=12K3SDAI3YDzQN_kNmC6w9xmu1LUxeia0</t>
  </si>
  <si>
    <t>https://docs.google.com/forms/d/e/1FAIpQLSeEYwFnViiqk1AbexVe1VDR73UApmeuvfn6Yr2vN8WXjwGu2Q/viewform?edit2=2_ABaOnudCjRJtVOsklnibaL-bCRsNKrR5N8gnYjYBYFkoT7MrC0Y6VpeTfbxhBzWxmRvtm6Y&amp;source=documentstudio&amp;timestamp=1753920642790</t>
  </si>
  <si>
    <t>2_ABaOnudCjRJtVOsklnibaL-bCRsNKrR5N8gnYjYBYFkoT7MrC0Y6VpeTfbxhBzWxmRvtm6Y</t>
  </si>
  <si>
    <t>https://drive.google.com/open?id=105XsAAclgVb3-RQFpSUQ_BzQjDoLH2gD</t>
  </si>
  <si>
    <t>https://docs.google.com/forms/d/e/1FAIpQLSeEYwFnViiqk1AbexVe1VDR73UApmeuvfn6Yr2vN8WXjwGu2Q/viewform?edit2=2_ABaOnufhbVhO5tNyuXqJBRKUGivP84X1h4LSbeqUif09Ad7Fs2sEz9sddVCbAnfDa5YSCjc&amp;source=documentstudio&amp;timestamp=1754530489237</t>
  </si>
  <si>
    <t>2_ABaOnufhbVhO5tNyuXqJBRKUGivP84X1h4LSbeqUif09Ad7Fs2sEz9sddVCbAnfDa5YSCjc</t>
  </si>
  <si>
    <t>https://drive.google.com/open?id=1_ANwaUOwgjlIpl8zNhN7DzhVeBeeDxwv</t>
  </si>
  <si>
    <t>https://docs.google.com/forms/d/e/1FAIpQLSeEYwFnViiqk1AbexVe1VDR73UApmeuvfn6Yr2vN8WXjwGu2Q/viewform?edit2=2_ABaOnudx75e1_deHe2byOs3EFNz6BNqvXVcrchUVMWU6r7nbEBqz-SJ4izuLBTb3Rgck3gs&amp;source=documentstudio&amp;timestamp=1754993804686</t>
  </si>
  <si>
    <t>2_ABaOnudx75e1_deHe2byOs3EFNz6BNqvXVcrchUVMWU6r7nbEBqz-SJ4izuLBTb3Rgck3gs</t>
  </si>
  <si>
    <t>https://drive.google.com/open?id=1fsgsL082jNkdlJiWzTT3jm1HMNlBkSMd</t>
  </si>
  <si>
    <t>https://docs.google.com/forms/d/e/1FAIpQLSeEYwFnViiqk1AbexVe1VDR73UApmeuvfn6Yr2vN8WXjwGu2Q/viewform?edit2=2_ABaOnudrT3GWCJgiUX3KcWMNy5OXFjsmzPTk7bAJQVCEH1thDHuMnyII9CYzKBivf6FOB-A&amp;source=documentstudio&amp;timestamp=1755676787561</t>
  </si>
  <si>
    <t>2_ABaOnudrT3GWCJgiUX3KcWMNy5OXFjsmzPTk7bAJQVCEH1thDHuMnyII9CYzKBivf6FOB-A</t>
  </si>
  <si>
    <t>https://drive.google.com/open?id=1R_Am6JouBMxU44Q2tFRhwV1TIw_g2sZF</t>
  </si>
  <si>
    <t>https://docs.google.com/forms/d/e/1FAIpQLSeEYwFnViiqk1AbexVe1VDR73UApmeuvfn6Yr2vN8WXjwGu2Q/viewform?edit2=2_ABaOnuettNNb1V3VnEaxrl6hLjNMctPQNg8HvGFldFcNDMwBwr0vzIk1XKVQgMiJ4qWzf4s&amp;source=documentstudio&amp;timestamp=1756432385995</t>
  </si>
  <si>
    <t>2_ABaOnuettNNb1V3VnEaxrl6hLjNMctPQNg8HvGFldFcNDMwBwr0vzIk1XKVQgMiJ4qWzf4s</t>
  </si>
  <si>
    <t>https://drive.google.com/open?id=1iyirESx80XcvXeApYkvbZplUDNX2TQhs</t>
  </si>
  <si>
    <t>https://docs.google.com/forms/d/e/1FAIpQLSeEYwFnViiqk1AbexVe1VDR73UApmeuvfn6Yr2vN8WXjwGu2Q/viewform?edit2=2_ABaOnudbVSLLelsjqUH_hVHgOmIfx-TrgJiPAeGRNbK2KFdfFGRSouXSNdjYju238VFoucE&amp;source=documentstudio&amp;timestamp=1756432410866</t>
  </si>
  <si>
    <t>2_ABaOnudbVSLLelsjqUH_hVHgOmIfx-TrgJiPAeGRNbK2KFdfFGRSouXSNdjYju238VFoucE</t>
  </si>
  <si>
    <t>https://drive.google.com/open?id=1x0oau37AYgeUzMxbKxAzjEc5wnEMrxr_</t>
  </si>
  <si>
    <t>https://docs.google.com/forms/d/e/1FAIpQLSeEYwFnViiqk1AbexVe1VDR73UApmeuvfn6Yr2vN8WXjwGu2Q/viewform?edit2=2_ABaOnueLKFMbripTghdHM0HVbKiHH9j-2OMliOmOku0o1OHGnFfmLzyhrhRejmspyNic2UE&amp;source=documentstudio&amp;timestamp=1756456641801</t>
  </si>
  <si>
    <t>2_ABaOnueLKFMbripTghdHM0HVbKiHH9j-2OMliOmOku0o1OHGnFfmLzyhrhRejmspyNic2UE</t>
  </si>
  <si>
    <t>https://drive.google.com/open?id=1M8AreQTVMVru2uynPlFzWslI5UIPQtdy</t>
  </si>
  <si>
    <t>https://docs.google.com/forms/d/e/1FAIpQLSeEYwFnViiqk1AbexVe1VDR73UApmeuvfn6Yr2vN8WXjwGu2Q/viewform?edit2=2_ABaOnueYrX717G4o13jOXhQMABGZCI5FWIXIT--PReS0eOnzTwnOKMC33o-rQCg2dMC9ddY&amp;source=documentstudio&amp;timestamp=1756781028166</t>
  </si>
  <si>
    <t>2_ABaOnueYrX717G4o13jOXhQMABGZCI5FWIXIT--PReS0eOnzTwnOKMC33o-rQCg2dMC9ddY</t>
  </si>
  <si>
    <t>https://drive.google.com/open?id=1D2sqWn_hKo97Bmi0ps9pToAvQPVdzqtX</t>
  </si>
  <si>
    <t>https://docs.google.com/forms/d/e/1FAIpQLSeEYwFnViiqk1AbexVe1VDR73UApmeuvfn6Yr2vN8WXjwGu2Q/viewform?edit2=2_ABaOnueKxv7ym_ahlELlYHLYeqIuXqc9K1dPFDtQkRRgvReGmuASk7Qtqrbekk_jTPRqYEE&amp;source=documentstudio&amp;timestamp=1756800640021</t>
  </si>
  <si>
    <t>2_ABaOnueKxv7ym_ahlELlYHLYeqIuXqc9K1dPFDtQkRRgvReGmuASk7Qtqrbekk_jTPRqYEE</t>
  </si>
  <si>
    <t>https://drive.google.com/open?id=1WNZ0FpRLBm60XmKGGf1cRhboI5Aqon03</t>
  </si>
  <si>
    <t>https://docs.google.com/forms/d/e/1FAIpQLSeEYwFnViiqk1AbexVe1VDR73UApmeuvfn6Yr2vN8WXjwGu2Q/viewform?edit2=2_ABaOnufZLhK6OjecGztD2ayMRwO91TzbAgqm9BxA40fk_fk54Sce3F6WsME5yMftliWlj1U&amp;source=documentstudio&amp;timestamp=1756951452150</t>
  </si>
  <si>
    <t>2_ABaOnufZLhK6OjecGztD2ayMRwO91TzbAgqm9BxA40fk_fk54Sce3F6WsME5yMftliWlj1U</t>
  </si>
  <si>
    <t>https://drive.google.com/open?id=1o45wQOYc_ErFYkblxhjKNfkkhMBsE7we</t>
  </si>
  <si>
    <t>https://docs.google.com/forms/d/e/1FAIpQLSeEYwFnViiqk1AbexVe1VDR73UApmeuvfn6Yr2vN8WXjwGu2Q/viewform?edit2=2_ABaOnudcZ4vqZhuSaNIsDtNDatQ1YZQDZSYf9MJXXEVI8x87nvse2gAMClqKmHy6edg6DuY&amp;source=documentstudio&amp;timestamp=1757298832029</t>
  </si>
  <si>
    <t>2_ABaOnudcZ4vqZhuSaNIsDtNDatQ1YZQDZSYf9MJXXEVI8x87nvse2gAMClqKmHy6edg6DuY</t>
  </si>
  <si>
    <t>https://drive.google.com/open?id=1sx_k-txmE09mhrodGbezCXiNhY7idSBL</t>
  </si>
  <si>
    <t>https://docs.google.com/forms/d/e/1FAIpQLSeEYwFnViiqk1AbexVe1VDR73UApmeuvfn6Yr2vN8WXjwGu2Q/viewform?edit2=2_ABaOnueQ_gsz9NcH5WPThFvXKiIRn70b9RV9xHTw956tkHyxQMRknV4plsK9SC1MDxyU8Q4&amp;source=documentstudio&amp;timestamp=1757399964206</t>
  </si>
  <si>
    <t>2_ABaOnueQ_gsz9NcH5WPThFvXKiIRn70b9RV9xHTw956tkHyxQMRknV4plsK9SC1MDxyU8Q4</t>
  </si>
  <si>
    <t>https://drive.google.com/open?id=1vE6EC3J_VOKFdCQZkvPILuuA3TM1I683</t>
  </si>
  <si>
    <t>https://docs.google.com/forms/d/e/1FAIpQLSeEYwFnViiqk1AbexVe1VDR73UApmeuvfn6Yr2vN8WXjwGu2Q/viewform?edit2=2_ABaOnuf85rnLb9ZDnVL3thdkoDHRGQW61lfghRQ0mSJeVCIpKZ1WDLw810oYUekkdh7nuSI&amp;source=documentstudio&amp;timestamp=1757400001448</t>
  </si>
  <si>
    <t>2_ABaOnuf85rnLb9ZDnVL3thdkoDHRGQW61lfghRQ0mSJeVCIpKZ1WDLw810oYUekkdh7nuSI</t>
  </si>
  <si>
    <t>https://drive.google.com/open?id=1x4f8RxEAcJb-k6DElDHHCJOuaVL-mgvd</t>
  </si>
  <si>
    <t>https://docs.google.com/forms/d/e/1FAIpQLSeEYwFnViiqk1AbexVe1VDR73UApmeuvfn6Yr2vN8WXjwGu2Q/viewform?edit2=2_ABaOnucvh7KJwtbC-O1llDfcyz90QDWiQbVtQbIEWzSrX3DF0TdwHu3j-oe70ApLLut0EaY&amp;source=documentstudio&amp;timestamp=1757400036235</t>
  </si>
  <si>
    <t>2_ABaOnucvh7KJwtbC-O1llDfcyz90QDWiQbVtQbIEWzSrX3DF0TdwHu3j-oe70ApLLut0EaY</t>
  </si>
  <si>
    <t>https://drive.google.com/open?id=1A58Kedp8LrQJigT88rZypFXLTdG80qMo</t>
  </si>
  <si>
    <t>https://docs.google.com/forms/d/e/1FAIpQLSeEYwFnViiqk1AbexVe1VDR73UApmeuvfn6Yr2vN8WXjwGu2Q/viewform?edit2=2_ABaOnudVKxu3n77dk31hiAjYybAb1z96JBv_zn-tEixaWTNYyA4g-vl5-NmJ5MOMcVuMO0o&amp;source=documentstudio&amp;timestamp=1757401776778</t>
  </si>
  <si>
    <t>2_ABaOnudVKxu3n77dk31hiAjYybAb1z96JBv_zn-tEixaWTNYyA4g-vl5-NmJ5MOMcVuMO0o</t>
  </si>
  <si>
    <t>https://drive.google.com/open?id=1yBnbH2xq-QPsX0dfAhu0AfcfiAARmuZQ</t>
  </si>
  <si>
    <t>https://docs.google.com/forms/d/e/1FAIpQLSeEYwFnViiqk1AbexVe1VDR73UApmeuvfn6Yr2vN8WXjwGu2Q/viewform?edit2=2_ABaOnue-ErFixVmk3CavKxBhU4d0V2E6ynN44QM7Fp6RSLp0EruabkeQwGGqVI7xxy8HH-0&amp;source=documentstudio&amp;timestamp=1757401794340</t>
  </si>
  <si>
    <t>2_ABaOnue-ErFixVmk3CavKxBhU4d0V2E6ynN44QM7Fp6RSLp0EruabkeQwGGqVI7xxy8HH-0</t>
  </si>
  <si>
    <t>https://drive.google.com/open?id=1mwFBI-c4HVD0FkZoK5ZbXimEmoKCFF5I</t>
  </si>
  <si>
    <t>https://docs.google.com/forms/d/e/1FAIpQLSeEYwFnViiqk1AbexVe1VDR73UApmeuvfn6Yr2vN8WXjwGu2Q/viewform?edit2=2_ABaOnufx5tZwzi4qSb5LDWXvg02Z2kIOZASJcoUeRevvsjZWB4xRSgTAFFu7XcdWD0IJmrM&amp;source=documentstudio&amp;timestamp=1757401798463</t>
  </si>
  <si>
    <t>2_ABaOnufx5tZwzi4qSb5LDWXvg02Z2kIOZASJcoUeRevvsjZWB4xRSgTAFFu7XcdWD0IJmrM</t>
  </si>
  <si>
    <t>https://drive.google.com/open?id=1QyNKgPlfBF2a4Sv3S6NYviWa_gtMYb0e</t>
  </si>
  <si>
    <t>https://docs.google.com/forms/d/e/1FAIpQLSeEYwFnViiqk1AbexVe1VDR73UApmeuvfn6Yr2vN8WXjwGu2Q/viewform?edit2=2_ABaOnueZ2nLIqp6OLcv0qIuqzN99juU9gv9sO2AXmqkxsJDdgyz8ih2pbdkCCTIQ19MlMmE&amp;source=documentstudio&amp;timestamp=1757401824447</t>
  </si>
  <si>
    <t>2_ABaOnueZ2nLIqp6OLcv0qIuqzN99juU9gv9sO2AXmqkxsJDdgyz8ih2pbdkCCTIQ19MlMmE</t>
  </si>
  <si>
    <t>https://drive.google.com/open?id=1Dk0IElwJTNdXWAup1y6JxWPfWiE4INnL</t>
  </si>
  <si>
    <t>https://docs.google.com/forms/d/e/1FAIpQLSeEYwFnViiqk1AbexVe1VDR73UApmeuvfn6Yr2vN8WXjwGu2Q/viewform?edit2=2_ABaOnudM2mewxNxQFDJ421OnypQPg7LmTvbPrbCm-GXIAOUvQZ-ab-jUyeM9q9exmUTfyOE&amp;source=documentstudio&amp;timestamp=1757401827284</t>
  </si>
  <si>
    <t>2_ABaOnudM2mewxNxQFDJ421OnypQPg7LmTvbPrbCm-GXIAOUvQZ-ab-jUyeM9q9exmUTfyOE</t>
  </si>
  <si>
    <t>https://drive.google.com/open?id=1K0zjFz6gm5SOmDwxMhVmGUCD5Pdcqx-x</t>
  </si>
  <si>
    <t>https://docs.google.com/forms/d/e/1FAIpQLSeEYwFnViiqk1AbexVe1VDR73UApmeuvfn6Yr2vN8WXjwGu2Q/viewform?edit2=2_ABaOnucmppdr-R8zdAP9nWgGLxq86NlomXp-2XJR6rUjNx0s2uBlpaH227ACM1cLMAmZ1Aw&amp;source=documentstudio&amp;timestamp=1757401846986</t>
  </si>
  <si>
    <t>2_ABaOnucmppdr-R8zdAP9nWgGLxq86NlomXp-2XJR6rUjNx0s2uBlpaH227ACM1cLMAmZ1Aw</t>
  </si>
  <si>
    <t>https://drive.google.com/open?id=1LalEOR-HdyFOfwYcODbn0kWqjf5WWfqH</t>
  </si>
  <si>
    <t>https://docs.google.com/forms/d/e/1FAIpQLSeEYwFnViiqk1AbexVe1VDR73UApmeuvfn6Yr2vN8WXjwGu2Q/viewform?edit2=2_ABaOnuegD9UYApSJkHI8SdkV_Rev4ae6c4N6AoVu5QQ6Vip_or4NcdGog7PbgMsmlGoZUSI&amp;source=documentstudio&amp;timestamp=1757401861530</t>
  </si>
  <si>
    <t>2_ABaOnuegD9UYApSJkHI8SdkV_Rev4ae6c4N6AoVu5QQ6Vip_or4NcdGog7PbgMsmlGoZUSI</t>
  </si>
  <si>
    <t>https://drive.google.com/open?id=1bmns4sy_ckkmQneuIN8rkBVEy8l8OjJ1</t>
  </si>
  <si>
    <t>https://docs.google.com/forms/d/e/1FAIpQLSeEYwFnViiqk1AbexVe1VDR73UApmeuvfn6Yr2vN8WXjwGu2Q/viewform?edit2=2_ABaOnuc9uFIBnXbmYHffmbILYiJxu48b_fDEyYJsdAhYoL7tkz7YnOis882aMYSuXBVmetc&amp;source=documentstudio&amp;timestamp=1757401983911</t>
  </si>
  <si>
    <t>2_ABaOnuc9uFIBnXbmYHffmbILYiJxu48b_fDEyYJsdAhYoL7tkz7YnOis882aMYSuXBVmetc</t>
  </si>
  <si>
    <t>https://drive.google.com/open?id=1awD29iGpanEcIOIpztN98JGNVh0rPkSb</t>
  </si>
  <si>
    <t>https://docs.google.com/forms/d/e/1FAIpQLSeEYwFnViiqk1AbexVe1VDR73UApmeuvfn6Yr2vN8WXjwGu2Q/viewform?edit2=2_ABaOnucc1Lewa-0J2zfUKPMBTl5sNe_XE1GZfWopgeHGXhDT4V7R0eI8lQodrzUXFO2-mB4&amp;source=documentstudio&amp;timestamp=1757402006643</t>
  </si>
  <si>
    <t>2_ABaOnucc1Lewa-0J2zfUKPMBTl5sNe_XE1GZfWopgeHGXhDT4V7R0eI8lQodrzUXFO2-mB4</t>
  </si>
  <si>
    <t>https://drive.google.com/open?id=1mSalXuiGrRA3q7VOZJ4uiti2c4WO4JXK</t>
  </si>
  <si>
    <t>https://docs.google.com/forms/d/e/1FAIpQLSeEYwFnViiqk1AbexVe1VDR73UApmeuvfn6Yr2vN8WXjwGu2Q/viewform?edit2=2_ABaOnuePG_y6SpYn_LKqmHgMxAEHBOFL_1dxYI18hofe1W9bMgh_6iLhC_JnUrAX4wutfN8&amp;source=documentstudio&amp;timestamp=1757402028457</t>
  </si>
  <si>
    <t>2_ABaOnuePG_y6SpYn_LKqmHgMxAEHBOFL_1dxYI18hofe1W9bMgh_6iLhC_JnUrAX4wutfN8</t>
  </si>
  <si>
    <t>https://drive.google.com/open?id=1R9yk-2Fo5bC12VLgBbQnWcCfLFVuiQJx</t>
  </si>
  <si>
    <t>https://docs.google.com/forms/d/e/1FAIpQLSeEYwFnViiqk1AbexVe1VDR73UApmeuvfn6Yr2vN8WXjwGu2Q/viewform?edit2=2_ABaOnucaMNk-QXvu7T3wR1_F84ulg-lAMsNLYQPEajV5PSHGeZfae69UFqaKYmwXIjIi8v8&amp;source=documentstudio&amp;timestamp=1757404716794</t>
  </si>
  <si>
    <t>2_ABaOnucaMNk-QXvu7T3wR1_F84ulg-lAMsNLYQPEajV5PSHGeZfae69UFqaKYmwXIjIi8v8</t>
  </si>
  <si>
    <t>https://drive.google.com/open?id=1dtLavTOzt0vqClKea0_nDh9fExua5K7h</t>
  </si>
  <si>
    <t>https://docs.google.com/forms/d/e/1FAIpQLSeEYwFnViiqk1AbexVe1VDR73UApmeuvfn6Yr2vN8WXjwGu2Q/viewform?edit2=2_ABaOnufRw7FkkiTWjkYxfMlYywnH-x4G3RQr6QstIWMKh6aRm3txlQYM73lM-g2wCASXqJQ&amp;source=documentstudio&amp;timestamp=1757475779840</t>
  </si>
  <si>
    <t>2_ABaOnufRw7FkkiTWjkYxfMlYywnH-x4G3RQr6QstIWMKh6aRm3txlQYM73lM-g2wCASXqJQ</t>
  </si>
  <si>
    <t>https://drive.google.com/open?id=1RClLaiPpAZ8UXfPhMEPb7JIHc8RYFgZW</t>
  </si>
  <si>
    <t>https://docs.google.com/forms/d/e/1FAIpQLSeEYwFnViiqk1AbexVe1VDR73UApmeuvfn6Yr2vN8WXjwGu2Q/viewform?edit2=2_ABaOnudc8i5jKtNjdv2vg5XrwBuww2tMM-13lHz6mykBfEji6C-3UOXd4JVgbyrOJIBanSA&amp;source=documentstudio&amp;timestamp=1757645808880</t>
  </si>
  <si>
    <t>2_ABaOnudc8i5jKtNjdv2vg5XrwBuww2tMM-13lHz6mykBfEji6C-3UOXd4JVgbyrOJIBanSA</t>
  </si>
  <si>
    <t>https://drive.google.com/open?id=1zszpyEWdwg8Lt65erSrnlFfIYA6L4y5C</t>
  </si>
  <si>
    <t>https://docs.google.com/forms/d/e/1FAIpQLSeEYwFnViiqk1AbexVe1VDR73UApmeuvfn6Yr2vN8WXjwGu2Q/viewform?edit2=2_ABaOnufOtSlKcOe-m-ThhEYub2dm3fqPJcTzKmc34zGThWKAWnXRxYw_H-RI6XqjvlPXKa0&amp;source=documentstudio&amp;timestamp=1757645902484</t>
  </si>
  <si>
    <t>2_ABaOnufOtSlKcOe-m-ThhEYub2dm3fqPJcTzKmc34zGThWKAWnXRxYw_H-RI6XqjvlPXKa0</t>
  </si>
  <si>
    <t>https://drive.google.com/open?id=1vQPInfyURf4O-AJRPmSMlqVxOjnEfjj8</t>
  </si>
  <si>
    <t>https://docs.google.com/forms/d/e/1FAIpQLSeEYwFnViiqk1AbexVe1VDR73UApmeuvfn6Yr2vN8WXjwGu2Q/viewform?edit2=2_ABaOnucnQr61Mky0xrfBjWe4dRIToOp0W4DCpkHHB1hJlAhFEJiffydqI3ODTJHagUKQVXM&amp;source=documentstudio&amp;timestamp=1757666090599</t>
  </si>
  <si>
    <t>2_ABaOnucnQr61Mky0xrfBjWe4dRIToOp0W4DCpkHHB1hJlAhFEJiffydqI3ODTJHagUKQVXM</t>
  </si>
  <si>
    <t>https://drive.google.com/open?id=1Xil9tixYrppoJHRSOHasU50GEV2-V-mb</t>
  </si>
  <si>
    <t>https://docs.google.com/forms/d/e/1FAIpQLSeEYwFnViiqk1AbexVe1VDR73UApmeuvfn6Yr2vN8WXjwGu2Q/viewform?edit2=2_ABaOnueL1T3XUItTIKtoZNMGGbVO-LNgf8pb8Rz8q32szrUTeKNzGx56snDnV1fOxCX1Oto&amp;source=documentstudio&amp;timestamp=1759363393303</t>
  </si>
  <si>
    <t>2_ABaOnueL1T3XUItTIKtoZNMGGbVO-LNgf8pb8Rz8q32szrUTeKNzGx56snDnV1fOxCX1Oto</t>
  </si>
  <si>
    <t>https://drive.google.com/open?id=1v5ZNH3rgZuPeTEn3BlCR6dnZoxz1synP</t>
  </si>
  <si>
    <t>https://docs.google.com/forms/d/e/1FAIpQLSeEYwFnViiqk1AbexVe1VDR73UApmeuvfn6Yr2vN8WXjwGu2Q/viewform?edit2=2_ABaOnudCk2mWtGrfMI8JrziPz2J-4fgqsmXDLyJjxvk_rvjWIUUrj2nK-DMtCK83kVTojx0&amp;source=documentstudio&amp;timestamp=1759743896352</t>
  </si>
  <si>
    <t>2_ABaOnudCk2mWtGrfMI8JrziPz2J-4fgqsmXDLyJjxvk_rvjWIUUrj2nK-DMtCK83kVTojx0</t>
  </si>
  <si>
    <t>https://drive.google.com/open?id=1VJ39puhHKKNz6Ht8dEi73CLWHtfceik1</t>
  </si>
  <si>
    <t>https://docs.google.com/forms/d/e/1FAIpQLSeEYwFnViiqk1AbexVe1VDR73UApmeuvfn6Yr2vN8WXjwGu2Q/viewform?edit2=2_ABaOnufgJz2ARs6JXwAwRZ6R1khZa-Vij9PKv-s0DqDttbRmzZ53NSwNl3erHIDQj3O57kU&amp;source=documentstudio&amp;timestamp=1759809423447</t>
  </si>
  <si>
    <t>2_ABaOnufgJz2ARs6JXwAwRZ6R1khZa-Vij9PKv-s0DqDttbRmzZ53NSwNl3erHIDQj3O57kU</t>
  </si>
  <si>
    <t>https://drive.google.com/open?id=14l9T23aKnxaA1jjBX6jnD_Md6RVAXjrb</t>
  </si>
  <si>
    <t>https://docs.google.com/forms/d/e/1FAIpQLSeEYwFnViiqk1AbexVe1VDR73UApmeuvfn6Yr2vN8WXjwGu2Q/viewform?edit2=2_ABaOnuc3fsaIKPSjJSwiWJgiUKNBb-e9kcH6EgyhQkWSJGUFYApU2Roe-u5sp-2_eNwmuz0&amp;source=documentstudio&amp;timestamp=1759997775634</t>
  </si>
  <si>
    <t>2_ABaOnuc3fsaIKPSjJSwiWJgiUKNBb-e9kcH6EgyhQkWSJGUFYApU2Roe-u5sp-2_eNwmuz0</t>
  </si>
  <si>
    <t>https://drive.google.com/open?id=1fJp_VRtlZokkpITXkzGYqUPv_hn-9oGh</t>
  </si>
  <si>
    <t>https://docs.google.com/forms/d/e/1FAIpQLSeEYwFnViiqk1AbexVe1VDR73UApmeuvfn6Yr2vN8WXjwGu2Q/viewform?edit2=2_ABaOnueIH2lyecuQt_HmI1r4r1x8xr6TZi9oJbcdDLhJPH76XpZR0hGrxgQlYWu_4DYKlWA&amp;source=documentstudio&amp;timestamp=1759997926691</t>
  </si>
  <si>
    <t>2_ABaOnueIH2lyecuQt_HmI1r4r1x8xr6TZi9oJbcdDLhJPH76XpZR0hGrxgQlYWu_4DYKlWA</t>
  </si>
  <si>
    <t>https://drive.google.com/open?id=1ZNJCnideFSCssuWXq02uAHq9HtGWYD49</t>
  </si>
  <si>
    <t>https://docs.google.com/forms/d/e/1FAIpQLSeEYwFnViiqk1AbexVe1VDR73UApmeuvfn6Yr2vN8WXjwGu2Q/viewform?edit2=2_ABaOnuflLKq3qme_Rqls6Up1di8YwErIsWeOXSDtvdhMRpge0FdGxybfYdTdw_dudBt-Nfs&amp;source=documentstudio&amp;timestamp=1759998385439</t>
  </si>
  <si>
    <t>2_ABaOnuflLKq3qme_Rqls6Up1di8YwErIsWeOXSDtvdhMRpge0FdGxybfYdTdw_dudBt-Nfs</t>
  </si>
  <si>
    <t>https://drive.google.com/open?id=17MVLaZRiDVXHiYVsm0PyGe6QC8AgcDU6</t>
  </si>
  <si>
    <t>https://docs.google.com/forms/d/e/1FAIpQLSeEYwFnViiqk1AbexVe1VDR73UApmeuvfn6Yr2vN8WXjwGu2Q/viewform?edit2=2_ABaOnudMxIYfBohnpUwpm1HZfbha2to85FL0Ebn_p3Pb8zVBvrLKfRaWJRha6W4Fg-ngxtg&amp;source=documentstudio&amp;timestamp=1759998531176</t>
  </si>
  <si>
    <t>2_ABaOnudMxIYfBohnpUwpm1HZfbha2to85FL0Ebn_p3Pb8zVBvrLKfRaWJRha6W4Fg-ngxtg</t>
  </si>
  <si>
    <t>https://drive.google.com/open?id=1046WW3ifhjr1e2zkdyDE5MRcCd_ARCRH</t>
  </si>
  <si>
    <t>https://docs.google.com/forms/d/e/1FAIpQLSeEYwFnViiqk1AbexVe1VDR73UApmeuvfn6Yr2vN8WXjwGu2Q/viewform?edit2=2_ABaOnue4nc_ZOrPbg48DgGP-DRLRu3qawR30esVlv-M0NUeaWr5COzQsjRYyQiKcSz_2rm0&amp;source=documentstudio&amp;timestamp=1760320617454</t>
  </si>
  <si>
    <t>2_ABaOnue4nc_ZOrPbg48DgGP-DRLRu3qawR30esVlv-M0NUeaWr5COzQsjRYyQiKcSz_2rm0</t>
  </si>
  <si>
    <t>https://drive.google.com/open?id=1tIrp0MNzO7mLN6Hrfi312qfeooj7BBYd</t>
  </si>
  <si>
    <t>https://docs.google.com/forms/d/e/1FAIpQLSeEYwFnViiqk1AbexVe1VDR73UApmeuvfn6Yr2vN8WXjwGu2Q/viewform?edit2=2_ABaOnud9cMFgsNCaRzk3sBzqBf-ewcm1uH9P3cQIHlbJSrzwPgxykXL6M1LTkloI2nz1b2s&amp;source=documentstudio&amp;timestamp=1760410562028</t>
  </si>
  <si>
    <t>2_ABaOnud9cMFgsNCaRzk3sBzqBf-ewcm1uH9P3cQIHlbJSrzwPgxykXL6M1LTkloI2nz1b2s</t>
  </si>
  <si>
    <t>https://drive.google.com/open?id=1gBTSSxNpVVhLleyzCV2Q3YgsVoEzqBig</t>
  </si>
  <si>
    <t>https://docs.google.com/forms/d/e/1FAIpQLSeEYwFnViiqk1AbexVe1VDR73UApmeuvfn6Yr2vN8WXjwGu2Q/viewform?edit2=2_ABaOnuf1J7oMN8qmDvQ8Qc8lR0TIWxbAYFmO5Cm_ebsLys4c6HdTmIj62IGAPwVZONSrWR4&amp;source=documentstudio&amp;timestamp=1760414647240</t>
  </si>
  <si>
    <t>2_ABaOnuf1J7oMN8qmDvQ8Qc8lR0TIWxbAYFmO5Cm_ebsLys4c6HdTmIj62IGAPwVZONSrWR4</t>
  </si>
  <si>
    <t>https://drive.google.com/open?id=1l4vqhpHkb60TPHapxbR3ZXwQ1spTAjG_</t>
  </si>
  <si>
    <t>https://docs.google.com/forms/d/e/1FAIpQLSeEYwFnViiqk1AbexVe1VDR73UApmeuvfn6Yr2vN8WXjwGu2Q/viewform?edit2=2_ABaOnufwmGAME_tkg3PIzNWOqnSkBkoxl0_HOcSIHLTlv1R1ldXizkDVbRd9xzkaG14lLuc&amp;source=documentstudio&amp;timestamp=1760414678766</t>
  </si>
  <si>
    <t>2_ABaOnufwmGAME_tkg3PIzNWOqnSkBkoxl0_HOcSIHLTlv1R1ldXizkDVbRd9xzkaG14lLuc</t>
  </si>
  <si>
    <t>https://drive.google.com/open?id=1vOIlt7XYSUx9EMBs-heiL5JBSm1HK4ZV</t>
  </si>
  <si>
    <t>https://docs.google.com/forms/d/e/1FAIpQLSeEYwFnViiqk1AbexVe1VDR73UApmeuvfn6Yr2vN8WXjwGu2Q/viewform?edit2=2_ABaOnuerS1bx3lj0Tikj5h4s1iDb6HRpXBazgrUuaEbgg6GQlUKvksSOh4rJLQvsDj5i_a4&amp;source=documentstudio&amp;timestamp=1760414714668</t>
  </si>
  <si>
    <t>2_ABaOnuerS1bx3lj0Tikj5h4s1iDb6HRpXBazgrUuaEbgg6GQlUKvksSOh4rJLQvsDj5i_a4</t>
  </si>
  <si>
    <t>https://drive.google.com/open?id=1pDjIYy3RKiwvL5gknzR6Se9e34utnuWj</t>
  </si>
  <si>
    <t>https://docs.google.com/forms/d/e/1FAIpQLSeEYwFnViiqk1AbexVe1VDR73UApmeuvfn6Yr2vN8WXjwGu2Q/viewform?edit2=2_ABaOnudCIRP7NwJ9sPxxU49sdRHRYRWOElMwnwtbcSdtyFdELoX7LVGZOTSln11qEvmV8f4&amp;source=documentstudio&amp;timestamp=1760492690799</t>
  </si>
  <si>
    <t>2_ABaOnudCIRP7NwJ9sPxxU49sdRHRYRWOElMwnwtbcSdtyFdELoX7LVGZOTSln11qEvmV8f4</t>
  </si>
  <si>
    <t>https://drive.google.com/open?id=1jAT2HG81fyaWgrZJZBV7d_vWMzf7r1go</t>
  </si>
  <si>
    <t>https://docs.google.com/forms/d/e/1FAIpQLSeEYwFnViiqk1AbexVe1VDR73UApmeuvfn6Yr2vN8WXjwGu2Q/viewform?edit2=2_ABaOnueCxl7FdPX2locSH7jRHgZVOtA-TCsmv8EahtYVV2VT5lDPW_71vWfvPROSrenOHQg&amp;source=documentstudio&amp;timestamp=1760518105896</t>
  </si>
  <si>
    <t>2_ABaOnueCxl7FdPX2locSH7jRHgZVOtA-TCsmv8EahtYVV2VT5lDPW_71vWfvPROSrenOHQg</t>
  </si>
  <si>
    <t>https://drive.google.com/open?id=12yxPHNN28vT4zWfwQMJ7cV0NEHXpEFgH</t>
  </si>
  <si>
    <t>https://docs.google.com/forms/d/e/1FAIpQLSeEYwFnViiqk1AbexVe1VDR73UApmeuvfn6Yr2vN8WXjwGu2Q/viewform?edit2=2_ABaOnudticu5BQVLLRfBUOTGmq1c5PwdeTtdhSPAP1PJjz0Hs8DPNmIvHwIekzWMTTrQtLw&amp;source=documentstudio&amp;timestamp=1760581201276</t>
  </si>
  <si>
    <t>2_ABaOnudticu5BQVLLRfBUOTGmq1c5PwdeTtdhSPAP1PJjz0Hs8DPNmIvHwIekzWMTTrQtLw</t>
  </si>
  <si>
    <t>https://drive.google.com/open?id=1IAdl0mn9FBQ5ZvHt26FIbFFgU1aCkHQv</t>
  </si>
  <si>
    <t>https://docs.google.com/forms/d/e/1FAIpQLSeEYwFnViiqk1AbexVe1VDR73UApmeuvfn6Yr2vN8WXjwGu2Q/viewform?edit2=2_ABaOnuf1Tx91S4E3ggyqzqAwTE0QrabKzWrIt6YOFTYOuAFRI37vmsTqLEpEVKeCOMketuU&amp;source=documentstudio&amp;timestamp=1761269936525</t>
  </si>
  <si>
    <t>2_ABaOnuf1Tx91S4E3ggyqzqAwTE0QrabKzWrIt6YOFTYOuAFRI37vmsTqLEpEVKeCOMketuU</t>
  </si>
  <si>
    <t>https://drive.google.com/open?id=1hB84aVoVVyw6c1Bdqdi2AcOeULTLkMCs</t>
  </si>
  <si>
    <t>https://docs.google.com/forms/d/e/1FAIpQLSeEYwFnViiqk1AbexVe1VDR73UApmeuvfn6Yr2vN8WXjwGu2Q/viewform?edit2=2_ABaOnuc2FxARMWr6hq-PETxgefG_VKhfpkiJSVhW5iIPlvq2xVIdFCuWN76IPNuFah7BYGE&amp;source=documentstudio&amp;timestamp=1761269956429</t>
  </si>
  <si>
    <t>2_ABaOnuc2FxARMWr6hq-PETxgefG_VKhfpkiJSVhW5iIPlvq2xVIdFCuWN76IPNuFah7BYGE</t>
  </si>
  <si>
    <t>https://drive.google.com/open?id=1dvqDy6rv66nrQjt4iF3zyMZqwMr1Ilag</t>
  </si>
  <si>
    <t>https://docs.google.com/forms/d/e/1FAIpQLSeEYwFnViiqk1AbexVe1VDR73UApmeuvfn6Yr2vN8WXjwGu2Q/viewform?edit2=2_ABaOnuecTZk3_3L6kKJ_WFMUl5n_HSrzvTQ1KdL2nldRHErJuSrXlCsTq-cql_ETqqR8CNk&amp;source=documentstudio&amp;timestamp=1762136642091</t>
  </si>
  <si>
    <t>2_ABaOnuecTZk3_3L6kKJ_WFMUl5n_HSrzvTQ1KdL2nldRHErJuSrXlCsTq-cql_ETqqR8CNk</t>
  </si>
  <si>
    <t>https://drive.google.com/open?id=16l8A__92Z0ewHgvUsvk0Y-AoA_WOpei4</t>
  </si>
  <si>
    <t>https://docs.google.com/forms/d/e/1FAIpQLSeEYwFnViiqk1AbexVe1VDR73UApmeuvfn6Yr2vN8WXjwGu2Q/viewform?edit2=2_ABaOnue2Hb_CcoOl4lcfYVvrcMPKnvyTuQhrjzo2pIi8x2Je3LEF4yG3pAV2EdbBiq-_0Uk&amp;source=documentstudio&amp;timestamp=1762136673171</t>
  </si>
  <si>
    <t>2_ABaOnue2Hb_CcoOl4lcfYVvrcMPKnvyTuQhrjzo2pIi8x2Je3LEF4yG3pAV2EdbBiq-_0Uk</t>
  </si>
  <si>
    <t>https://drive.google.com/open?id=1Tig6yWg_T5nbGjzyHpGjV5KWw-QcJZVR</t>
  </si>
  <si>
    <t>https://docs.google.com/forms/d/e/1FAIpQLSeEYwFnViiqk1AbexVe1VDR73UApmeuvfn6Yr2vN8WXjwGu2Q/viewform?edit2=2_ABaOnucwcXFJ0e9v8ClQOMutrjYLKk5n2sbrr1iTJEjQPNuBrIqliO0qwFxoDXIumsgxAEM&amp;source=documentstudio&amp;timestamp=1764557256502</t>
  </si>
  <si>
    <t>2_ABaOnucwcXFJ0e9v8ClQOMutrjYLKk5n2sbrr1iTJEjQPNuBrIqliO0qwFxoDXIumsgxAEM</t>
  </si>
  <si>
    <t>https://drive.google.com/open?id=10BaWb3-RyhB__OmpaFDM550LsJpWt86M</t>
  </si>
  <si>
    <t>https://docs.google.com/forms/d/e/1FAIpQLSeEYwFnViiqk1AbexVe1VDR73UApmeuvfn6Yr2vN8WXjwGu2Q/viewform?edit2=2_ABaOnucoXNlZ_B0oW6QqwbosLCj8VIIzHuqhmXcJfYP3rDuRYAoQYXwrFaYcHgOnEoxdlRk&amp;source=documentstudio&amp;timestamp=1764557338562</t>
  </si>
  <si>
    <t>2_ABaOnucoXNlZ_B0oW6QqwbosLCj8VIIzHuqhmXcJfYP3rDuRYAoQYXwrFaYcHgOnEoxdlRk</t>
  </si>
  <si>
    <t>https://drive.google.com/open?id=1qSDG9p_pK8s_5CgN3b8s41yGihGXi5iu</t>
  </si>
  <si>
    <t>https://docs.google.com/forms/d/e/1FAIpQLSeEYwFnViiqk1AbexVe1VDR73UApmeuvfn6Yr2vN8WXjwGu2Q/viewform?edit2=2_ABaOnuc7Vj8A2yYrZxhjcei418zgUkXTyI-qYRk1vXkoumiEBakOqa-yolg4S0BapQ0N1Ic&amp;source=documentstudio&amp;timestamp=1764557645197</t>
  </si>
  <si>
    <t>2_ABaOnuc7Vj8A2yYrZxhjcei418zgUkXTyI-qYRk1vXkoumiEBakOqa-yolg4S0BapQ0N1Ic</t>
  </si>
  <si>
    <t>https://drive.google.com/open?id=1SkEw2RQnSOVR2ZdU36d6Ry_ZVIUHJC4j</t>
  </si>
  <si>
    <t>https://docs.google.com/forms/d/e/1FAIpQLSeEYwFnViiqk1AbexVe1VDR73UApmeuvfn6Yr2vN8WXjwGu2Q/viewform?edit2=2_ABaOnudEqmy9w3d-FqD_bOBvHAGG4ELMXFPXkxL3bPsQDa_eFhA-o4bCeloGDRlbDZHgybQ&amp;source=documentstudio&amp;timestamp=1764569117482</t>
  </si>
  <si>
    <t>2_ABaOnudEqmy9w3d-FqD_bOBvHAGG4ELMXFPXkxL3bPsQDa_eFhA-o4bCeloGDRlbDZHgybQ</t>
  </si>
  <si>
    <t>https://drive.google.com/open?id=1iFGRCzqJFxtk2MRnDtxCFxXHAv83VHYn</t>
  </si>
  <si>
    <t>https://docs.google.com/forms/d/e/1FAIpQLSeEYwFnViiqk1AbexVe1VDR73UApmeuvfn6Yr2vN8WXjwGu2Q/viewform?edit2=2_ABaOnucxrEFPSgiXEmiTDyE2X163JZcXWNul_0qKLX87j6G89CSRknjoyijzaahtX8554tA&amp;source=documentstudio&amp;timestamp=1764830441478</t>
  </si>
  <si>
    <t>2_ABaOnucxrEFPSgiXEmiTDyE2X163JZcXWNul_0qKLX87j6G89CSRknjoyijzaahtX8554tA</t>
  </si>
  <si>
    <t>https://drive.google.com/open?id=13MVsJmWIXLjYbU7ApLJNDa680FqEI1U7</t>
  </si>
  <si>
    <t>https://docs.google.com/forms/d/e/1FAIpQLSeEYwFnViiqk1AbexVe1VDR73UApmeuvfn6Yr2vN8WXjwGu2Q/viewform?edit2=2_ABaOnuf-kHjRitBhSqOBBItD65mbj68nJ_aUh0K1cs7MVWFEcJvonCDeU-DRHa_Snh8UVU0&amp;source=documentstudio&amp;timestamp=1764830485405</t>
  </si>
  <si>
    <t>2_ABaOnuf-kHjRitBhSqOBBItD65mbj68nJ_aUh0K1cs7MVWFEcJvonCDeU-DRHa_Snh8UVU0</t>
  </si>
  <si>
    <t>https://drive.google.com/open?id=1vJN-1Hyev2dht3ROkYs-MXTNzOXhUZnq</t>
  </si>
  <si>
    <t>https://docs.google.com/forms/d/e/1FAIpQLSeEYwFnViiqk1AbexVe1VDR73UApmeuvfn6Yr2vN8WXjwGu2Q/viewform?edit2=2_ABaOnufRbdgoBLUPzQ8kPCqt6GXV5oDhyVukxpctQ9HkQjzvEAIwoZDePS2irFfh0MWycGg&amp;source=documentstudio&amp;timestamp=1764830581421</t>
  </si>
  <si>
    <t>2_ABaOnufRbdgoBLUPzQ8kPCqt6GXV5oDhyVukxpctQ9HkQjzvEAIwoZDePS2irFfh0MWycGg</t>
  </si>
  <si>
    <t>https://drive.google.com/open?id=1-4t81FQ0c7yqhtWErBz8yaEV8k59H6U1</t>
  </si>
  <si>
    <t>https://docs.google.com/forms/d/e/1FAIpQLSeEYwFnViiqk1AbexVe1VDR73UApmeuvfn6Yr2vN8WXjwGu2Q/viewform?edit2=2_ABaOnucpnwV0w6qjZWGAMYgIj3TQf6RowSccwJsR8GjWBA9lHApwicO1TKEELGW1UZk_jO8&amp;source=documentstudio&amp;timestamp=1768353500405</t>
  </si>
  <si>
    <t>2_ABaOnucpnwV0w6qjZWGAMYgIj3TQf6RowSccwJsR8GjWBA9lHApwicO1TKEELGW1UZk_jO8</t>
  </si>
  <si>
    <t>https://drive.google.com/open?id=1isCUozMsDQ7VHpY10-l-D4ctwqbB-EGH</t>
  </si>
  <si>
    <t>https://docs.google.com/forms/d/e/1FAIpQLSeEYwFnViiqk1AbexVe1VDR73UApmeuvfn6Yr2vN8WXjwGu2Q/viewform?edit2=2_ABaOnueaZpBTuG2LxdpyGFNNFa9VZ0z7YujpVFLeDoCXCEGUIWT1bfRyenefRoxzF9eeS_A&amp;source=documentstudio&amp;timestamp=1768353724953</t>
  </si>
  <si>
    <t>2_ABaOnueaZpBTuG2LxdpyGFNNFa9VZ0z7YujpVFLeDoCXCEGUIWT1bfRyenefRoxzF9eeS_A</t>
  </si>
  <si>
    <t>https://drive.google.com/open?id=1IVNA6s1Ey-qw9P39gTvnro5bAr2GW5aw</t>
  </si>
  <si>
    <t>https://docs.google.com/forms/d/e/1FAIpQLSeEYwFnViiqk1AbexVe1VDR73UApmeuvfn6Yr2vN8WXjwGu2Q/viewform?edit2=2_ABaOnucsTgaruA_xkZ-lT0OSbw4gdVK27FAz0LXoDsDgANlJz5nfgIo9aWn4TqQ6d9PnR1Y&amp;source=documentstudio&amp;timestamp=1768362741239</t>
  </si>
  <si>
    <t>2_ABaOnucsTgaruA_xkZ-lT0OSbw4gdVK27FAz0LXoDsDgANlJz5nfgIo9aWn4TqQ6d9PnR1Y</t>
  </si>
  <si>
    <t>https://drive.google.com/open?id=1_uJagUmPplLuL3qwzoq0YdK8jiRmwYTk</t>
  </si>
  <si>
    <t>https://docs.google.com/forms/d/e/1FAIpQLSeEYwFnViiqk1AbexVe1VDR73UApmeuvfn6Yr2vN8WXjwGu2Q/viewform?edit2=2_ABaOnudeYPwHV4YHjZO8l8OfpjTms0C9N96Z76p39R3kYIeAzZWxBYiE2Sop5GlhgAbqUCk&amp;source=documentstudio&amp;timestamp=1768362767535</t>
  </si>
  <si>
    <t>2_ABaOnudeYPwHV4YHjZO8l8OfpjTms0C9N96Z76p39R3kYIeAzZWxBYiE2Sop5GlhgAbqUCk</t>
  </si>
  <si>
    <t>https://drive.google.com/open?id=16xsBF04Hhh3HQ7bDGpa-orZqvRARgjsn</t>
  </si>
  <si>
    <t>https://docs.google.com/forms/d/e/1FAIpQLSeEYwFnViiqk1AbexVe1VDR73UApmeuvfn6Yr2vN8WXjwGu2Q/viewform?edit2=2_ABaOnuf1KRPas_mLXZHhZ_W8j898vz1OugNY43ylVqrO5h78mxqsqiztpf3GaCUAnpcJJSs&amp;source=documentstudio&amp;timestamp=1768362797637</t>
  </si>
  <si>
    <t>2_ABaOnuf1KRPas_mLXZHhZ_W8j898vz1OugNY43ylVqrO5h78mxqsqiztpf3GaCUAnpcJJSs</t>
  </si>
  <si>
    <t>https://drive.google.com/open?id=1tm9QYjT5ghFGCMd2mII1-rYUpmnl48ut</t>
  </si>
  <si>
    <t>https://docs.google.com/forms/d/e/1FAIpQLSeEYwFnViiqk1AbexVe1VDR73UApmeuvfn6Yr2vN8WXjwGu2Q/viewform?edit2=2_ABaOnuf5pdEKbJ-zmwvG8v1qieqw8IyrI6PAC3BcHjVOX_pcs5kBZNhTBbLkQE-oLMdGPl4&amp;source=documentstudio&amp;timestamp=1768368824791</t>
  </si>
  <si>
    <t>2_ABaOnuf5pdEKbJ-zmwvG8v1qieqw8IyrI6PAC3BcHjVOX_pcs5kBZNhTBbLkQE-oLMdGPl4</t>
  </si>
  <si>
    <t>https://drive.google.com/open?id=1ElRs8Z0zEk2qIDEgCHKjShjcSbN94Gk1</t>
  </si>
  <si>
    <t>https://docs.google.com/forms/d/e/1FAIpQLSeEYwFnViiqk1AbexVe1VDR73UApmeuvfn6Yr2vN8WXjwGu2Q/viewform?edit2=2_ABaOnucxOBYD2EqhVhY-wdy6q-l943mivWKQw5AETVRnrNVUJvDdl1YMpeDIocqgjrfPyRo&amp;source=documentstudio&amp;timestamp=1768378361784</t>
  </si>
  <si>
    <t>2_ABaOnucxOBYD2EqhVhY-wdy6q-l943mivWKQw5AETVRnrNVUJvDdl1YMpeDIocqgjrfPyRo</t>
  </si>
  <si>
    <t>https://drive.google.com/open?id=11fxDPOELdYhiz-DdrhetvRCFeWmtk-hu</t>
  </si>
  <si>
    <t>https://docs.google.com/forms/d/e/1FAIpQLSeEYwFnViiqk1AbexVe1VDR73UApmeuvfn6Yr2vN8WXjwGu2Q/viewform?edit2=2_ABaOnuc3Tlpb9HpXyX_fzf0XfCuSoRNysBLTvHp91Yw2LoBsVhU-NAVTHxC2KuK0LvrHgXg&amp;source=documentstudio&amp;timestamp=1768378412129</t>
  </si>
  <si>
    <t>2_ABaOnuc3Tlpb9HpXyX_fzf0XfCuSoRNysBLTvHp91Yw2LoBsVhU-NAVTHxC2KuK0LvrHgXg</t>
  </si>
  <si>
    <t>https://drive.google.com/open?id=1gA70ranCz2oZSHJMF644-ai8IF36c08_</t>
  </si>
  <si>
    <t>https://docs.google.com/forms/d/e/1FAIpQLSeEYwFnViiqk1AbexVe1VDR73UApmeuvfn6Yr2vN8WXjwGu2Q/viewform?edit2=2_ABaOnue8szYrZIJEoN6bXF_zu6caFc9RGXf6MaVywFWN11kijklgW__L3j4YOcqshXEuhFk&amp;source=documentstudio&amp;timestamp=1768378452105</t>
  </si>
  <si>
    <t>2_ABaOnue8szYrZIJEoN6bXF_zu6caFc9RGXf6MaVywFWN11kijklgW__L3j4YOcqshXEuhFk</t>
  </si>
  <si>
    <t>https://drive.google.com/open?id=1Wa1ng9Ul99jsYgBDlGT7TOycapR8UL6m</t>
  </si>
  <si>
    <t>https://docs.google.com/forms/d/e/1FAIpQLSeEYwFnViiqk1AbexVe1VDR73UApmeuvfn6Yr2vN8WXjwGu2Q/viewform?edit2=2_ABaOnudYJfWss1OGsBp03rcD2J1YNamJzIMq1BvNInmFPreHY0rNSzUABC2uNN4C82yfAVU&amp;source=documentstudio&amp;timestamp=1768378475998</t>
  </si>
  <si>
    <t>2_ABaOnudYJfWss1OGsBp03rcD2J1YNamJzIMq1BvNInmFPreHY0rNSzUABC2uNN4C82yfAVU</t>
  </si>
  <si>
    <t>https://drive.google.com/open?id=100dC1zMEHITcpP50w0OzrK9-b7ftYL7w</t>
  </si>
  <si>
    <t>https://docs.google.com/forms/d/e/1FAIpQLSeEYwFnViiqk1AbexVe1VDR73UApmeuvfn6Yr2vN8WXjwGu2Q/viewform?edit2=2_ABaOnufuJzWL1M-BZOuKJNew6E9ByGZ6MKiLg4cssSZwaod5PRcVr9IGrBR6Ppf4vpkPYwk&amp;source=documentstudio&amp;timestamp=1768378494417</t>
  </si>
  <si>
    <t>2_ABaOnufuJzWL1M-BZOuKJNew6E9ByGZ6MKiLg4cssSZwaod5PRcVr9IGrBR6Ppf4vpkPYwk</t>
  </si>
  <si>
    <t>https://drive.google.com/open?id=19InCKMt3dWwUkHNufVJiLJ431QNMsKqr</t>
  </si>
  <si>
    <t>https://docs.google.com/forms/d/e/1FAIpQLSeEYwFnViiqk1AbexVe1VDR73UApmeuvfn6Yr2vN8WXjwGu2Q/viewform?edit2=2_ABaOnufDlpOk6qr8TcjcmN-3G78M1tqCarq0J7gbZOiZHfoXUkls42GlJ0aKHuV7-eov16w&amp;source=documentstudio&amp;timestamp=1768379706435</t>
  </si>
  <si>
    <t>2_ABaOnufDlpOk6qr8TcjcmN-3G78M1tqCarq0J7gbZOiZHfoXUkls42GlJ0aKHuV7-eov16w</t>
  </si>
  <si>
    <t>https://drive.google.com/open?id=1wD2bS-tIDnq8i6mzFwW_3mZ_NuEOOaWD</t>
  </si>
  <si>
    <t>https://docs.google.com/forms/d/e/1FAIpQLSeEYwFnViiqk1AbexVe1VDR73UApmeuvfn6Yr2vN8WXjwGu2Q/viewform?edit2=2_ABaOnueIaGqP-87uo9keHLPvKnPGIwzLbXnEVnRN9Z2Eqe6cJ8RQ9avysrVUWoQN2NYL060&amp;source=documentstudio&amp;timestamp=1768379737060</t>
  </si>
  <si>
    <t>2_ABaOnueIaGqP-87uo9keHLPvKnPGIwzLbXnEVnRN9Z2Eqe6cJ8RQ9avysrVUWoQN2NYL060</t>
  </si>
  <si>
    <t>https://drive.google.com/open?id=1bqGsSl50zAwaDY6hgG1oAp2APrAOcYa_</t>
  </si>
  <si>
    <t>https://docs.google.com/forms/d/e/1FAIpQLSeEYwFnViiqk1AbexVe1VDR73UApmeuvfn6Yr2vN8WXjwGu2Q/viewform?edit2=2_ABaOnufqmZK6DQ1m-l5jGmJ2ODTchk7afBMmKHROMszgQOKrxUGGIi4WJ3j_-KW7b24uRgw&amp;source=documentstudio&amp;timestamp=1768379767235</t>
  </si>
  <si>
    <t>2_ABaOnufqmZK6DQ1m-l5jGmJ2ODTchk7afBMmKHROMszgQOKrxUGGIi4WJ3j_-KW7b24uRgw</t>
  </si>
  <si>
    <t>https://drive.google.com/open?id=16YYNnVTGRzTsmOqVITX8meGMiSsBdNiZ</t>
  </si>
  <si>
    <t>https://docs.google.com/forms/d/e/1FAIpQLSeEYwFnViiqk1AbexVe1VDR73UApmeuvfn6Yr2vN8WXjwGu2Q/viewform?edit2=2_ABaOnuciUljayiM2_Y94ZLcwK2y6FujsueScLfYD4kh7eiGN9aLhTnE7y_vmXQmh8dbNgNk&amp;source=documentstudio&amp;timestamp=1768379829125</t>
  </si>
  <si>
    <t>2_ABaOnuciUljayiM2_Y94ZLcwK2y6FujsueScLfYD4kh7eiGN9aLhTnE7y_vmXQmh8dbNgNk</t>
  </si>
  <si>
    <t>https://drive.google.com/open?id=18BwTdlb-Yr67Asum5hu_WDEqexV04f9F</t>
  </si>
  <si>
    <t>https://docs.google.com/forms/d/e/1FAIpQLSeEYwFnViiqk1AbexVe1VDR73UApmeuvfn6Yr2vN8WXjwGu2Q/viewform?edit2=2_ABaOnucW1CRWqUAhgOEMOnnCN0ddBOXOjPoqvdkDHwmOpeIoFxwfs7f_AQ_Q2Bc70TpHxck&amp;source=documentstudio&amp;timestamp=1768379858955</t>
  </si>
  <si>
    <t>2_ABaOnucW1CRWqUAhgOEMOnnCN0ddBOXOjPoqvdkDHwmOpeIoFxwfs7f_AQ_Q2Bc70TpHxck</t>
  </si>
  <si>
    <t>https://drive.google.com/open?id=1qmYGGd8z4cm1kUBeXApyFeBH1CKHxeM3</t>
  </si>
  <si>
    <t>https://docs.google.com/forms/d/e/1FAIpQLSeEYwFnViiqk1AbexVe1VDR73UApmeuvfn6Yr2vN8WXjwGu2Q/viewform?edit2=2_ABaOnudlwfUyiyUnEnlWei0MLDt18ztXaD9hcu7w1NMy0g1P4ygWSlGMHipNjv4V7JdDCp0&amp;source=documentstudio&amp;timestamp=1768379882335</t>
  </si>
  <si>
    <t>2_ABaOnudlwfUyiyUnEnlWei0MLDt18ztXaD9hcu7w1NMy0g1P4ygWSlGMHipNjv4V7JdDCp0</t>
  </si>
  <si>
    <t>https://drive.google.com/open?id=1gknLcdvGSdH5axGLldlmdKM8kbpG60Rr</t>
  </si>
  <si>
    <t>https://docs.google.com/forms/d/e/1FAIpQLSeEYwFnViiqk1AbexVe1VDR73UApmeuvfn6Yr2vN8WXjwGu2Q/viewform?edit2=2_ABaOnucNbliW2hyo18DFvhgwy1VvD_psPT62z2a7WxwKVQeYbuAXuZYzDOvcQNh57L4ZmGc&amp;source=documentstudio&amp;timestamp=1768379904294</t>
  </si>
  <si>
    <t>2_ABaOnucNbliW2hyo18DFvhgwy1VvD_psPT62z2a7WxwKVQeYbuAXuZYzDOvcQNh57L4ZmGc</t>
  </si>
  <si>
    <t>https://drive.google.com/open?id=1gEgqZ5PuUPic3BFEdN2wJOAgxm1Hej3m</t>
  </si>
  <si>
    <t>https://docs.google.com/forms/d/e/1FAIpQLSeEYwFnViiqk1AbexVe1VDR73UApmeuvfn6Yr2vN8WXjwGu2Q/viewform?edit2=2_ABaOnufK03iaaNnGq_-Tq515ExAiqWnT_QdwG5e-dtuGA1Jwq9LBjbmLFiqmTFkE5aTjOPo&amp;source=documentstudio&amp;timestamp=1768437357485</t>
  </si>
  <si>
    <t>2_ABaOnufK03iaaNnGq_-Tq515ExAiqWnT_QdwG5e-dtuGA1Jwq9LBjbmLFiqmTFkE5aTjOPo</t>
  </si>
  <si>
    <t>https://drive.google.com/open?id=1L-BmHW_FGZ8MMhJ7kvz9az1JxBqM-koU</t>
  </si>
  <si>
    <t>https://docs.google.com/forms/d/e/1FAIpQLSeEYwFnViiqk1AbexVe1VDR73UApmeuvfn6Yr2vN8WXjwGu2Q/viewform?edit2=2_ABaOnueXtCsByDDsdZu7DAaODP5gOM95qxdk4V-DmZm8u6IfMyIK34byfweFb6uOOpoCvn8&amp;source=documentstudio&amp;timestamp=1768437393536</t>
  </si>
  <si>
    <t>2_ABaOnueXtCsByDDsdZu7DAaODP5gOM95qxdk4V-DmZm8u6IfMyIK34byfweFb6uOOpoCvn8</t>
  </si>
  <si>
    <t>https://drive.google.com/open?id=11zPWKH_6SQiBtUaTqZ3IlOiO_GqoKxEJ</t>
  </si>
  <si>
    <t>https://docs.google.com/forms/d/e/1FAIpQLSeEYwFnViiqk1AbexVe1VDR73UApmeuvfn6Yr2vN8WXjwGu2Q/viewform?edit2=2_ABaOnuf4THfWhysc0RgraZsAej9ZcASuoJh2MMEgGt52n_C3KpNYLRXaWdFZZcI7LYnn_eA&amp;source=documentstudio&amp;timestamp=1768437450838</t>
  </si>
  <si>
    <t>2_ABaOnuf4THfWhysc0RgraZsAej9ZcASuoJh2MMEgGt52n_C3KpNYLRXaWdFZZcI7LYnn_eA</t>
  </si>
  <si>
    <t>https://drive.google.com/open?id=1ItSEssViPqxun8vDROrP8ylghQ63rp0C</t>
  </si>
  <si>
    <t>https://docs.google.com/forms/d/e/1FAIpQLSeEYwFnViiqk1AbexVe1VDR73UApmeuvfn6Yr2vN8WXjwGu2Q/viewform?edit2=2_ABaOnufODNQolpwgA1bp9IV1mcXazlWsBejSXJIsg72sgk6xg7gl3IMfuI2ezWEARuJwp5o&amp;source=documentstudio&amp;timestamp=1768437678930</t>
  </si>
  <si>
    <t>2_ABaOnufODNQolpwgA1bp9IV1mcXazlWsBejSXJIsg72sgk6xg7gl3IMfuI2ezWEARuJwp5o</t>
  </si>
  <si>
    <t>https://drive.google.com/open?id=1Nt3-0jAtL_-Isn9iqPqVRGHnN5h9U4Qi</t>
  </si>
  <si>
    <t>https://docs.google.com/forms/d/e/1FAIpQLSeEYwFnViiqk1AbexVe1VDR73UApmeuvfn6Yr2vN8WXjwGu2Q/viewform?edit2=2_ABaOnuf1KBbi--tCd2eLgq_Lz4OdaZ2ss8TW17J8vq4nbX3ynG7blne47-c8Xl2aXb1GnaQ&amp;source=documentstudio&amp;timestamp=1768437714068</t>
  </si>
  <si>
    <t>2_ABaOnuf1KBbi--tCd2eLgq_Lz4OdaZ2ss8TW17J8vq4nbX3ynG7blne47-c8Xl2aXb1GnaQ</t>
  </si>
  <si>
    <t>https://drive.google.com/open?id=11k9h1AGd91KKk45rRMO8GketswZEpHiZ</t>
  </si>
  <si>
    <t>https://docs.google.com/forms/d/e/1FAIpQLSeEYwFnViiqk1AbexVe1VDR73UApmeuvfn6Yr2vN8WXjwGu2Q/viewform?edit2=2_ABaOnuc9oJNlXJWxVNNkkVILcLKrsqeSPCEbt9X2dyLk6CpV7nebdMs7Tt__K3Ivw5Puodc&amp;source=documentstudio&amp;timestamp=1768437743482</t>
  </si>
  <si>
    <t>2_ABaOnuc9oJNlXJWxVNNkkVILcLKrsqeSPCEbt9X2dyLk6CpV7nebdMs7Tt__K3Ivw5Puodc</t>
  </si>
  <si>
    <t>https://drive.google.com/open?id=1uGlR_X1CwKhirTTDfdswXxDAI3g32Bn7</t>
  </si>
  <si>
    <t>https://docs.google.com/forms/d/e/1FAIpQLSeEYwFnViiqk1AbexVe1VDR73UApmeuvfn6Yr2vN8WXjwGu2Q/viewform?edit2=2_ABaOnudE3mdc45ApthJ_XTuJQV7MGJItKoB7NDEjYFLJVJW-R67RMVW90KxuceVRp9sdxQw&amp;source=documentstudio&amp;timestamp=1768437775415</t>
  </si>
  <si>
    <t>2_ABaOnudE3mdc45ApthJ_XTuJQV7MGJItKoB7NDEjYFLJVJW-R67RMVW90KxuceVRp9sdxQw</t>
  </si>
  <si>
    <t>https://drive.google.com/open?id=1VvYYAAe4qFkmIA6bXEbvo6lKvv4AqWfi</t>
  </si>
  <si>
    <t>https://docs.google.com/forms/d/e/1FAIpQLSeEYwFnViiqk1AbexVe1VDR73UApmeuvfn6Yr2vN8WXjwGu2Q/viewform?edit2=2_ABaOnueoq3w_Yuz54i3ZfgDXccXxuXDp7lyxeZoBOZBrOe-pgXq64EMMb2zZNr3w0bmZSoE&amp;source=documentstudio&amp;timestamp=1768437805302</t>
  </si>
  <si>
    <t>2_ABaOnueoq3w_Yuz54i3ZfgDXccXxuXDp7lyxeZoBOZBrOe-pgXq64EMMb2zZNr3w0bmZSoE</t>
  </si>
  <si>
    <t>https://drive.google.com/open?id=1PA5ecrBmcV0ben6HqT3rulxDvA-oMxQG</t>
  </si>
  <si>
    <t>https://docs.google.com/forms/d/e/1FAIpQLSeEYwFnViiqk1AbexVe1VDR73UApmeuvfn6Yr2vN8WXjwGu2Q/viewform?edit2=2_ABaOnufdmhE7xPjZa2ZDltf-gPGdvB6IKQuTqlYo6-TtzXm7TojLATRwyQkg0jVRzUtv_kE&amp;source=documentstudio&amp;timestamp=1768437834442</t>
  </si>
  <si>
    <t>2_ABaOnufdmhE7xPjZa2ZDltf-gPGdvB6IKQuTqlYo6-TtzXm7TojLATRwyQkg0jVRzUtv_kE</t>
  </si>
  <si>
    <t>https://drive.google.com/open?id=1qUc9qba8hPi_yGVdziiggAPvVlDpca34</t>
  </si>
  <si>
    <t>https://docs.google.com/forms/d/e/1FAIpQLSeEYwFnViiqk1AbexVe1VDR73UApmeuvfn6Yr2vN8WXjwGu2Q/viewform?edit2=2_ABaOnudm7iaUHRKvGvQF_cfWu_8h-PDDspDpuS46OOvTRLBZxlfNJODdg8O9ljGsm3nlwgA&amp;source=documentstudio&amp;timestamp=1768437866432</t>
  </si>
  <si>
    <t>2_ABaOnudm7iaUHRKvGvQF_cfWu_8h-PDDspDpuS46OOvTRLBZxlfNJODdg8O9ljGsm3nlwgA</t>
  </si>
  <si>
    <t>https://drive.google.com/open?id=1W_q7gGP97xl1ODHQd2fRfN4UUExyKkPe</t>
  </si>
  <si>
    <t>https://docs.google.com/forms/d/e/1FAIpQLSeEYwFnViiqk1AbexVe1VDR73UApmeuvfn6Yr2vN8WXjwGu2Q/viewform?edit2=2_ABaOnucofhXczG6860Tscz4hr_4TT8ZL2_U2f955t8xa6QnTgGR_n1a5F316rChPG5WUDA8&amp;source=documentstudio&amp;timestamp=1768438016480</t>
  </si>
  <si>
    <t>2_ABaOnucofhXczG6860Tscz4hr_4TT8ZL2_U2f955t8xa6QnTgGR_n1a5F316rChPG5WUDA8</t>
  </si>
  <si>
    <t>https://drive.google.com/open?id=1IpbN8Kd1IAFLw8GIA_6N07sDQXgZa7Vl</t>
  </si>
  <si>
    <t>https://docs.google.com/forms/d/e/1FAIpQLSeEYwFnViiqk1AbexVe1VDR73UApmeuvfn6Yr2vN8WXjwGu2Q/viewform?edit2=2_ABaOnueXDzvqc2m57hS5W6GTqGbTJ3qEs3F7xeIth6WPkn429oGskq1oZ0XPBOosCTOD6aQ&amp;source=documentstudio&amp;timestamp=1768438051864</t>
  </si>
  <si>
    <t>2_ABaOnueXDzvqc2m57hS5W6GTqGbTJ3qEs3F7xeIth6WPkn429oGskq1oZ0XPBOosCTOD6aQ</t>
  </si>
  <si>
    <t>https://drive.google.com/open?id=1rRBEkHOLgexkUit4JUD6LFzof4tkmyHN</t>
  </si>
  <si>
    <t>https://docs.google.com/forms/d/e/1FAIpQLSeEYwFnViiqk1AbexVe1VDR73UApmeuvfn6Yr2vN8WXjwGu2Q/viewform?edit2=2_ABaOnucwVLDnneJAEEDGdx6MN4Efrg5w__UJBrv0glF1X0wdmQ-ZA0Vsp1m9HL6ka2CN0rw&amp;source=documentstudio&amp;timestamp=1768439290881</t>
  </si>
  <si>
    <t>2_ABaOnucwVLDnneJAEEDGdx6MN4Efrg5w__UJBrv0glF1X0wdmQ-ZA0Vsp1m9HL6ka2CN0rw</t>
  </si>
  <si>
    <t>https://drive.google.com/open?id=1GcwpuNrd_X3SV0oydKw6sh7a1JRb0Myn</t>
  </si>
  <si>
    <t>https://docs.google.com/forms/d/e/1FAIpQLSeEYwFnViiqk1AbexVe1VDR73UApmeuvfn6Yr2vN8WXjwGu2Q/viewform?edit2=2_ABaOnufcWYJuHVlwIMpGELHajbnturTk-B4Xw_6h_MRJtBv8VMPu2zu-YyioRxvQrz6bdBs&amp;source=documentstudio&amp;timestamp=1768439317032</t>
  </si>
  <si>
    <t>2_ABaOnufcWYJuHVlwIMpGELHajbnturTk-B4Xw_6h_MRJtBv8VMPu2zu-YyioRxvQrz6bdBs</t>
  </si>
  <si>
    <t>https://drive.google.com/open?id=1fPjZEH828k-Kvt1Y2MsF10DtYozWMPnd</t>
  </si>
  <si>
    <t>https://docs.google.com/forms/d/e/1FAIpQLSeEYwFnViiqk1AbexVe1VDR73UApmeuvfn6Yr2vN8WXjwGu2Q/viewform?edit2=2_ABaOnucas39VhZy5Ca5jSZ7PY4xi4FGfVahniYHdAhI8uRD2mIJyPc0DxUblRub_5FWyvss&amp;source=documentstudio&amp;timestamp=1768439347209</t>
  </si>
  <si>
    <t>2_ABaOnucas39VhZy5Ca5jSZ7PY4xi4FGfVahniYHdAhI8uRD2mIJyPc0DxUblRub_5FWyvss</t>
  </si>
  <si>
    <t>https://drive.google.com/open?id=1vDqcO0MvqwDhwRz4jtSu5y9Ne86ODegc</t>
  </si>
  <si>
    <t>https://docs.google.com/forms/d/e/1FAIpQLSeEYwFnViiqk1AbexVe1VDR73UApmeuvfn6Yr2vN8WXjwGu2Q/viewform?edit2=2_ABaOnufVDDgjBTV7OwaZQHwvBuu0rSPkXxpNA5U1r2FXAzib9ZlNjDekQjkFtmbsT1x_d3Q&amp;source=documentstudio&amp;timestamp=1768439376387</t>
  </si>
  <si>
    <t>2_ABaOnufVDDgjBTV7OwaZQHwvBuu0rSPkXxpNA5U1r2FXAzib9ZlNjDekQjkFtmbsT1x_d3Q</t>
  </si>
  <si>
    <t>https://drive.google.com/open?id=1NR61ZozBKmdCKwi_rJXLfYgnkr3Jpj74</t>
  </si>
  <si>
    <t>https://docs.google.com/forms/d/e/1FAIpQLSeEYwFnViiqk1AbexVe1VDR73UApmeuvfn6Yr2vN8WXjwGu2Q/viewform?edit2=2_ABaOnucnUhN9IaHnrYRnGBJL8lIw5a32Bka2IxCU75cT1T8B7Z28tMW7EV35i_ocKjF0Zi8&amp;source=documentstudio&amp;timestamp=1768439410287</t>
  </si>
  <si>
    <t>2_ABaOnucnUhN9IaHnrYRnGBJL8lIw5a32Bka2IxCU75cT1T8B7Z28tMW7EV35i_ocKjF0Zi8</t>
  </si>
  <si>
    <t>https://drive.google.com/open?id=1w3kFN5Qocxlef6gTaOJB2HMgwOHl8HQF</t>
  </si>
  <si>
    <t>https://docs.google.com/forms/d/e/1FAIpQLSeEYwFnViiqk1AbexVe1VDR73UApmeuvfn6Yr2vN8WXjwGu2Q/viewform?edit2=2_ABaOnufccx9UtL3EbWHDFeC3JMkoLHaXqVovwkPO6MMkKyHFwFCV35G1Quhh2HeqwUDN4tA&amp;source=documentstudio&amp;timestamp=1768439444421</t>
  </si>
  <si>
    <t>2_ABaOnufccx9UtL3EbWHDFeC3JMkoLHaXqVovwkPO6MMkKyHFwFCV35G1Quhh2HeqwUDN4tA</t>
  </si>
  <si>
    <t>https://drive.google.com/open?id=1bn8Za39AXD2YE2zXE_AdcBhr3qqKwRo0</t>
  </si>
  <si>
    <t>https://docs.google.com/forms/d/e/1FAIpQLSeEYwFnViiqk1AbexVe1VDR73UApmeuvfn6Yr2vN8WXjwGu2Q/viewform?edit2=2_ABaOnueR6HspofiAyyttjyKLy24R2YwqfQrvuLLE79BXIneiAUXRTsYk87SbuxZhVPttmLs&amp;source=documentstudio&amp;timestamp=1768439480863</t>
  </si>
  <si>
    <t>2_ABaOnueR6HspofiAyyttjyKLy24R2YwqfQrvuLLE79BXIneiAUXRTsYk87SbuxZhVPttmLs</t>
  </si>
  <si>
    <t>https://drive.google.com/open?id=1k_xR8b-BC6KzZI14MRSRlQ167T9qTqj1</t>
  </si>
  <si>
    <t>https://docs.google.com/forms/d/e/1FAIpQLSeEYwFnViiqk1AbexVe1VDR73UApmeuvfn6Yr2vN8WXjwGu2Q/viewform?edit2=2_ABaOnuerx5MT-qRpkccVH9dVypI-vRKN6lUAWP2WlZRjK9YY1LJb0z0JhRS2R0EepTIDGUA&amp;source=documentstudio&amp;timestamp=1768439534013</t>
  </si>
  <si>
    <t>2_ABaOnuerx5MT-qRpkccVH9dVypI-vRKN6lUAWP2WlZRjK9YY1LJb0z0JhRS2R0EepTIDGUA</t>
  </si>
  <si>
    <t>https://drive.google.com/open?id=1fscIxMwn1XJWjnEeXHVl3KRcYodTOc7E</t>
  </si>
  <si>
    <t>https://docs.google.com/forms/d/e/1FAIpQLSeEYwFnViiqk1AbexVe1VDR73UApmeuvfn6Yr2vN8WXjwGu2Q/viewform?edit2=2_ABaOnufmnysqNnMV-Jqh1_K8ApSsCGDCND1cNyoXkiZsdUpcV9aHqiOHTium4DssIuOSgJE&amp;source=documentstudio&amp;timestamp=1768439562002</t>
  </si>
  <si>
    <t>2_ABaOnufmnysqNnMV-Jqh1_K8ApSsCGDCND1cNyoXkiZsdUpcV9aHqiOHTium4DssIuOSgJE</t>
  </si>
  <si>
    <t>https://drive.google.com/open?id=1XusTiyp4DUcjKsHKaVSyj9XGO7Mwre2e</t>
  </si>
  <si>
    <t>https://docs.google.com/forms/d/e/1FAIpQLSeEYwFnViiqk1AbexVe1VDR73UApmeuvfn6Yr2vN8WXjwGu2Q/viewform?edit2=2_ABaOnudMjj_cRMI7gMAKGILTCevYc5fVIZv640-dzgUMPCxmjGhaHiHOFJKMXnp1nASaW0c&amp;source=documentstudio&amp;timestamp=1768439589516</t>
  </si>
  <si>
    <t>2_ABaOnudMjj_cRMI7gMAKGILTCevYc5fVIZv640-dzgUMPCxmjGhaHiHOFJKMXnp1nASaW0c</t>
  </si>
  <si>
    <t>https://drive.google.com/open?id=1lJ473LeN7FEsD9dkO-gCfl75mvNFcT3l</t>
  </si>
  <si>
    <t>https://docs.google.com/forms/d/e/1FAIpQLSeEYwFnViiqk1AbexVe1VDR73UApmeuvfn6Yr2vN8WXjwGu2Q/viewform?edit2=2_ABaOnufvmazpfcxWBwlv7b9Ja4ZjfShebAk2ix3FOVTPO6Xb0difmoEpNVpTnf3-kPfzaCg&amp;source=documentstudio&amp;timestamp=1768439612447</t>
  </si>
  <si>
    <t>2_ABaOnufvmazpfcxWBwlv7b9Ja4ZjfShebAk2ix3FOVTPO6Xb0difmoEpNVpTnf3-kPfzaCg</t>
  </si>
  <si>
    <t>https://drive.google.com/open?id=1vSBJMB1pgQdwQ_P3EkkmfCTdfL_eOCH1</t>
  </si>
  <si>
    <t>https://docs.google.com/forms/d/e/1FAIpQLSeEYwFnViiqk1AbexVe1VDR73UApmeuvfn6Yr2vN8WXjwGu2Q/viewform?edit2=2_ABaOnue-c2Bni0zGK09N525x82w4FIfrxYEa_4XazDCylY_z33Z82akfNy27O2qYlTBYBHI&amp;source=documentstudio&amp;timestamp=1768439637622</t>
  </si>
  <si>
    <t>2_ABaOnue-c2Bni0zGK09N525x82w4FIfrxYEa_4XazDCylY_z33Z82akfNy27O2qYlTBYBHI</t>
  </si>
  <si>
    <t>https://drive.google.com/open?id=1pzLsnVwdn-jWhsGGuAyYt6wNa8xpTC7Z</t>
  </si>
  <si>
    <t>https://docs.google.com/forms/d/e/1FAIpQLSeEYwFnViiqk1AbexVe1VDR73UApmeuvfn6Yr2vN8WXjwGu2Q/viewform?edit2=2_ABaOnuduchVXiz3jcQr3dlmBeI7427Mp0SGfFmg-OgipXXK-bLS5q5LKjNNjpRold2HEZD8&amp;source=documentstudio&amp;timestamp=1768439670248</t>
  </si>
  <si>
    <t>2_ABaOnuduchVXiz3jcQr3dlmBeI7427Mp0SGfFmg-OgipXXK-bLS5q5LKjNNjpRold2HEZD8</t>
  </si>
  <si>
    <t>https://drive.google.com/open?id=1fR_Pf69-Ik0YvfuEKHr9ciGoYETInYat</t>
  </si>
  <si>
    <t>https://docs.google.com/forms/d/e/1FAIpQLSeEYwFnViiqk1AbexVe1VDR73UApmeuvfn6Yr2vN8WXjwGu2Q/viewform?edit2=2_ABaOnucvolOhSSFngG9paxAQQU7Cc9a2YTVGfMBMsuVNki9UzKB0Yjf5QG8kEy5R1sYc1bY&amp;source=documentstudio&amp;timestamp=1768439703857</t>
  </si>
  <si>
    <t>2_ABaOnucvolOhSSFngG9paxAQQU7Cc9a2YTVGfMBMsuVNki9UzKB0Yjf5QG8kEy5R1sYc1bY</t>
  </si>
  <si>
    <t>https://drive.google.com/open?id=1xLg-3VbZTr4jLNxwbsoMt8MIvrGls9_s</t>
  </si>
  <si>
    <t>https://docs.google.com/forms/d/e/1FAIpQLSeEYwFnViiqk1AbexVe1VDR73UApmeuvfn6Yr2vN8WXjwGu2Q/viewform?edit2=2_ABaOnufMc4oHvPtYcrILGRun_Dn_Nd4HhQCqaOIyih9ulGOsAjeDtvly0nSiODvDcbgC77w&amp;source=documentstudio&amp;timestamp=1768439734452</t>
  </si>
  <si>
    <t>2_ABaOnufMc4oHvPtYcrILGRun_Dn_Nd4HhQCqaOIyih9ulGOsAjeDtvly0nSiODvDcbgC77w</t>
  </si>
  <si>
    <t>https://drive.google.com/open?id=163EaiGtSOKUnubNlL4ewnOVl-bjz6vQs</t>
  </si>
  <si>
    <t>https://docs.google.com/forms/d/e/1FAIpQLSeEYwFnViiqk1AbexVe1VDR73UApmeuvfn6Yr2vN8WXjwGu2Q/viewform?edit2=2_ABaOnudypPkTNJrPJDqNmu-jV4_jmhmN5dcVOOVuagPsY1OoY81vQWkZTRMdmkdNAooS1Lk&amp;source=documentstudio&amp;timestamp=1768439796636</t>
  </si>
  <si>
    <t>2_ABaOnudypPkTNJrPJDqNmu-jV4_jmhmN5dcVOOVuagPsY1OoY81vQWkZTRMdmkdNAooS1Lk</t>
  </si>
  <si>
    <t>https://drive.google.com/open?id=1q5qTpDLSznnJTjBR47QXcR4hghOo_6bW</t>
  </si>
  <si>
    <t>https://docs.google.com/forms/d/e/1FAIpQLSeEYwFnViiqk1AbexVe1VDR73UApmeuvfn6Yr2vN8WXjwGu2Q/viewform?edit2=2_ABaOnud5jtRGmrKGiFPukS4uCY9ph5UnyUGGIsXhftfEFDNZoRTWwYx0XvS_ORFY26SXDaU&amp;source=documentstudio&amp;timestamp=1768441437229</t>
  </si>
  <si>
    <t>2_ABaOnud5jtRGmrKGiFPukS4uCY9ph5UnyUGGIsXhftfEFDNZoRTWwYx0XvS_ORFY26SXDaU</t>
  </si>
  <si>
    <t>https://drive.google.com/open?id=1sMKxmWBNKMcYGH7fhZTQ6pRc9u2PUcCT</t>
  </si>
  <si>
    <t>https://docs.google.com/forms/d/e/1FAIpQLSeEYwFnViiqk1AbexVe1VDR73UApmeuvfn6Yr2vN8WXjwGu2Q/viewform?edit2=2_ABaOnudOp09CHY2DdTXSCiefy7QOJ3lf95UA4z906M31hZDE7GQNJGL0OIlQcGXInT1J0Bc&amp;source=documentstudio&amp;timestamp=1768441457232</t>
  </si>
  <si>
    <t>2_ABaOnudOp09CHY2DdTXSCiefy7QOJ3lf95UA4z906M31hZDE7GQNJGL0OIlQcGXInT1J0Bc</t>
  </si>
  <si>
    <t>https://drive.google.com/open?id=1IhNrWo3g9lnzdTWX4E8tcz7cDgVC58MF</t>
  </si>
  <si>
    <t>https://docs.google.com/forms/d/e/1FAIpQLSeEYwFnViiqk1AbexVe1VDR73UApmeuvfn6Yr2vN8WXjwGu2Q/viewform?edit2=2_ABaOnufCAI_I1VcGVw3eO8Q0l5KXEe70Xz-WekO7TgXAseyHVSrWZFD1nHRUSn1sbc9-Ph4&amp;source=documentstudio&amp;timestamp=1768441477195</t>
  </si>
  <si>
    <t>2_ABaOnufCAI_I1VcGVw3eO8Q0l5KXEe70Xz-WekO7TgXAseyHVSrWZFD1nHRUSn1sbc9-Ph4</t>
  </si>
  <si>
    <t>https://drive.google.com/open?id=1wCBNjN_K0yDD47x-AbjsDWyXSnb1SdTU</t>
  </si>
  <si>
    <t>https://docs.google.com/forms/d/e/1FAIpQLSeEYwFnViiqk1AbexVe1VDR73UApmeuvfn6Yr2vN8WXjwGu2Q/viewform?edit2=2_ABaOnuc1n0eR2f7kSoPYsRMXfXhQ1erGomTOErLtouklIZn8YaYWuwcAXNggPJXTYKX5DlI&amp;source=documentstudio&amp;timestamp=1768441498976</t>
  </si>
  <si>
    <t>2_ABaOnuc1n0eR2f7kSoPYsRMXfXhQ1erGomTOErLtouklIZn8YaYWuwcAXNggPJXTYKX5DlI</t>
  </si>
  <si>
    <t>https://drive.google.com/open?id=1pnTctvQ3npHyjPy5y53emihSS4XZQ7E5</t>
  </si>
  <si>
    <t>https://docs.google.com/forms/d/e/1FAIpQLSeEYwFnViiqk1AbexVe1VDR73UApmeuvfn6Yr2vN8WXjwGu2Q/viewform?edit2=2_ABaOnueI6RoXNUnhdtUQH1Ymb9IVWb5O0y92JYS6VDNiOWZBOwjHEfj7o7xjkk9ZdHcN2L4&amp;source=documentstudio&amp;timestamp=1768441595091</t>
  </si>
  <si>
    <t>2_ABaOnueI6RoXNUnhdtUQH1Ymb9IVWb5O0y92JYS6VDNiOWZBOwjHEfj7o7xjkk9ZdHcN2L4</t>
  </si>
  <si>
    <t>https://drive.google.com/open?id=1VdxoNQj2CujQomZwEWRn7N7Nn2Sz9oxc</t>
  </si>
  <si>
    <t>https://docs.google.com/forms/d/e/1FAIpQLSeEYwFnViiqk1AbexVe1VDR73UApmeuvfn6Yr2vN8WXjwGu2Q/viewform?edit2=2_ABaOnuf4uYTG_RYDVgY1s_ROwZ3OdIU7QLmv4Z1NJCsW5-5kM0vPI_hn_imw9GO5XzCi_x0&amp;source=documentstudio&amp;timestamp=1768441616730</t>
  </si>
  <si>
    <t>2_ABaOnuf4uYTG_RYDVgY1s_ROwZ3OdIU7QLmv4Z1NJCsW5-5kM0vPI_hn_imw9GO5XzCi_x0</t>
  </si>
  <si>
    <t>https://drive.google.com/open?id=1FPar-0ff-mYeWjP793lUDKJcXZ07dhQK</t>
  </si>
  <si>
    <t>https://docs.google.com/forms/d/e/1FAIpQLSeEYwFnViiqk1AbexVe1VDR73UApmeuvfn6Yr2vN8WXjwGu2Q/viewform?edit2=2_ABaOnue5-_7Xlkpp0ZR9UtmlDJWW-jgcBhA8TN3C0s1kkH0-phDlO86Zytqamkilz6GRP9c&amp;source=documentstudio&amp;timestamp=1768441637729</t>
  </si>
  <si>
    <t>2_ABaOnue5-_7Xlkpp0ZR9UtmlDJWW-jgcBhA8TN3C0s1kkH0-phDlO86Zytqamkilz6GRP9c</t>
  </si>
  <si>
    <t>https://drive.google.com/open?id=1JMtcTdK5ccnVqHsk_ZEGP7bsLtUnS274</t>
  </si>
  <si>
    <t>https://docs.google.com/forms/d/e/1FAIpQLSeEYwFnViiqk1AbexVe1VDR73UApmeuvfn6Yr2vN8WXjwGu2Q/viewform?edit2=2_ABaOnudS213db87RoXyt9Bcf0TmC1aosChoX60wZVAMdQt0PLSBJIwrru4_MFjt1bHTnqPk&amp;source=documentstudio&amp;timestamp=1768441667429</t>
  </si>
  <si>
    <t>2_ABaOnudS213db87RoXyt9Bcf0TmC1aosChoX60wZVAMdQt0PLSBJIwrru4_MFjt1bHTnqPk</t>
  </si>
  <si>
    <t>https://drive.google.com/open?id=1EYvzK3yVhDH-JspINJWSSAcS2F2oUqE6</t>
  </si>
  <si>
    <t>https://docs.google.com/forms/d/e/1FAIpQLSeEYwFnViiqk1AbexVe1VDR73UApmeuvfn6Yr2vN8WXjwGu2Q/viewform?edit2=2_ABaOnufSZ7OYXNtMkmlL4tSOGpiux84zZpSr4HYRkrOqtWL5hc3sEkekc0I6mpKr-G9KpHI&amp;source=documentstudio&amp;timestamp=1768441738239</t>
  </si>
  <si>
    <t>2_ABaOnufSZ7OYXNtMkmlL4tSOGpiux84zZpSr4HYRkrOqtWL5hc3sEkekc0I6mpKr-G9KpHI</t>
  </si>
  <si>
    <t>https://drive.google.com/open?id=1UzDVRXVG2536eO0e-t3v_8yPO1sdAjwi</t>
  </si>
  <si>
    <t>https://docs.google.com/forms/d/e/1FAIpQLSeEYwFnViiqk1AbexVe1VDR73UApmeuvfn6Yr2vN8WXjwGu2Q/viewform?edit2=2_ABaOnufXCGxD1sGmQxVMN0Mw3gQhM8_tkP8uPWHfFr_57sCcq2ixcv9bLHy2kaN5TMZ9tCw&amp;source=documentstudio&amp;timestamp=1768441908549</t>
  </si>
  <si>
    <t>2_ABaOnufXCGxD1sGmQxVMN0Mw3gQhM8_tkP8uPWHfFr_57sCcq2ixcv9bLHy2kaN5TMZ9tCw</t>
  </si>
  <si>
    <t>https://drive.google.com/open?id=1Ky2KW1JjpA5HpIcdAeHe3m7F5IeoOWv0</t>
  </si>
  <si>
    <t>https://docs.google.com/forms/d/e/1FAIpQLSeEYwFnViiqk1AbexVe1VDR73UApmeuvfn6Yr2vN8WXjwGu2Q/viewform?edit2=2_ABaOnucMsum5wQ-mHdCTlRXSZuRNVh3v8CO7IL1AGSds2BuXRUdjvYMedHd3yOIhUg1p7kw&amp;source=documentstudio&amp;timestamp=1768442204549</t>
  </si>
  <si>
    <t>2_ABaOnucMsum5wQ-mHdCTlRXSZuRNVh3v8CO7IL1AGSds2BuXRUdjvYMedHd3yOIhUg1p7kw</t>
  </si>
  <si>
    <t>https://drive.google.com/open?id=1LUwdrNFQ2EPJkKy1B1lstCjiSOGvujn3</t>
  </si>
  <si>
    <t>https://docs.google.com/forms/d/e/1FAIpQLSeEYwFnViiqk1AbexVe1VDR73UApmeuvfn6Yr2vN8WXjwGu2Q/viewform?edit2=2_ABaOnudG_SZblfic9NUQz_J7Rr_UMWrzZOG2jaOxhmmf6W0REZabXRYbJ-Jr0wVJ1ySIQHo&amp;source=documentstudio&amp;timestamp=1768442237334</t>
  </si>
  <si>
    <t>2_ABaOnudG_SZblfic9NUQz_J7Rr_UMWrzZOG2jaOxhmmf6W0REZabXRYbJ-Jr0wVJ1ySIQHo</t>
  </si>
  <si>
    <t>https://drive.google.com/open?id=1CwWJ6kXNZDenpXKHEWKME5oJFu9yZUmV</t>
  </si>
  <si>
    <t>https://docs.google.com/forms/d/e/1FAIpQLSeEYwFnViiqk1AbexVe1VDR73UApmeuvfn6Yr2vN8WXjwGu2Q/viewform?edit2=2_ABaOnucvWxextHSNgGo6cqACZgY3gM4RPvnFFkE7Q_ZJVVJ5_kOImSqAdHNefekLzZTSK3s&amp;source=documentstudio&amp;timestamp=1768442267669</t>
  </si>
  <si>
    <t>2_ABaOnucvWxextHSNgGo6cqACZgY3gM4RPvnFFkE7Q_ZJVVJ5_kOImSqAdHNefekLzZTSK3s</t>
  </si>
  <si>
    <t>https://drive.google.com/open?id=1xnOGZQdYIDE6klkctZZAjxmP3jZboR1W</t>
  </si>
  <si>
    <t>https://docs.google.com/forms/d/e/1FAIpQLSeEYwFnViiqk1AbexVe1VDR73UApmeuvfn6Yr2vN8WXjwGu2Q/viewform?edit2=2_ABaOnucLYphv-T0lHjiKmTl25XaifdOV7u8PnljK8fkrPpHmCRHTFyiFfc3xYItUTt5eBoY&amp;source=documentstudio&amp;timestamp=1768442334082</t>
  </si>
  <si>
    <t>2_ABaOnucLYphv-T0lHjiKmTl25XaifdOV7u8PnljK8fkrPpHmCRHTFyiFfc3xYItUTt5eBoY</t>
  </si>
  <si>
    <t>https://drive.google.com/open?id=1sFWP_P0nof0bZbHmGdWG77QuSeHbqEdv</t>
  </si>
  <si>
    <t>https://docs.google.com/forms/d/e/1FAIpQLSeEYwFnViiqk1AbexVe1VDR73UApmeuvfn6Yr2vN8WXjwGu2Q/viewform?edit2=2_ABaOnuetHOYF8xhi3Dpnl0WcxBvAfBbTuf4MvLe6mw7O-W2Lf-oZZmkxWY-jgl0Cc_Gyn4w&amp;source=documentstudio&amp;timestamp=1768442362248</t>
  </si>
  <si>
    <t>2_ABaOnuetHOYF8xhi3Dpnl0WcxBvAfBbTuf4MvLe6mw7O-W2Lf-oZZmkxWY-jgl0Cc_Gyn4w</t>
  </si>
  <si>
    <t>https://drive.google.com/open?id=1LXWgci0Xe5ncfxVqGbh1jLdBUL9HCkgP</t>
  </si>
  <si>
    <t>https://docs.google.com/forms/d/e/1FAIpQLSeEYwFnViiqk1AbexVe1VDR73UApmeuvfn6Yr2vN8WXjwGu2Q/viewform?edit2=2_ABaOnucSOR-NWKcKlrRMb7eF4MPjwDZS6Wr939Fgkq_6FvxsGbE1oUMMtbbhv2IpWKDP1Bs&amp;source=documentstudio&amp;timestamp=1768442608637</t>
  </si>
  <si>
    <t>2_ABaOnucSOR-NWKcKlrRMb7eF4MPjwDZS6Wr939Fgkq_6FvxsGbE1oUMMtbbhv2IpWKDP1Bs</t>
  </si>
  <si>
    <t>https://drive.google.com/open?id=12JKDAW8kWaYrOphzIdUgGTkPeQ4jj1MK</t>
  </si>
  <si>
    <t>https://docs.google.com/forms/d/e/1FAIpQLSeEYwFnViiqk1AbexVe1VDR73UApmeuvfn6Yr2vN8WXjwGu2Q/viewform?edit2=2_ABaOnucFKsNk75U_ztlXwY4Pxrjy6BtbLwjKknIL_FgyP5UXF5WEys8Ku49mhbG0BtDGeRc&amp;source=documentstudio&amp;timestamp=1768442618941</t>
  </si>
  <si>
    <t>2_ABaOnucFKsNk75U_ztlXwY4Pxrjy6BtbLwjKknIL_FgyP5UXF5WEys8Ku49mhbG0BtDGeRc</t>
  </si>
  <si>
    <t>https://drive.google.com/open?id=15xK7Ony3sqiQ4jflehhiM2OtFeZRlaD8</t>
  </si>
  <si>
    <t>https://docs.google.com/forms/d/e/1FAIpQLSeEYwFnViiqk1AbexVe1VDR73UApmeuvfn6Yr2vN8WXjwGu2Q/viewform?edit2=2_ABaOnud91qxYvRRIx_i-mRse_MU9Prz_GwCBT3BbI29K6hV6yeJ5VX8LomATgoGZ3_izqeE&amp;source=documentstudio&amp;timestamp=1768442652305</t>
  </si>
  <si>
    <t>2_ABaOnud91qxYvRRIx_i-mRse_MU9Prz_GwCBT3BbI29K6hV6yeJ5VX8LomATgoGZ3_izqeE</t>
  </si>
  <si>
    <t>https://drive.google.com/open?id=1ZecfZ0l-EWMkW-gCf9t7IojbP-qymtgZ</t>
  </si>
  <si>
    <t>https://docs.google.com/forms/d/e/1FAIpQLSeEYwFnViiqk1AbexVe1VDR73UApmeuvfn6Yr2vN8WXjwGu2Q/viewform?edit2=2_ABaOnucRtIwT_p_blTM6m8ao-Ww_C3L8oPaf_Tvx8wuq1HrtMB-CL7pcI5fokMiPGM_cW8I&amp;source=documentstudio&amp;timestamp=1768442834729</t>
  </si>
  <si>
    <t>2_ABaOnucRtIwT_p_blTM6m8ao-Ww_C3L8oPaf_Tvx8wuq1HrtMB-CL7pcI5fokMiPGM_cW8I</t>
  </si>
  <si>
    <t>https://drive.google.com/open?id=1iR2WGK7qRd5K5_Sgwwc-bGaWJq6lA1AF</t>
  </si>
  <si>
    <t>https://docs.google.com/forms/d/e/1FAIpQLSeEYwFnViiqk1AbexVe1VDR73UApmeuvfn6Yr2vN8WXjwGu2Q/viewform?edit2=2_ABaOnufOzIQCNFYxAVku4CMfsS6TeZbAK5cyMns-02woVcDE45swO547psfHvxGMUzPb0Xs&amp;source=documentstudio&amp;timestamp=1768442961864</t>
  </si>
  <si>
    <t>2_ABaOnufOzIQCNFYxAVku4CMfsS6TeZbAK5cyMns-02woVcDE45swO547psfHvxGMUzPb0Xs</t>
  </si>
  <si>
    <t>https://drive.google.com/open?id=1fxnL0Cu3CndAXe1a83LConQC_JR1NuLr</t>
  </si>
  <si>
    <t>https://docs.google.com/forms/d/e/1FAIpQLSeEYwFnViiqk1AbexVe1VDR73UApmeuvfn6Yr2vN8WXjwGu2Q/viewform?edit2=2_ABaOnudFN52lZH81X669lTIxUqr3FXdWf8QQ299KR2CLHbdvPN532fc40T3k29zpf4v5Zt4&amp;source=documentstudio&amp;timestamp=1768443002114</t>
  </si>
  <si>
    <t>2_ABaOnudFN52lZH81X669lTIxUqr3FXdWf8QQ299KR2CLHbdvPN532fc40T3k29zpf4v5Zt4</t>
  </si>
  <si>
    <t>https://drive.google.com/open?id=19pz0EAu18zzbM5g3cSEsXQVF_r1x0-1u</t>
  </si>
  <si>
    <t>https://docs.google.com/forms/d/e/1FAIpQLSeEYwFnViiqk1AbexVe1VDR73UApmeuvfn6Yr2vN8WXjwGu2Q/viewform?edit2=2_ABaOnueDunbw0Txlrw7xPxY5OUrUo4GaprSNa8RBLnu-nZdLyE--fGHgIBy5NYlDBoYyEIw&amp;source=documentstudio&amp;timestamp=1768443079592</t>
  </si>
  <si>
    <t>2_ABaOnueDunbw0Txlrw7xPxY5OUrUo4GaprSNa8RBLnu-nZdLyE--fGHgIBy5NYlDBoYyEIw</t>
  </si>
  <si>
    <t>https://drive.google.com/open?id=1vcPwkTQhXaj2bwJu5Csocm1rG7lq5TG-</t>
  </si>
  <si>
    <t>https://docs.google.com/forms/d/e/1FAIpQLSeEYwFnViiqk1AbexVe1VDR73UApmeuvfn6Yr2vN8WXjwGu2Q/viewform?edit2=2_ABaOnud2Ql7972I1PfHDvC4xoJyOoqJSA6xjgqXpHIRo1MFkdgxTIY32LsBhsnALELrRp0o&amp;source=documentstudio&amp;timestamp=1768443099784</t>
  </si>
  <si>
    <t>2_ABaOnud2Ql7972I1PfHDvC4xoJyOoqJSA6xjgqXpHIRo1MFkdgxTIY32LsBhsnALELrRp0o</t>
  </si>
  <si>
    <t>https://drive.google.com/open?id=1GKAFJuqKSCP2A4Xm0GxBliS-QYk6jaeA</t>
  </si>
  <si>
    <t>https://docs.google.com/forms/d/e/1FAIpQLSeEYwFnViiqk1AbexVe1VDR73UApmeuvfn6Yr2vN8WXjwGu2Q/viewform?edit2=2_ABaOnueOVPqZwc28t9Jb7Y3l0Obyak_vKzX_UXB6A1NYDB7w9q8kUCtI2VV2ZPKmhHhvuJ8&amp;source=documentstudio&amp;timestamp=1768443119352</t>
  </si>
  <si>
    <t>2_ABaOnueOVPqZwc28t9Jb7Y3l0Obyak_vKzX_UXB6A1NYDB7w9q8kUCtI2VV2ZPKmhHhvuJ8</t>
  </si>
  <si>
    <t>https://drive.google.com/open?id=1dJetidC_TgutQMIv1650X9Xe60b9mTtY</t>
  </si>
  <si>
    <t>https://docs.google.com/forms/d/e/1FAIpQLSeEYwFnViiqk1AbexVe1VDR73UApmeuvfn6Yr2vN8WXjwGu2Q/viewform?edit2=2_ABaOnufb1Lcsvn6UvhXgTkPfL8_JIbfmxOj7vgPr5-XmeCQ6l3XZh2MOpn6LB7TibFsAdbs&amp;source=documentstudio&amp;timestamp=1768443122869</t>
  </si>
  <si>
    <t>2_ABaOnufb1Lcsvn6UvhXgTkPfL8_JIbfmxOj7vgPr5-XmeCQ6l3XZh2MOpn6LB7TibFsAdbs</t>
  </si>
  <si>
    <t>https://drive.google.com/open?id=1pysEjJQFJjFtMp1XvCUijkZ6D3NYUpXg</t>
  </si>
  <si>
    <t>https://docs.google.com/forms/d/e/1FAIpQLSeEYwFnViiqk1AbexVe1VDR73UApmeuvfn6Yr2vN8WXjwGu2Q/viewform?edit2=2_ABaOnue5Xm8l4eR4M0cDUvSVDC43NOsvYxYiQF1ewkLYNcEbQLlLPVoo5h3ZSOaurQY5i4s&amp;source=documentstudio&amp;timestamp=1768443149773</t>
  </si>
  <si>
    <t>2_ABaOnue5Xm8l4eR4M0cDUvSVDC43NOsvYxYiQF1ewkLYNcEbQLlLPVoo5h3ZSOaurQY5i4s</t>
  </si>
  <si>
    <t>https://drive.google.com/open?id=1qIRshSm102eYsqZGjDk90ftzXT5KeLG3</t>
  </si>
  <si>
    <t>https://docs.google.com/forms/d/e/1FAIpQLSeEYwFnViiqk1AbexVe1VDR73UApmeuvfn6Yr2vN8WXjwGu2Q/viewform?edit2=2_ABaOnuf8FJaiYaNZy-aCPGe7zwWYsTpYyxxEuYsvthTfqDroUjb0wUb2_S-OpqeE7OMamQY&amp;source=documentstudio&amp;timestamp=1768443176594</t>
  </si>
  <si>
    <t>2_ABaOnuf8FJaiYaNZy-aCPGe7zwWYsTpYyxxEuYsvthTfqDroUjb0wUb2_S-OpqeE7OMamQY</t>
  </si>
  <si>
    <t>https://drive.google.com/open?id=1ynFmlsCtLBKhufAByYm_KtbdP4wBB1PW</t>
  </si>
  <si>
    <t>https://docs.google.com/forms/d/e/1FAIpQLSeEYwFnViiqk1AbexVe1VDR73UApmeuvfn6Yr2vN8WXjwGu2Q/viewform?edit2=2_ABaOnuei_GcwuCEvAdZoX1g3cXRYHNfDA6kiwNO8cyTx73HpVWh3OFow3dm6R4eWTsLWwcM&amp;source=documentstudio&amp;timestamp=1768443199969</t>
  </si>
  <si>
    <t>2_ABaOnuei_GcwuCEvAdZoX1g3cXRYHNfDA6kiwNO8cyTx73HpVWh3OFow3dm6R4eWTsLWwcM</t>
  </si>
  <si>
    <t>https://drive.google.com/open?id=1rnBxqpK6VvgdNMNAovkdPlZvmOxsogKN</t>
  </si>
  <si>
    <t>https://docs.google.com/forms/d/e/1FAIpQLSeEYwFnViiqk1AbexVe1VDR73UApmeuvfn6Yr2vN8WXjwGu2Q/viewform?edit2=2_ABaOnuf_50PdthSpaXT9ns1z4sUIAr-HvHTxpI2M2oLKUJ1yzvLKzqojyhqrjSKct6o-ihA&amp;source=documentstudio&amp;timestamp=1768443202157</t>
  </si>
  <si>
    <t>2_ABaOnuf_50PdthSpaXT9ns1z4sUIAr-HvHTxpI2M2oLKUJ1yzvLKzqojyhqrjSKct6o-ihA</t>
  </si>
  <si>
    <t>https://drive.google.com/open?id=1ZIsd9RiFKylM-dje6nJIpdtA42Y6FzJE</t>
  </si>
  <si>
    <t>https://docs.google.com/forms/d/e/1FAIpQLSeEYwFnViiqk1AbexVe1VDR73UApmeuvfn6Yr2vN8WXjwGu2Q/viewform?edit2=2_ABaOnudxTQVPDzgFc_9fkQve6MqXVGBfLmAwsGOe_iuprf1pnnj0oWDJmjxh3yH3Kh-itIo&amp;source=documentstudio&amp;timestamp=1768443224722</t>
  </si>
  <si>
    <t>2_ABaOnudxTQVPDzgFc_9fkQve6MqXVGBfLmAwsGOe_iuprf1pnnj0oWDJmjxh3yH3Kh-itIo</t>
  </si>
  <si>
    <t>https://drive.google.com/open?id=1S9np_JGIvL4raFct_KbitR_x5xHdA5i2</t>
  </si>
  <si>
    <t>https://docs.google.com/forms/d/e/1FAIpQLSeEYwFnViiqk1AbexVe1VDR73UApmeuvfn6Yr2vN8WXjwGu2Q/viewform?edit2=2_ABaOnud3POjvo_WpsDaDJGGlIS3fXipkFelu8KneSHau3s20N6Tg2keu4eY-WcTZrzkUlU4&amp;source=documentstudio&amp;timestamp=1768443250015</t>
  </si>
  <si>
    <t>2_ABaOnud3POjvo_WpsDaDJGGlIS3fXipkFelu8KneSHau3s20N6Tg2keu4eY-WcTZrzkUlU4</t>
  </si>
  <si>
    <t>https://drive.google.com/open?id=1bR_M75ROLZzIfRAD2HMeggE4kFMiAQN0</t>
  </si>
  <si>
    <t>https://docs.google.com/forms/d/e/1FAIpQLSeEYwFnViiqk1AbexVe1VDR73UApmeuvfn6Yr2vN8WXjwGu2Q/viewform?edit2=2_ABaOnueIVIf-bpmvPLKkXJtvT8DqJjgFZ7CptjrHIRbRCBNWIYQ4NEwunDsdNn2mDy4VDcg&amp;source=documentstudio&amp;timestamp=1768443286683</t>
  </si>
  <si>
    <t>2_ABaOnueIVIf-bpmvPLKkXJtvT8DqJjgFZ7CptjrHIRbRCBNWIYQ4NEwunDsdNn2mDy4VDcg</t>
  </si>
  <si>
    <t>https://drive.google.com/open?id=1Z8LTK7WjJbwUtxE6RuFej1OYdGNr_fh4</t>
  </si>
  <si>
    <t>https://docs.google.com/forms/d/e/1FAIpQLSeEYwFnViiqk1AbexVe1VDR73UApmeuvfn6Yr2vN8WXjwGu2Q/viewform?edit2=2_ABaOnuenZWtVYMPggyU8uFz5RF7GHOhZU8DrmKiEXJApXlrqf5GF_g8Q2w1hVl1W7Kj0PSY&amp;source=documentstudio&amp;timestamp=1768443320579</t>
  </si>
  <si>
    <t>2_ABaOnuenZWtVYMPggyU8uFz5RF7GHOhZU8DrmKiEXJApXlrqf5GF_g8Q2w1hVl1W7Kj0PSY</t>
  </si>
  <si>
    <t>https://drive.google.com/open?id=1T6Mph1cbKRtozPhzD7W84U7814kFeEDr</t>
  </si>
  <si>
    <t>https://docs.google.com/forms/d/e/1FAIpQLSeEYwFnViiqk1AbexVe1VDR73UApmeuvfn6Yr2vN8WXjwGu2Q/viewform?edit2=2_ABaOnufXznqzDvhypB30Y-Jl2DpiqXLq-4sqNOuqQ8wVK5Jkn5z_rtPPapgF8NmFMdsG_9s&amp;source=documentstudio&amp;timestamp=1768443379657</t>
  </si>
  <si>
    <t>2_ABaOnufXznqzDvhypB30Y-Jl2DpiqXLq-4sqNOuqQ8wVK5Jkn5z_rtPPapgF8NmFMdsG_9s</t>
  </si>
  <si>
    <t>https://drive.google.com/open?id=1UBc1ABasfkhuDgA-ppIqaXjPGm62MEia</t>
  </si>
  <si>
    <t>https://docs.google.com/forms/d/e/1FAIpQLSeEYwFnViiqk1AbexVe1VDR73UApmeuvfn6Yr2vN8WXjwGu2Q/viewform?edit2=2_ABaOnufbn1W6vsO-sx-JUOlDEWPIMLh2u7xTdt6MOut_RlRR_8r2QFE4v8eQpt2QtfXd_c4&amp;source=documentstudio&amp;timestamp=1768443446045</t>
  </si>
  <si>
    <t>2_ABaOnufbn1W6vsO-sx-JUOlDEWPIMLh2u7xTdt6MOut_RlRR_8r2QFE4v8eQpt2QtfXd_c4</t>
  </si>
  <si>
    <t>https://drive.google.com/open?id=1h1i9sMWzNCnqwpSJ4CEpXD06obPNagsE</t>
  </si>
  <si>
    <t>https://docs.google.com/forms/d/e/1FAIpQLSeEYwFnViiqk1AbexVe1VDR73UApmeuvfn6Yr2vN8WXjwGu2Q/viewform?edit2=2_ABaOnueN8zAyO3BxMPBIYO4bLrPxqq-3d7PZv_AJcGxQ8NznvCKysUYHfH9w-h1PvLMyDcM&amp;source=documentstudio&amp;timestamp=1768443518980</t>
  </si>
  <si>
    <t>2_ABaOnueN8zAyO3BxMPBIYO4bLrPxqq-3d7PZv_AJcGxQ8NznvCKysUYHfH9w-h1PvLMyDcM</t>
  </si>
  <si>
    <t>https://drive.google.com/open?id=1LI6PS6wHr_LU8CcGLHNlHoIjztVhlXh8</t>
  </si>
  <si>
    <t>https://docs.google.com/forms/d/e/1FAIpQLSeEYwFnViiqk1AbexVe1VDR73UApmeuvfn6Yr2vN8WXjwGu2Q/viewform?edit2=2_ABaOnufe1x4nvmgk2KQF9vShTcyZsTFVF8SOkz_tLz9CnK5MppPHW2jqsYufldwoPneUUag&amp;source=documentstudio&amp;timestamp=1768443828368</t>
  </si>
  <si>
    <t>2_ABaOnufe1x4nvmgk2KQF9vShTcyZsTFVF8SOkz_tLz9CnK5MppPHW2jqsYufldwoPneUUag</t>
  </si>
  <si>
    <t>https://drive.google.com/open?id=1hmrKRGhpWyYLTWJzoHPI3p9If25Z80Vv</t>
  </si>
  <si>
    <t>https://docs.google.com/forms/d/e/1FAIpQLSeEYwFnViiqk1AbexVe1VDR73UApmeuvfn6Yr2vN8WXjwGu2Q/viewform?edit2=2_ABaOnucDUlrbQugGPmNvZ8Stq7iJXscOLpcYTRnb5gRns94RpI9VeHO_IRTLhJwAJybSVII&amp;source=documentstudio&amp;timestamp=1768443867249</t>
  </si>
  <si>
    <t>2_ABaOnucDUlrbQugGPmNvZ8Stq7iJXscOLpcYTRnb5gRns94RpI9VeHO_IRTLhJwAJybSVII</t>
  </si>
  <si>
    <t>https://drive.google.com/open?id=1zMWY2K_HEd2Ey9CGLhouR7nvYVD7295G</t>
  </si>
  <si>
    <t>https://docs.google.com/forms/d/e/1FAIpQLSeEYwFnViiqk1AbexVe1VDR73UApmeuvfn6Yr2vN8WXjwGu2Q/viewform?edit2=2_ABaOnucOootVmx5L9nwY9SPeVCaSBtjRVEnIjOBrqqC0SgR4VjMOgxJstN7NEPm4-E05jCg&amp;source=documentstudio&amp;timestamp=1768443958470</t>
  </si>
  <si>
    <t>2_ABaOnucOootVmx5L9nwY9SPeVCaSBtjRVEnIjOBrqqC0SgR4VjMOgxJstN7NEPm4-E05jCg</t>
  </si>
  <si>
    <t>https://drive.google.com/open?id=1mZ3wtU4LGK6m4mr8JomLJMhsP0j0t6yn</t>
  </si>
  <si>
    <t>https://docs.google.com/forms/d/e/1FAIpQLSeEYwFnViiqk1AbexVe1VDR73UApmeuvfn6Yr2vN8WXjwGu2Q/viewform?edit2=2_ABaOnuckKRXnTMN123hZFhsZeGxRYmMYqCDPr45xmHZHmNewXWRTsx6kqjf13PgErZCFqKE&amp;source=documentstudio&amp;timestamp=1768443986306</t>
  </si>
  <si>
    <t>2_ABaOnuckKRXnTMN123hZFhsZeGxRYmMYqCDPr45xmHZHmNewXWRTsx6kqjf13PgErZCFqKE</t>
  </si>
  <si>
    <t>https://drive.google.com/open?id=1YbvetSod__i1c5vW6oKKhXzp0c_7EOUA</t>
  </si>
  <si>
    <t>https://docs.google.com/forms/d/e/1FAIpQLSeEYwFnViiqk1AbexVe1VDR73UApmeuvfn6Yr2vN8WXjwGu2Q/viewform?edit2=2_ABaOnudfyp9MBRILQShMVd7pVryRmGFLFu3BGmswl-Xn5fHX-GP4cc_6He1CCZeDXZyyo1Y&amp;source=documentstudio&amp;timestamp=1768444209832</t>
  </si>
  <si>
    <t>2_ABaOnudfyp9MBRILQShMVd7pVryRmGFLFu3BGmswl-Xn5fHX-GP4cc_6He1CCZeDXZyyo1Y</t>
  </si>
  <si>
    <t>https://drive.google.com/open?id=1HLuB6SiRlJGjd3bUGmwB0Az5D4LnGyaY</t>
  </si>
  <si>
    <t>https://docs.google.com/forms/d/e/1FAIpQLSeEYwFnViiqk1AbexVe1VDR73UApmeuvfn6Yr2vN8WXjwGu2Q/viewform?edit2=2_ABaOnuevuiroUDWYWpzDtqPQgDXR3OIjAUQCQzc-Tdw_gOSt_skKKcKs5ECWG4X_0ENweiM&amp;source=documentstudio&amp;timestamp=1768444235713</t>
  </si>
  <si>
    <t>2_ABaOnuevuiroUDWYWpzDtqPQgDXR3OIjAUQCQzc-Tdw_gOSt_skKKcKs5ECWG4X_0ENweiM</t>
  </si>
  <si>
    <t>https://drive.google.com/open?id=1BTZPUz9b-l0RqZfHKj50gIpXVrOwU0ij</t>
  </si>
  <si>
    <t>https://docs.google.com/forms/d/e/1FAIpQLSeEYwFnViiqk1AbexVe1VDR73UApmeuvfn6Yr2vN8WXjwGu2Q/viewform?edit2=2_ABaOnueux9_Kfl-yBhuKj-pVsetnih4T9OFNsjfUppsB2yAXmWKzxqQ0xuc8ftnT63OEIFM&amp;source=documentstudio&amp;timestamp=1768444262166</t>
  </si>
  <si>
    <t>2_ABaOnueux9_Kfl-yBhuKj-pVsetnih4T9OFNsjfUppsB2yAXmWKzxqQ0xuc8ftnT63OEIFM</t>
  </si>
  <si>
    <t>https://drive.google.com/open?id=1FDSLhE9szgvScrhKAPjgD0h_YxBt_arU</t>
  </si>
  <si>
    <t>https://docs.google.com/forms/d/e/1FAIpQLSeEYwFnViiqk1AbexVe1VDR73UApmeuvfn6Yr2vN8WXjwGu2Q/viewform?edit2=2_ABaOnudNBuy1C0mczH6xtRFk2o3sMIBSNEDO8aJKFvkhfMXPwld8uEpf5LuT0QWyQFtoYgI&amp;source=documentstudio&amp;timestamp=1768444457829</t>
  </si>
  <si>
    <t>2_ABaOnudNBuy1C0mczH6xtRFk2o3sMIBSNEDO8aJKFvkhfMXPwld8uEpf5LuT0QWyQFtoYgI</t>
  </si>
  <si>
    <t>https://drive.google.com/open?id=1MIHuRQt0qhklU2DUvFcidgCKDbCHXgbD</t>
  </si>
  <si>
    <t>https://docs.google.com/forms/d/e/1FAIpQLSeEYwFnViiqk1AbexVe1VDR73UApmeuvfn6Yr2vN8WXjwGu2Q/viewform?edit2=2_ABaOnueT4TOzP-L-JRaF8nOeLKikeYcuDqMdY4_6IFbT1ovSn-fyqEn9VEjEVagfuxparW8&amp;source=documentstudio&amp;timestamp=1768444552192</t>
  </si>
  <si>
    <t>2_ABaOnueT4TOzP-L-JRaF8nOeLKikeYcuDqMdY4_6IFbT1ovSn-fyqEn9VEjEVagfuxparW8</t>
  </si>
  <si>
    <t>https://drive.google.com/open?id=1lBwqV_ac56Od_mKwNyCxUonw-aJXuMmC</t>
  </si>
  <si>
    <t>https://docs.google.com/forms/d/e/1FAIpQLSeEYwFnViiqk1AbexVe1VDR73UApmeuvfn6Yr2vN8WXjwGu2Q/viewform?edit2=2_ABaOnudxgQjjt_Z6AhIvst-U_64CWbU2mamsaMve-2Y5ZVrWKUwTcWsStDryEWXwU0mk0zw&amp;source=documentstudio&amp;timestamp=1768444575528</t>
  </si>
  <si>
    <t>2_ABaOnudxgQjjt_Z6AhIvst-U_64CWbU2mamsaMve-2Y5ZVrWKUwTcWsStDryEWXwU0mk0zw</t>
  </si>
  <si>
    <t>https://drive.google.com/open?id=1hzAuaFLpoteaCMESvk96hVxZjWJLGM8B</t>
  </si>
  <si>
    <t>https://docs.google.com/forms/d/e/1FAIpQLSeEYwFnViiqk1AbexVe1VDR73UApmeuvfn6Yr2vN8WXjwGu2Q/viewform?edit2=2_ABaOnufbx7ns-aONdZOUnJI1pD63yk8xEu8X5U8SFfVW44viZHX1wEWtG58r1fuci1AWJsE&amp;source=documentstudio&amp;timestamp=1768444594854</t>
  </si>
  <si>
    <t>2_ABaOnufbx7ns-aONdZOUnJI1pD63yk8xEu8X5U8SFfVW44viZHX1wEWtG58r1fuci1AWJsE</t>
  </si>
  <si>
    <t>https://drive.google.com/open?id=1oMzYUXxLHtwYvu1OUQWbHANJMj2teCqN</t>
  </si>
  <si>
    <t>https://docs.google.com/forms/d/e/1FAIpQLSeEYwFnViiqk1AbexVe1VDR73UApmeuvfn6Yr2vN8WXjwGu2Q/viewform?edit2=2_ABaOnue0kj9wXKRzAqXkifDrP8C3nU4ZBHiZA0BOrhj3rLlLb9CFeCaZeWJALPo2Cl2QuBE&amp;source=documentstudio&amp;timestamp=1768444614997</t>
  </si>
  <si>
    <t>2_ABaOnue0kj9wXKRzAqXkifDrP8C3nU4ZBHiZA0BOrhj3rLlLb9CFeCaZeWJALPo2Cl2QuBE</t>
  </si>
  <si>
    <t>https://drive.google.com/open?id=1a5N8wbOL0mJsSULxMoNEk9NigcAEreau</t>
  </si>
  <si>
    <t>https://docs.google.com/forms/d/e/1FAIpQLSeEYwFnViiqk1AbexVe1VDR73UApmeuvfn6Yr2vN8WXjwGu2Q/viewform?edit2=2_ABaOnucmu1rqPMWajOlAugsreHgyYdPuRylw1FbcNrpAnCxhqx3TfLRXMHCodv7mteI-5uw&amp;source=documentstudio&amp;timestamp=1768449297070</t>
  </si>
  <si>
    <t>2_ABaOnucmu1rqPMWajOlAugsreHgyYdPuRylw1FbcNrpAnCxhqx3TfLRXMHCodv7mteI-5uw</t>
  </si>
  <si>
    <t>https://drive.google.com/open?id=1NafOV6BMDIOIFFjTvrMIxH29rlaSEaZW</t>
  </si>
  <si>
    <t>https://docs.google.com/forms/d/e/1FAIpQLSeEYwFnViiqk1AbexVe1VDR73UApmeuvfn6Yr2vN8WXjwGu2Q/viewform?edit2=2_ABaOnud24SXhBIr2G50TjoVypHzZqMYbtIeFQfRkb8jEUMKa-iEIvsB2NcS-PdLTDSY9oFk&amp;source=documentstudio&amp;timestamp=1768449503993</t>
  </si>
  <si>
    <t>2_ABaOnud24SXhBIr2G50TjoVypHzZqMYbtIeFQfRkb8jEUMKa-iEIvsB2NcS-PdLTDSY9oFk</t>
  </si>
  <si>
    <t>https://drive.google.com/open?id=1MTxXNEuHc2nAi85M8F4q3kiyCFMsf2uh</t>
  </si>
  <si>
    <t>https://docs.google.com/forms/d/e/1FAIpQLSeEYwFnViiqk1AbexVe1VDR73UApmeuvfn6Yr2vN8WXjwGu2Q/viewform?edit2=2_ABaOnueDIuFQybBvSt_etOhGxCcx5GbmwWIFdHHwXZ4_y7SpfhHx21bkLakbgJJ6p1ezqGA&amp;source=documentstudio&amp;timestamp=1768449536226</t>
  </si>
  <si>
    <t>2_ABaOnueDIuFQybBvSt_etOhGxCcx5GbmwWIFdHHwXZ4_y7SpfhHx21bkLakbgJJ6p1ezqGA</t>
  </si>
  <si>
    <t>https://drive.google.com/open?id=1C5un974-Aqz1tXia8GRqUr66LCwL8E2i</t>
  </si>
  <si>
    <t>https://docs.google.com/forms/d/e/1FAIpQLSeEYwFnViiqk1AbexVe1VDR73UApmeuvfn6Yr2vN8WXjwGu2Q/viewform?edit2=2_ABaOnudxGNf50Qm6oz2ICCZZy4b7-YGTAjj1E8hgn1W97QorbFdHG9jZRpdy967AQ56Ke4g&amp;source=documentstudio&amp;timestamp=1768449566459</t>
  </si>
  <si>
    <t>2_ABaOnudxGNf50Qm6oz2ICCZZy4b7-YGTAjj1E8hgn1W97QorbFdHG9jZRpdy967AQ56Ke4g</t>
  </si>
  <si>
    <t>https://drive.google.com/open?id=1zRVRQmYZXHe1ieE33ctAXvjKfxzb4ntK</t>
  </si>
  <si>
    <t>https://docs.google.com/forms/d/e/1FAIpQLSeEYwFnViiqk1AbexVe1VDR73UApmeuvfn6Yr2vN8WXjwGu2Q/viewform?edit2=2_ABaOnucZQE9bzr3QpDsQ8b1E4bBCqDhW_wURZsKktByRSdWF-FQ8J7B7TVlizDaTdEb0O-0&amp;source=documentstudio&amp;timestamp=1768449997229</t>
  </si>
  <si>
    <t>2_ABaOnucZQE9bzr3QpDsQ8b1E4bBCqDhW_wURZsKktByRSdWF-FQ8J7B7TVlizDaTdEb0O-0</t>
  </si>
  <si>
    <t>https://drive.google.com/open?id=1_XbO7noIldIL3WBzRKS7AEvp19eg3pZp</t>
  </si>
  <si>
    <t>https://docs.google.com/forms/d/e/1FAIpQLSeEYwFnViiqk1AbexVe1VDR73UApmeuvfn6Yr2vN8WXjwGu2Q/viewform?edit2=2_ABaOnucmMQQ-bBJEpal5gEqHedzz7QnGSHyIIANY723uuSuHmq4JL5QigtoCcysK3AgyI2c&amp;source=documentstudio&amp;timestamp=1768460290725</t>
  </si>
  <si>
    <t>2_ABaOnucmMQQ-bBJEpal5gEqHedzz7QnGSHyIIANY723uuSuHmq4JL5QigtoCcysK3AgyI2c</t>
  </si>
  <si>
    <t>https://drive.google.com/open?id=1R34HkLmxDaEOUVLCFQyjvGu3IUX5iEOv</t>
  </si>
  <si>
    <t>https://docs.google.com/forms/d/e/1FAIpQLSeEYwFnViiqk1AbexVe1VDR73UApmeuvfn6Yr2vN8WXjwGu2Q/viewform?edit2=2_ABaOnufFpGtQWGhgk69mkyntxl67u3ZOUCEP0QIp0Efg9FPeHsHtoZh9cJyNxN644RYhyEg&amp;source=documentstudio&amp;timestamp=1768460316990</t>
  </si>
  <si>
    <t>2_ABaOnufFpGtQWGhgk69mkyntxl67u3ZOUCEP0QIp0Efg9FPeHsHtoZh9cJyNxN644RYhyEg</t>
  </si>
  <si>
    <t>https://drive.google.com/open?id=1fjBDwxE3woQvBOcmNvkBzOo-esDrXA1g</t>
  </si>
  <si>
    <t>https://docs.google.com/forms/d/e/1FAIpQLSeEYwFnViiqk1AbexVe1VDR73UApmeuvfn6Yr2vN8WXjwGu2Q/viewform?edit2=2_ABaOnuemJsdsnVYUacQUCAensHHiMKOxhkVERhwOlOYDmh8UxFuH3ZJ9Ym91xMzt9_n8PKk&amp;source=documentstudio&amp;timestamp=1768460374607</t>
  </si>
  <si>
    <t>2_ABaOnuemJsdsnVYUacQUCAensHHiMKOxhkVERhwOlOYDmh8UxFuH3ZJ9Ym91xMzt9_n8PKk</t>
  </si>
  <si>
    <t>https://drive.google.com/open?id=1_elVbUH1JiDaW7_9Wnyw0vdn9rJU7zOK</t>
  </si>
  <si>
    <t>https://docs.google.com/forms/d/e/1FAIpQLSeEYwFnViiqk1AbexVe1VDR73UApmeuvfn6Yr2vN8WXjwGu2Q/viewform?edit2=2_ABaOnueEqdHwLu3e29qIiepf72t9Ytmxn3JvkYXuUtUBAK2pG9RRY89ERAw3nJYMcvlzxrE&amp;source=documentstudio&amp;timestamp=1768460403375</t>
  </si>
  <si>
    <t>2_ABaOnueEqdHwLu3e29qIiepf72t9Ytmxn3JvkYXuUtUBAK2pG9RRY89ERAw3nJYMcvlzxrE</t>
  </si>
  <si>
    <t>https://drive.google.com/open?id=1rXEhV1xtnTZMGtSuJI8XjulD_EMxhzHw</t>
  </si>
  <si>
    <t>https://docs.google.com/forms/d/e/1FAIpQLSeEYwFnViiqk1AbexVe1VDR73UApmeuvfn6Yr2vN8WXjwGu2Q/viewform?edit2=2_ABaOnueBfv4X64Q8yT0kRNREBn1_DtRZL2sGvHyGBgVRJykclm1zAOl9yGfplgEDryakAQw&amp;source=documentstudio&amp;timestamp=1768460431403</t>
  </si>
  <si>
    <t>2_ABaOnueBfv4X64Q8yT0kRNREBn1_DtRZL2sGvHyGBgVRJykclm1zAOl9yGfplgEDryakAQw</t>
  </si>
  <si>
    <t>https://drive.google.com/open?id=10T4CBtQdxkf9mv4epMyC2vSnbvDFo88P</t>
  </si>
  <si>
    <t>https://docs.google.com/forms/d/e/1FAIpQLSeEYwFnViiqk1AbexVe1VDR73UApmeuvfn6Yr2vN8WXjwGu2Q/viewform?edit2=2_ABaOnucyR1N2LxZTxhpse07p2eyfHMOBtvjyy6pcENxaiTYMh-K2NvQU_Ifp0Aq3o_ppX_w&amp;source=documentstudio&amp;timestamp=1768460460473</t>
  </si>
  <si>
    <t>2_ABaOnucyR1N2LxZTxhpse07p2eyfHMOBtvjyy6pcENxaiTYMh-K2NvQU_Ifp0Aq3o_ppX_w</t>
  </si>
  <si>
    <t>https://drive.google.com/open?id=14hHlWTZH3PHXiYaVtbZhal_LBWdO0ndR</t>
  </si>
  <si>
    <t>https://docs.google.com/forms/d/e/1FAIpQLSeEYwFnViiqk1AbexVe1VDR73UApmeuvfn6Yr2vN8WXjwGu2Q/viewform?edit2=2_ABaOnudrewnzmCq-XiIG5oh2UGBoPFT6AUMfme6Fkt4E_HiUrDn70yIhXOGI8Z17GU9vzuM&amp;source=documentstudio&amp;timestamp=1768460488145</t>
  </si>
  <si>
    <t>2_ABaOnudrewnzmCq-XiIG5oh2UGBoPFT6AUMfme6Fkt4E_HiUrDn70yIhXOGI8Z17GU9vzuM</t>
  </si>
  <si>
    <t>https://drive.google.com/open?id=1E6ukVUIN9IRkx73vFanjD6UMxfKwXQsU</t>
  </si>
  <si>
    <t>https://docs.google.com/forms/d/e/1FAIpQLSeEYwFnViiqk1AbexVe1VDR73UApmeuvfn6Yr2vN8WXjwGu2Q/viewform?edit2=2_ABaOnueAkNk_Ep023jcTFTvmUGxNTVZVWSJ4Au0uEitOH_BiaK4mfiq8wt3Hg-DkvNqUq_0&amp;source=documentstudio&amp;timestamp=1768460987641</t>
  </si>
  <si>
    <t>2_ABaOnueAkNk_Ep023jcTFTvmUGxNTVZVWSJ4Au0uEitOH_BiaK4mfiq8wt3Hg-DkvNqUq_0</t>
  </si>
  <si>
    <t>https://drive.google.com/open?id=1d66eb09Auctg5ZIpk5guoUpvYELzV1iD</t>
  </si>
  <si>
    <t>https://docs.google.com/forms/d/e/1FAIpQLSeEYwFnViiqk1AbexVe1VDR73UApmeuvfn6Yr2vN8WXjwGu2Q/viewform?edit2=2_ABaOnufMI70wsMh0XZve1LV5d5nobJ8bXHcytctjCgCn7Sesn1x4T2d3DbwVSygYX8X5BRY&amp;source=documentstudio&amp;timestamp=1768461018210</t>
  </si>
  <si>
    <t>2_ABaOnufMI70wsMh0XZve1LV5d5nobJ8bXHcytctjCgCn7Sesn1x4T2d3DbwVSygYX8X5BRY</t>
  </si>
  <si>
    <t>https://drive.google.com/open?id=1Xnl3plgoeqFQPsk3yuRAwpYyzl6-cHZG</t>
  </si>
  <si>
    <t>https://docs.google.com/forms/d/e/1FAIpQLSeEYwFnViiqk1AbexVe1VDR73UApmeuvfn6Yr2vN8WXjwGu2Q/viewform?edit2=2_ABaOnucpBxvFsT2mnR3D4_9IHgyW9Ee60LxY7bxOi8MJw0_chqhcHPMKxRv_rhxmS-EefBY&amp;source=documentstudio&amp;timestamp=1768461145015</t>
  </si>
  <si>
    <t>2_ABaOnucpBxvFsT2mnR3D4_9IHgyW9Ee60LxY7bxOi8MJw0_chqhcHPMKxRv_rhxmS-EefBY</t>
  </si>
  <si>
    <t>https://drive.google.com/open?id=19QBc6qju5n6NStKga7A4e7RJyl0TadvT</t>
  </si>
  <si>
    <t>https://docs.google.com/forms/d/e/1FAIpQLSeEYwFnViiqk1AbexVe1VDR73UApmeuvfn6Yr2vN8WXjwGu2Q/viewform?edit2=2_ABaOnucHo5GSuYYWYBivFc3M-5Wu7F6ntNwzBqzTGfcjI20l_OJ21Gkm5m_C4b66BksMiyY&amp;source=documentstudio&amp;timestamp=1768461368350</t>
  </si>
  <si>
    <t>2_ABaOnucHo5GSuYYWYBivFc3M-5Wu7F6ntNwzBqzTGfcjI20l_OJ21Gkm5m_C4b66BksMiyY</t>
  </si>
  <si>
    <t>https://drive.google.com/open?id=1yp723abwpL0dmqttL8lGRYhayydDn6rR</t>
  </si>
  <si>
    <t>https://docs.google.com/forms/d/e/1FAIpQLSeEYwFnViiqk1AbexVe1VDR73UApmeuvfn6Yr2vN8WXjwGu2Q/viewform?edit2=2_ABaOnuc1Y9mtTAUf0AEVpacuraH07mAUnw-QhWEr_ZdWZETrL09Nlygc8nKXlsbTDm8YvYI&amp;source=documentstudio&amp;timestamp=1768461402309</t>
  </si>
  <si>
    <t>2_ABaOnuc1Y9mtTAUf0AEVpacuraH07mAUnw-QhWEr_ZdWZETrL09Nlygc8nKXlsbTDm8YvYI</t>
  </si>
  <si>
    <t>https://drive.google.com/open?id=1ooIYeAatdKIsdl26-OtGPHDqbpur92eO</t>
  </si>
  <si>
    <t>https://docs.google.com/forms/d/e/1FAIpQLSeEYwFnViiqk1AbexVe1VDR73UApmeuvfn6Yr2vN8WXjwGu2Q/viewform?edit2=2_ABaOnufuBIeoce7seUU3viLcQigYgM-Y89HDsNUCmN7gTjFRO0hvJSKyFJBgel-lZCF2emI&amp;source=documentstudio&amp;timestamp=1768461436758</t>
  </si>
  <si>
    <t>2_ABaOnufuBIeoce7seUU3viLcQigYgM-Y89HDsNUCmN7gTjFRO0hvJSKyFJBgel-lZCF2emI</t>
  </si>
  <si>
    <t>https://drive.google.com/open?id=1d4tTQoQBAgCaiX4341FvqG0ggb0TESV3</t>
  </si>
  <si>
    <t>https://docs.google.com/forms/d/e/1FAIpQLSeEYwFnViiqk1AbexVe1VDR73UApmeuvfn6Yr2vN8WXjwGu2Q/viewform?edit2=2_ABaOnueIAf88B8lsjRhQfaGHBQAmzRFk2XX6Rr1nU5gKCLw0sDja47BfAON9L2VWqSwKh6g&amp;source=documentstudio&amp;timestamp=1768461807688</t>
  </si>
  <si>
    <t>2_ABaOnueIAf88B8lsjRhQfaGHBQAmzRFk2XX6Rr1nU5gKCLw0sDja47BfAON9L2VWqSwKh6g</t>
  </si>
  <si>
    <t>https://drive.google.com/open?id=1R0RV2w-NBpBlBWwSFj_YXzC_p1Ru0vU1</t>
  </si>
  <si>
    <t>https://docs.google.com/forms/d/e/1FAIpQLSeEYwFnViiqk1AbexVe1VDR73UApmeuvfn6Yr2vN8WXjwGu2Q/viewform?edit2=2_ABaOnueGOH9XOic2OYP6Hj3G6rry2qOZbnMJxL8lwYeyk7SoCdYqhFrTzL34_Ke1ECx2VqM&amp;source=documentstudio&amp;timestamp=1768461836587</t>
  </si>
  <si>
    <t>2_ABaOnueGOH9XOic2OYP6Hj3G6rry2qOZbnMJxL8lwYeyk7SoCdYqhFrTzL34_Ke1ECx2VqM</t>
  </si>
  <si>
    <t>https://drive.google.com/open?id=10-SYfMpZDpLIipiFIBjHdxDL-wjbVOxt</t>
  </si>
  <si>
    <t>https://docs.google.com/forms/d/e/1FAIpQLSeEYwFnViiqk1AbexVe1VDR73UApmeuvfn6Yr2vN8WXjwGu2Q/viewform?edit2=2_ABaOnudPw7MtD4COqhvq9ZVs1R6cxtq1dGohXRCFmW8KYvOcTVBMVGK8cg85mESZ0JjEoso&amp;source=documentstudio&amp;timestamp=1768461947795</t>
  </si>
  <si>
    <t>2_ABaOnudPw7MtD4COqhvq9ZVs1R6cxtq1dGohXRCFmW8KYvOcTVBMVGK8cg85mESZ0JjEoso</t>
  </si>
  <si>
    <t>https://drive.google.com/open?id=1hMiPmpCb9YDSjV17aLqaI_pwi5H-CyAH</t>
  </si>
  <si>
    <t>https://docs.google.com/forms/d/e/1FAIpQLSeEYwFnViiqk1AbexVe1VDR73UApmeuvfn6Yr2vN8WXjwGu2Q/viewform?edit2=2_ABaOnufWs_xy0iYFrRJSvRbzxCuqvfhE0mlVEyq2d_sYbgUOazl-7cIB1OQGSCKnzzYV-O0&amp;source=documentstudio&amp;timestamp=1768461992177</t>
  </si>
  <si>
    <t>2_ABaOnufWs_xy0iYFrRJSvRbzxCuqvfhE0mlVEyq2d_sYbgUOazl-7cIB1OQGSCKnzzYV-O0</t>
  </si>
  <si>
    <t>https://drive.google.com/open?id=1-GSSsPhpZilMxshC-Kx8nj1HGM2uh9Bn</t>
  </si>
  <si>
    <t>https://docs.google.com/forms/d/e/1FAIpQLSeEYwFnViiqk1AbexVe1VDR73UApmeuvfn6Yr2vN8WXjwGu2Q/viewform?edit2=2_ABaOnudLEFW7SpylgPNjHnq45pAtWQBxD1G1K6sTV7feNT_xNLArjEqAtSWqM4yVeK_cWsk&amp;source=documentstudio&amp;timestamp=1768462023310</t>
  </si>
  <si>
    <t>2_ABaOnudLEFW7SpylgPNjHnq45pAtWQBxD1G1K6sTV7feNT_xNLArjEqAtSWqM4yVeK_cWsk</t>
  </si>
  <si>
    <t>https://drive.google.com/open?id=1zd03Wp9Tc4yIA8kW5Cx78GgP1B7iviHr</t>
  </si>
  <si>
    <t>https://docs.google.com/forms/d/e/1FAIpQLSeEYwFnViiqk1AbexVe1VDR73UApmeuvfn6Yr2vN8WXjwGu2Q/viewform?edit2=2_ABaOnuc9i7z3L4XUCj2h-fLPNr778PgSliwisOCGbJZGYH8H1Hlk8xRUMGTvEG_rQuJdbKE&amp;source=documentstudio&amp;timestamp=1768462050081</t>
  </si>
  <si>
    <t>2_ABaOnuc9i7z3L4XUCj2h-fLPNr778PgSliwisOCGbJZGYH8H1Hlk8xRUMGTvEG_rQuJdbKE</t>
  </si>
  <si>
    <t>https://drive.google.com/open?id=1RoFxR8DvQ0nQNUkH6jYkV2DdcWh0xbWk</t>
  </si>
  <si>
    <t>https://docs.google.com/forms/d/e/1FAIpQLSeEYwFnViiqk1AbexVe1VDR73UApmeuvfn6Yr2vN8WXjwGu2Q/viewform?edit2=2_ABaOnudA5G2sahNzLvagsgPiPhfgmbDATtcmwbYYzBsutwF_ppGWkozuQTMMnnv46Mn7awY&amp;source=documentstudio&amp;timestamp=1768463748255</t>
  </si>
  <si>
    <t>2_ABaOnudA5G2sahNzLvagsgPiPhfgmbDATtcmwbYYzBsutwF_ppGWkozuQTMMnnv46Mn7awY</t>
  </si>
  <si>
    <t>https://drive.google.com/open?id=1qlK0ecm34aTjAeskSPDbuZqS_YO79z94</t>
  </si>
  <si>
    <t>https://docs.google.com/forms/d/e/1FAIpQLSeEYwFnViiqk1AbexVe1VDR73UApmeuvfn6Yr2vN8WXjwGu2Q/viewform?edit2=2_ABaOnueO8cAWE_WKiVDQhNPJhPgll44h_hnLCi9RT16LCZBnD2mnOWTtA-YBRrUTHDeHKxY&amp;source=documentstudio&amp;timestamp=1768463776392</t>
  </si>
  <si>
    <t>2_ABaOnueO8cAWE_WKiVDQhNPJhPgll44h_hnLCi9RT16LCZBnD2mnOWTtA-YBRrUTHDeHKxY</t>
  </si>
  <si>
    <t>https://drive.google.com/open?id=1vydEFt96E8tpFWwejI7NiHqjkEq9gv5F</t>
  </si>
  <si>
    <t>https://docs.google.com/forms/d/e/1FAIpQLSeEYwFnViiqk1AbexVe1VDR73UApmeuvfn6Yr2vN8WXjwGu2Q/viewform?edit2=2_ABaOnufbgK_niL4k72sY0DP6PfD0OWtuZNwDZsnT0hxEjxwtzVvGCrF33i7AgrHMW-EtvJ0&amp;source=documentstudio&amp;timestamp=1768463801547</t>
  </si>
  <si>
    <t>2_ABaOnufbgK_niL4k72sY0DP6PfD0OWtuZNwDZsnT0hxEjxwtzVvGCrF33i7AgrHMW-EtvJ0</t>
  </si>
  <si>
    <t>https://drive.google.com/open?id=1WyeKYgRuKJ1E-8lenknFWz_UJC0NnZKz</t>
  </si>
  <si>
    <t>https://docs.google.com/forms/d/e/1FAIpQLSeEYwFnViiqk1AbexVe1VDR73UApmeuvfn6Yr2vN8WXjwGu2Q/viewform?edit2=2_ABaOnufQ3XEJH9aUNT0XtzLKyjLfutb932MpBYfS_X3yBO9L-2u7e5TTezTrttwG-9nBwck&amp;source=documentstudio&amp;timestamp=1768463846305</t>
  </si>
  <si>
    <t>2_ABaOnufQ3XEJH9aUNT0XtzLKyjLfutb932MpBYfS_X3yBO9L-2u7e5TTezTrttwG-9nBwck</t>
  </si>
  <si>
    <t>https://drive.google.com/open?id=1MwjBhi-JwPBJuMmniHU97aq5BB9ggy3N</t>
  </si>
  <si>
    <t>https://docs.google.com/forms/d/e/1FAIpQLSeEYwFnViiqk1AbexVe1VDR73UApmeuvfn6Yr2vN8WXjwGu2Q/viewform?edit2=2_ABaOnudN8lnf3XJw-FYX9ffikgU35Cg7pmwqETx2FmdyWG1R5vDZkGEu-b0rO1j1iRmvfe0&amp;source=documentstudio&amp;timestamp=1768464331953</t>
  </si>
  <si>
    <t>2_ABaOnudN8lnf3XJw-FYX9ffikgU35Cg7pmwqETx2FmdyWG1R5vDZkGEu-b0rO1j1iRmvfe0</t>
  </si>
  <si>
    <t>Desi Indah Puji Lestari</t>
  </si>
  <si>
    <t>https://drive.google.com/open?id=12XaEhNphhS1Qb6lIUTK0wfmgVWUmaIES</t>
  </si>
  <si>
    <t>https://docs.google.com/forms/d/e/1FAIpQLSeEYwFnViiqk1AbexVe1VDR73UApmeuvfn6Yr2vN8WXjwGu2Q/viewform?edit2=2_ABaOnucvZNc1vlyyMC5deJ0Qobs2-uUbK44M3EXy6Z2S3I06iQ5dl33gba4n4elsMMybIsc&amp;source=documentstudio&amp;timestamp=1768464358351</t>
  </si>
  <si>
    <t>2_ABaOnucvZNc1vlyyMC5deJ0Qobs2-uUbK44M3EXy6Z2S3I06iQ5dl33gba4n4elsMMybIsc</t>
  </si>
  <si>
    <t>https://drive.google.com/open?id=1F0gx2pG7PXKGQT4McXD9yrzM0CZJqzOO</t>
  </si>
  <si>
    <t>https://docs.google.com/forms/d/e/1FAIpQLSeEYwFnViiqk1AbexVe1VDR73UApmeuvfn6Yr2vN8WXjwGu2Q/viewform?edit2=2_ABaOnufcgYmwbSe-nw8vncncvWGB6JSK2yjPSytv_bO95cKJA71NupQU1U7L6VegsUhPpAA&amp;source=documentstudio&amp;timestamp=1768464361701</t>
  </si>
  <si>
    <t>2_ABaOnufcgYmwbSe-nw8vncncvWGB6JSK2yjPSytv_bO95cKJA71NupQU1U7L6VegsUhPpAA</t>
  </si>
  <si>
    <t>https://drive.google.com/open?id=19bFSkRm98fZBw9KJxz5giUbw5ESZ_7Lc</t>
  </si>
  <si>
    <t>https://docs.google.com/forms/d/e/1FAIpQLSeEYwFnViiqk1AbexVe1VDR73UApmeuvfn6Yr2vN8WXjwGu2Q/viewform?edit2=2_ABaOnudA8w-efvC9GlnSdvEhVvLf2yRXOHwsE1iTuddzjrciCqafRzlsi47plLBGOagPfoo&amp;source=documentstudio&amp;timestamp=1768464390602</t>
  </si>
  <si>
    <t>2_ABaOnudA8w-efvC9GlnSdvEhVvLf2yRXOHwsE1iTuddzjrciCqafRzlsi47plLBGOagPfoo</t>
  </si>
  <si>
    <t>https://drive.google.com/open?id=1bNywnzC1eummIZWY77FFW2rpRS1f8pnt</t>
  </si>
  <si>
    <t>https://docs.google.com/forms/d/e/1FAIpQLSeEYwFnViiqk1AbexVe1VDR73UApmeuvfn6Yr2vN8WXjwGu2Q/viewform?edit2=2_ABaOnucveCrHcczF-HqCGm-Lm0bhiep33ySbjw7c0GkeokF5Qo-FCI1bNkIM5g1NO2ZsIc0&amp;source=documentstudio&amp;timestamp=1768464402837</t>
  </si>
  <si>
    <t>2_ABaOnucveCrHcczF-HqCGm-Lm0bhiep33ySbjw7c0GkeokF5Qo-FCI1bNkIM5g1NO2ZsIc0</t>
  </si>
  <si>
    <t>https://drive.google.com/open?id=1BO2fwAlOVlHsCWcrMxjJ1ye0gmJH2ORF</t>
  </si>
  <si>
    <t>https://docs.google.com/forms/d/e/1FAIpQLSeEYwFnViiqk1AbexVe1VDR73UApmeuvfn6Yr2vN8WXjwGu2Q/viewform?edit2=2_ABaOnudWUtbI56zl4jjAw-t_Jp31cL-ZDR1N2ldvIT3HTAmO71g-YHa0zk4C0q7X_R-ztR0&amp;source=documentstudio&amp;timestamp=1768464418567</t>
  </si>
  <si>
    <t>2_ABaOnudWUtbI56zl4jjAw-t_Jp31cL-ZDR1N2ldvIT3HTAmO71g-YHa0zk4C0q7X_R-ztR0</t>
  </si>
  <si>
    <t>https://drive.google.com/open?id=11W_ivlW2OL1nxoHjrTmL7e2Nq56bgyyZ</t>
  </si>
  <si>
    <t>https://docs.google.com/forms/d/e/1FAIpQLSeEYwFnViiqk1AbexVe1VDR73UApmeuvfn6Yr2vN8WXjwGu2Q/viewform?edit2=2_ABaOnuepnIJlS9ulYEat2pGNKjCwrPRolxSU-zDuNNcC_14eu3BTM6t1YJ6ErpiUaWru7Bc&amp;source=documentstudio&amp;timestamp=1768464445801</t>
  </si>
  <si>
    <t>2_ABaOnuepnIJlS9ulYEat2pGNKjCwrPRolxSU-zDuNNcC_14eu3BTM6t1YJ6ErpiUaWru7Bc</t>
  </si>
  <si>
    <t>https://drive.google.com/open?id=1jaOqpt4XaW1GGuLHgGYIamoufSjJIQ2S</t>
  </si>
  <si>
    <t>https://docs.google.com/forms/d/e/1FAIpQLSeEYwFnViiqk1AbexVe1VDR73UApmeuvfn6Yr2vN8WXjwGu2Q/viewform?edit2=2_ABaOnuen7xB7TAHYy2l503m4XHRCdZ5rs0tG7njhcig6zBjNhsdgEYZwHQ7fiSiCz5TihMk&amp;source=documentstudio&amp;timestamp=1768464460496</t>
  </si>
  <si>
    <t>2_ABaOnuen7xB7TAHYy2l503m4XHRCdZ5rs0tG7njhcig6zBjNhsdgEYZwHQ7fiSiCz5TihMk</t>
  </si>
  <si>
    <t>https://drive.google.com/open?id=1gu6SV0HD730qft4LVtNnK6V044WU1Dxi</t>
  </si>
  <si>
    <t>https://docs.google.com/forms/d/e/1FAIpQLSeEYwFnViiqk1AbexVe1VDR73UApmeuvfn6Yr2vN8WXjwGu2Q/viewform?edit2=2_ABaOnudNm_Kb6CRO93Mu7KDQ7zABkGyu0Ib-NdziLKXmjzL6fsKMsRosLlhplCqxBJECIxg&amp;source=documentstudio&amp;timestamp=1768464507647</t>
  </si>
  <si>
    <t>2_ABaOnudNm_Kb6CRO93Mu7KDQ7zABkGyu0Ib-NdziLKXmjzL6fsKMsRosLlhplCqxBJECIxg</t>
  </si>
  <si>
    <t>https://drive.google.com/open?id=1O724qnHATGTv9pqp6zZWfNAkkKzyuX0b</t>
  </si>
  <si>
    <t>https://docs.google.com/forms/d/e/1FAIpQLSeEYwFnViiqk1AbexVe1VDR73UApmeuvfn6Yr2vN8WXjwGu2Q/viewform?edit2=2_ABaOnufQtx8IiSFxazhFj7bnYGLN3NrkQ9BT_ZxpCRsc6gE2_f5G2roDW6q-Y5P5Hnloe68&amp;source=documentstudio&amp;timestamp=1768464558624</t>
  </si>
  <si>
    <t>2_ABaOnufQtx8IiSFxazhFj7bnYGLN3NrkQ9BT_ZxpCRsc6gE2_f5G2roDW6q-Y5P5Hnloe68</t>
  </si>
  <si>
    <t>https://drive.google.com/open?id=1rdT5qsplxGJfyZnrWgdy_7CB3bFC4frl</t>
  </si>
  <si>
    <t>https://docs.google.com/forms/d/e/1FAIpQLSeEYwFnViiqk1AbexVe1VDR73UApmeuvfn6Yr2vN8WXjwGu2Q/viewform?edit2=2_ABaOnudfLlBeF8o_oPvjW-pDyg1BffhvFtQk_5dpjQVoV_jHQT7DE05rY3H0fZPMXw-w_fg&amp;source=documentstudio&amp;timestamp=1768464615397</t>
  </si>
  <si>
    <t>2_ABaOnudfLlBeF8o_oPvjW-pDyg1BffhvFtQk_5dpjQVoV_jHQT7DE05rY3H0fZPMXw-w_fg</t>
  </si>
  <si>
    <t>https://drive.google.com/open?id=1csd7Df8COH-dbjn5d-4xZ3D4Ltd8oIJK</t>
  </si>
  <si>
    <t>https://docs.google.com/forms/d/e/1FAIpQLSeEYwFnViiqk1AbexVe1VDR73UApmeuvfn6Yr2vN8WXjwGu2Q/viewform?edit2=2_ABaOnufTjNMXDYMmIsldXZRrCMUO5pjiILA7gQXWrNAk4Ds8uy1YT-hnn2xnCYdq9nSMSiE&amp;source=documentstudio&amp;timestamp=1768464671605</t>
  </si>
  <si>
    <t>2_ABaOnufTjNMXDYMmIsldXZRrCMUO5pjiILA7gQXWrNAk4Ds8uy1YT-hnn2xnCYdq9nSMSiE</t>
  </si>
  <si>
    <t>https://drive.google.com/open?id=1gAutkk7O_x_5bKm8SVfe8ct7qMh1v2Lu</t>
  </si>
  <si>
    <t>https://docs.google.com/forms/d/e/1FAIpQLSeEYwFnViiqk1AbexVe1VDR73UApmeuvfn6Yr2vN8WXjwGu2Q/viewform?edit2=2_ABaOnueGn0CQXVQt3z8jmXd2ZXzV2edbJKnW-j7m1rDkuVU3rG1TbbUoGEo4Ch43DmWWDMc&amp;source=documentstudio&amp;timestamp=1768465906786</t>
  </si>
  <si>
    <t>2_ABaOnueGn0CQXVQt3z8jmXd2ZXzV2edbJKnW-j7m1rDkuVU3rG1TbbUoGEo4Ch43DmWWDMc</t>
  </si>
  <si>
    <t>https://drive.google.com/open?id=11Ada6mTLI331uGQ1N5oyMdaM5DQ5KmyN</t>
  </si>
  <si>
    <t>https://docs.google.com/forms/d/e/1FAIpQLSeEYwFnViiqk1AbexVe1VDR73UApmeuvfn6Yr2vN8WXjwGu2Q/viewform?edit2=2_ABaOnuePcmmIGKZirz1PaeYtnQoK5NU08Aw_3IVFIqH2S5bFeiYPOD_1CHTd-9HcxxkiJ9k&amp;source=documentstudio&amp;timestamp=1768465974648</t>
  </si>
  <si>
    <t>2_ABaOnuePcmmIGKZirz1PaeYtnQoK5NU08Aw_3IVFIqH2S5bFeiYPOD_1CHTd-9HcxxkiJ9k</t>
  </si>
  <si>
    <t>https://drive.google.com/open?id=1krWmg84cBNTCvULD0-GJ2QX0tZWj9vc6</t>
  </si>
  <si>
    <t>https://docs.google.com/forms/d/e/1FAIpQLSeEYwFnViiqk1AbexVe1VDR73UApmeuvfn6Yr2vN8WXjwGu2Q/viewform?edit2=2_ABaOnufZPmxT0tc418juOZYQeNJF2xd2mvVtx3ALr7_I9mJKVIWxnuurLbsdee7vQyvu0-Q&amp;source=documentstudio&amp;timestamp=1768466027816</t>
  </si>
  <si>
    <t>2_ABaOnufZPmxT0tc418juOZYQeNJF2xd2mvVtx3ALr7_I9mJKVIWxnuurLbsdee7vQyvu0-Q</t>
  </si>
  <si>
    <t>https://drive.google.com/open?id=151CF1xABkgl6uJc5ehveNCyLBWvIcvPG</t>
  </si>
  <si>
    <t>https://docs.google.com/forms/d/e/1FAIpQLSeEYwFnViiqk1AbexVe1VDR73UApmeuvfn6Yr2vN8WXjwGu2Q/viewform?edit2=2_ABaOnuccE87V7c4iss16_Vu7YIcxCYsWs9qbnsJcE4sA5lo9jvq2tvr_HzsWzyzUVwTqzd0&amp;source=documentstudio&amp;timestamp=1768466830333</t>
  </si>
  <si>
    <t>2_ABaOnuccE87V7c4iss16_Vu7YIcxCYsWs9qbnsJcE4sA5lo9jvq2tvr_HzsWzyzUVwTqzd0</t>
  </si>
  <si>
    <t>https://drive.google.com/open?id=1CsFN8iodXVi40rreyn2VwA-Y5aH1FbcE</t>
  </si>
  <si>
    <t>https://docs.google.com/forms/d/e/1FAIpQLSeEYwFnViiqk1AbexVe1VDR73UApmeuvfn6Yr2vN8WXjwGu2Q/viewform?edit2=2_ABaOnuesuGs9fw3sdXh1OmUozk7QoXIECLEnuGbeMxZ9i4m3_BiqS9wWnmgpTrqep8kJGLo&amp;source=documentstudio&amp;timestamp=1768467117512</t>
  </si>
  <si>
    <t>2_ABaOnuesuGs9fw3sdXh1OmUozk7QoXIECLEnuGbeMxZ9i4m3_BiqS9wWnmgpTrqep8kJGLo</t>
  </si>
  <si>
    <t>https://drive.google.com/open?id=1Ny5DuljEDblVpPuAd0PU2wc5nyO-UcL8</t>
  </si>
  <si>
    <t>https://docs.google.com/forms/d/e/1FAIpQLSeEYwFnViiqk1AbexVe1VDR73UApmeuvfn6Yr2vN8WXjwGu2Q/viewform?edit2=2_ABaOnucxNziK9zIn_SNOIKB2MZTgLLt5dCiq6OEv-w4F3cmEoRSe5_SMZba2UIjHJTh_j54&amp;source=documentstudio&amp;timestamp=1768467155682</t>
  </si>
  <si>
    <t>2_ABaOnucxNziK9zIn_SNOIKB2MZTgLLt5dCiq6OEv-w4F3cmEoRSe5_SMZba2UIjHJTh_j54</t>
  </si>
  <si>
    <t>https://drive.google.com/open?id=1Ftgtng-fUa5nx-bS2G3et8UBl7Gymgiw</t>
  </si>
  <si>
    <t>https://docs.google.com/forms/d/e/1FAIpQLSeEYwFnViiqk1AbexVe1VDR73UApmeuvfn6Yr2vN8WXjwGu2Q/viewform?edit2=2_ABaOnuf_ZSUMzMQnzYSrSAlJUNMUmNxgca9fj8RFXY8-qsLwY05eFCSrm470at69bL8F1_M&amp;source=documentstudio&amp;timestamp=1768467198746</t>
  </si>
  <si>
    <t>2_ABaOnuf_ZSUMzMQnzYSrSAlJUNMUmNxgca9fj8RFXY8-qsLwY05eFCSrm470at69bL8F1_M</t>
  </si>
  <si>
    <t>https://drive.google.com/open?id=1q1_baWGNLCgJq_sL3zGUUu1XOiFPgrXO</t>
  </si>
  <si>
    <t>https://docs.google.com/forms/d/e/1FAIpQLSeEYwFnViiqk1AbexVe1VDR73UApmeuvfn6Yr2vN8WXjwGu2Q/viewform?edit2=2_ABaOnudDm4-Jc88RZzlWjcBb-Dvr1jq8w_JE0BpfmQqA5o0jp_XkNjhSaAGxMh-jpKLNTuI&amp;source=documentstudio&amp;timestamp=1768467239432</t>
  </si>
  <si>
    <t>2_ABaOnudDm4-Jc88RZzlWjcBb-Dvr1jq8w_JE0BpfmQqA5o0jp_XkNjhSaAGxMh-jpKLNTuI</t>
  </si>
  <si>
    <t>https://drive.google.com/open?id=1eDZ0rXfyz87j7OWbhJYww9mZubssJJ0-</t>
  </si>
  <si>
    <t>https://docs.google.com/forms/d/e/1FAIpQLSeEYwFnViiqk1AbexVe1VDR73UApmeuvfn6Yr2vN8WXjwGu2Q/viewform?edit2=2_ABaOnufF7siszGX123vtDyo8DJU7uoxUoxVPwdSfCkBM7XPGVOxpj_1NxDuMBo0Swwrbd-Q&amp;source=documentstudio&amp;timestamp=1768467280351</t>
  </si>
  <si>
    <t>2_ABaOnufF7siszGX123vtDyo8DJU7uoxUoxVPwdSfCkBM7XPGVOxpj_1NxDuMBo0Swwrbd-Q</t>
  </si>
  <si>
    <t>https://drive.google.com/open?id=1JIeIC79PASei5HIf842UWOA4HLrIJBCY</t>
  </si>
  <si>
    <t>https://docs.google.com/forms/d/e/1FAIpQLSeEYwFnViiqk1AbexVe1VDR73UApmeuvfn6Yr2vN8WXjwGu2Q/viewform?edit2=2_ABaOnudXOgyETPFMuAwh93qPsV24jSmeGJn7dknMoyQQQo7nz9SZF9YdWmdndpKsLyKhURM&amp;source=documentstudio&amp;timestamp=1768467321524</t>
  </si>
  <si>
    <t>2_ABaOnudXOgyETPFMuAwh93qPsV24jSmeGJn7dknMoyQQQo7nz9SZF9YdWmdndpKsLyKhURM</t>
  </si>
  <si>
    <t>https://drive.google.com/open?id=1mi_R88WSSK2EusgPESB4VMLPnEj8XDKX</t>
  </si>
  <si>
    <t>https://docs.google.com/forms/d/e/1FAIpQLSeEYwFnViiqk1AbexVe1VDR73UApmeuvfn6Yr2vN8WXjwGu2Q/viewform?edit2=2_ABaOnudVFBOanmjk9aAsJFGdirSSE5rmd5JGByj1d2xoyZNvmlmJ3DYCojJtKvMGRXk1QOs&amp;source=documentstudio&amp;timestamp=1768467931354</t>
  </si>
  <si>
    <t>2_ABaOnudVFBOanmjk9aAsJFGdirSSE5rmd5JGByj1d2xoyZNvmlmJ3DYCojJtKvMGRXk1QOs</t>
  </si>
  <si>
    <t>https://drive.google.com/open?id=1drybmRpUrttep0-aiC05JpW8S7bxV3-p</t>
  </si>
  <si>
    <t>https://docs.google.com/forms/d/e/1FAIpQLSeEYwFnViiqk1AbexVe1VDR73UApmeuvfn6Yr2vN8WXjwGu2Q/viewform?edit2=2_ABaOnucNIiaowvHcTbhFUX05jcTEBYqWsr7IbwRm_NbukSTTD24CsOUp21bKb1PqoCJWDHw&amp;source=documentstudio&amp;timestamp=1768785674135</t>
  </si>
  <si>
    <t>2_ABaOnucNIiaowvHcTbhFUX05jcTEBYqWsr7IbwRm_NbukSTTD24CsOUp21bKb1PqoCJWDHw</t>
  </si>
  <si>
    <t>https://drive.google.com/open?id=1qAAF0y-ch_vZzOJE-DKQR0DNKWEU3HDa</t>
  </si>
  <si>
    <t>https://docs.google.com/forms/d/e/1FAIpQLSeEYwFnViiqk1AbexVe1VDR73UApmeuvfn6Yr2vN8WXjwGu2Q/viewform?edit2=2_ABaOnucM_V1hynY3RNhwf-ZWuY38oWUXElGzflE0S6XvR6_eL6eVjwxNv3bE5jdA7aX0KtQ&amp;source=documentstudio&amp;timestamp=1768787802916</t>
  </si>
  <si>
    <t>2_ABaOnucM_V1hynY3RNhwf-ZWuY38oWUXElGzflE0S6XvR6_eL6eVjwxNv3bE5jdA7aX0KtQ</t>
  </si>
  <si>
    <t>https://drive.google.com/open?id=1Bs7JPj4qzp0lJGRyjfrgrSI2xIhLQkMT</t>
  </si>
  <si>
    <t>https://docs.google.com/forms/d/e/1FAIpQLSeEYwFnViiqk1AbexVe1VDR73UApmeuvfn6Yr2vN8WXjwGu2Q/viewform?edit2=2_ABaOnudMzzJXNZfUTBP1NNCReq1y5Aygd_VamrwbAuhZXJb_MpZHXAoLiem4MamLVGOSB1A&amp;source=documentstudio&amp;timestamp=1768787826693</t>
  </si>
  <si>
    <t>2_ABaOnudMzzJXNZfUTBP1NNCReq1y5Aygd_VamrwbAuhZXJb_MpZHXAoLiem4MamLVGOSB1A</t>
  </si>
  <si>
    <t>https://drive.google.com/open?id=1eNJLMSOAN_Wn4IgW-yrf2MVF1ry5yleM</t>
  </si>
  <si>
    <t>https://docs.google.com/forms/d/e/1FAIpQLSeEYwFnViiqk1AbexVe1VDR73UApmeuvfn6Yr2vN8WXjwGu2Q/viewform?edit2=2_ABaOnucKYY4TuuJlT_KNFtcw4jRuNXuQ50jQbbmykS-G3949WZ097CCK93x0ugtbsU9nW0k&amp;source=documentstudio&amp;timestamp=1768787850521</t>
  </si>
  <si>
    <t>2_ABaOnucKYY4TuuJlT_KNFtcw4jRuNXuQ50jQbbmykS-G3949WZ097CCK93x0ugtbsU9nW0k</t>
  </si>
  <si>
    <t>https://drive.google.com/open?id=1ZUrUTftXutT4QUi1iln_ao3hF2X887rD</t>
  </si>
  <si>
    <t>https://docs.google.com/forms/d/e/1FAIpQLSeEYwFnViiqk1AbexVe1VDR73UApmeuvfn6Yr2vN8WXjwGu2Q/viewform?edit2=2_ABaOnuc2NZOiGOdgpYEapX4UXDeUTt_FZJv36HtnNgEijwkK6otJphVCaWFAwM7JEt3gPzA&amp;source=documentstudio&amp;timestamp=1768787856806</t>
  </si>
  <si>
    <t>2_ABaOnuc2NZOiGOdgpYEapX4UXDeUTt_FZJv36HtnNgEijwkK6otJphVCaWFAwM7JEt3gPzA</t>
  </si>
  <si>
    <t>https://drive.google.com/open?id=1cgAqAi4ZWR5LF5Ep59dB6SZPBDaREs51</t>
  </si>
  <si>
    <t>https://docs.google.com/forms/d/e/1FAIpQLSeEYwFnViiqk1AbexVe1VDR73UApmeuvfn6Yr2vN8WXjwGu2Q/viewform?edit2=2_ABaOnueZzO9nOczxyfar6qRDmPrFga8Rrl_EkCNVe5RHhC81PKUzxRqY5ywDSyZ8RGhbKYg&amp;source=documentstudio&amp;timestamp=1768787873112</t>
  </si>
  <si>
    <t>2_ABaOnueZzO9nOczxyfar6qRDmPrFga8Rrl_EkCNVe5RHhC81PKUzxRqY5ywDSyZ8RGhbKYg</t>
  </si>
  <si>
    <t>https://drive.google.com/open?id=1lwK7sW6HSt_g1j7bOTjzUtBGUCQGZbQ1</t>
  </si>
  <si>
    <t>https://docs.google.com/forms/d/e/1FAIpQLSeEYwFnViiqk1AbexVe1VDR73UApmeuvfn6Yr2vN8WXjwGu2Q/viewform?edit2=2_ABaOnuf2hEqEcBDPUIK7OMG4rfLSWSqfk7bYCFQ7lI4kpsot0l3luAbhvCL9HzFQ7Sxpbvc&amp;source=documentstudio&amp;timestamp=1768787881512</t>
  </si>
  <si>
    <t>2_ABaOnuf2hEqEcBDPUIK7OMG4rfLSWSqfk7bYCFQ7lI4kpsot0l3luAbhvCL9HzFQ7Sxpbvc</t>
  </si>
  <si>
    <t>https://drive.google.com/open?id=1Tr-scgg1rux11rYxuRfQ2ee13j1oKqH8</t>
  </si>
  <si>
    <t>https://docs.google.com/forms/d/e/1FAIpQLSeEYwFnViiqk1AbexVe1VDR73UApmeuvfn6Yr2vN8WXjwGu2Q/viewform?edit2=2_ABaOnuditnCCqzHI4TtTlrx-rRLgP1DreRfgeJfsz8pnQ91wNoIKuLaXHxPQx0FLbSLa5lc&amp;source=documentstudio&amp;timestamp=1768787898061</t>
  </si>
  <si>
    <t>2_ABaOnuditnCCqzHI4TtTlrx-rRLgP1DreRfgeJfsz8pnQ91wNoIKuLaXHxPQx0FLbSLa5lc</t>
  </si>
  <si>
    <t>https://drive.google.com/open?id=1rzm9-lSk1va2Vi7_zUHQ8ZBnCt7ICcmz</t>
  </si>
  <si>
    <t>https://docs.google.com/forms/d/e/1FAIpQLSeEYwFnViiqk1AbexVe1VDR73UApmeuvfn6Yr2vN8WXjwGu2Q/viewform?edit2=2_ABaOnuexCUtYjKOKPrZqE_MIF0vsV3zUrELDB72cWzACSkc0_L9GsJmbn8Pq-CnkxoZM71k&amp;source=documentstudio&amp;timestamp=1768787920444</t>
  </si>
  <si>
    <t>2_ABaOnuexCUtYjKOKPrZqE_MIF0vsV3zUrELDB72cWzACSkc0_L9GsJmbn8Pq-CnkxoZM71k</t>
  </si>
  <si>
    <t>https://drive.google.com/open?id=1JZqygkcuV1HPC9u6pyViJcV_zV4w2Nv4</t>
  </si>
  <si>
    <t>https://docs.google.com/forms/d/e/1FAIpQLSeEYwFnViiqk1AbexVe1VDR73UApmeuvfn6Yr2vN8WXjwGu2Q/viewform?edit2=2_ABaOnufwyAT0ZoTdnUgiQbh_kOPskGnWZQ4pRf2pbVZdY3F1myKoh5ObgeIPyToyqCVinHY&amp;source=documentstudio&amp;timestamp=1768787941037</t>
  </si>
  <si>
    <t>2_ABaOnufwyAT0ZoTdnUgiQbh_kOPskGnWZQ4pRf2pbVZdY3F1myKoh5ObgeIPyToyqCVinHY</t>
  </si>
  <si>
    <t>https://drive.google.com/open?id=1gnUj7hi8NusPe3eAdMaUNPT6OBP_qeYI</t>
  </si>
  <si>
    <t>https://docs.google.com/forms/d/e/1FAIpQLSeEYwFnViiqk1AbexVe1VDR73UApmeuvfn6Yr2vN8WXjwGu2Q/viewform?edit2=2_ABaOnufOKcitzkuPznbUyzcgI80-7Om956rTgVrrgAv1R0dpBK9dSJDZA0YwscLL53kalGw&amp;source=documentstudio&amp;timestamp=1768788039993</t>
  </si>
  <si>
    <t>2_ABaOnufOKcitzkuPznbUyzcgI80-7Om956rTgVrrgAv1R0dpBK9dSJDZA0YwscLL53kalGw</t>
  </si>
  <si>
    <t>https://drive.google.com/open?id=12LF-7iR8Se4O3wslxJjdPHLiOPZISeSu</t>
  </si>
  <si>
    <t>https://docs.google.com/forms/d/e/1FAIpQLSeEYwFnViiqk1AbexVe1VDR73UApmeuvfn6Yr2vN8WXjwGu2Q/viewform?edit2=2_ABaOnud_tKv7LJypsnKQj49CBqD4zK76m_my3p1Xo-bXKM02g4YOfd-NDs5ZJhXgVq3BAnc&amp;source=documentstudio&amp;timestamp=1768788064268</t>
  </si>
  <si>
    <t>2_ABaOnud_tKv7LJypsnKQj49CBqD4zK76m_my3p1Xo-bXKM02g4YOfd-NDs5ZJhXgVq3BAnc</t>
  </si>
  <si>
    <t>https://drive.google.com/open?id=1YGpDX_oe3dLi_0TSDe9llrNQzoGF2nx5</t>
  </si>
  <si>
    <t>https://docs.google.com/forms/d/e/1FAIpQLSeEYwFnViiqk1AbexVe1VDR73UApmeuvfn6Yr2vN8WXjwGu2Q/viewform?edit2=2_ABaOnufEO8T-W74oF6qhyono95uzlMksNo-YtPCo3yr3P5ZhiXBFEFRiRhQreJa-mLgPfXY&amp;source=documentstudio&amp;timestamp=1768788088951</t>
  </si>
  <si>
    <t>2_ABaOnufEO8T-W74oF6qhyono95uzlMksNo-YtPCo3yr3P5ZhiXBFEFRiRhQreJa-mLgPfXY</t>
  </si>
  <si>
    <t>https://drive.google.com/open?id=1PdZsma58q5VrCVZIzOIXRv-UH_KBVgmN</t>
  </si>
  <si>
    <t>https://docs.google.com/forms/d/e/1FAIpQLSeEYwFnViiqk1AbexVe1VDR73UApmeuvfn6Yr2vN8WXjwGu2Q/viewform?edit2=2_ABaOnufLErT7otqvWOFk0wJvzJl84dufGHtiX7K_PmPi2Xyy49hAzLcaOtmmSIMgPTbrn0w&amp;source=documentstudio&amp;timestamp=1768788119587</t>
  </si>
  <si>
    <t>2_ABaOnufLErT7otqvWOFk0wJvzJl84dufGHtiX7K_PmPi2Xyy49hAzLcaOtmmSIMgPTbrn0w</t>
  </si>
  <si>
    <t>https://drive.google.com/open?id=1onVN1_eM_DFTwTc2Cff5xgOk1GJ18-_u</t>
  </si>
  <si>
    <t>https://docs.google.com/forms/d/e/1FAIpQLSeEYwFnViiqk1AbexVe1VDR73UApmeuvfn6Yr2vN8WXjwGu2Q/viewform?edit2=2_ABaOnudW30BYCD94Cmv1KUmWRtdnTpcOtcvU3ed6QtzrQasLpBNHqTVDGhqnYWdp7-h8ITo&amp;source=documentstudio&amp;timestamp=1768789439052</t>
  </si>
  <si>
    <t>2_ABaOnudW30BYCD94Cmv1KUmWRtdnTpcOtcvU3ed6QtzrQasLpBNHqTVDGhqnYWdp7-h8ITo</t>
  </si>
  <si>
    <t>https://drive.google.com/open?id=1V_Ka8MXIVO1pX31nOmrLx5PzwsN_9ipl</t>
  </si>
  <si>
    <t>https://docs.google.com/forms/d/e/1FAIpQLSeEYwFnViiqk1AbexVe1VDR73UApmeuvfn6Yr2vN8WXjwGu2Q/viewform?edit2=2_ABaOnud6N8vb-ap5srFL5EDgojpc_kNrLscBXb_Pwch5fVi7aVF0EgXtV_f_x5UlKqcqfpI&amp;source=documentstudio&amp;timestamp=1768789621613</t>
  </si>
  <si>
    <t>2_ABaOnud6N8vb-ap5srFL5EDgojpc_kNrLscBXb_Pwch5fVi7aVF0EgXtV_f_x5UlKqcqfpI</t>
  </si>
  <si>
    <t>https://drive.google.com/open?id=1alaVrOr61fSoFeX2-DMHFD142u7Kds9B</t>
  </si>
  <si>
    <t>https://docs.google.com/forms/d/e/1FAIpQLSeEYwFnViiqk1AbexVe1VDR73UApmeuvfn6Yr2vN8WXjwGu2Q/viewform?edit2=2_ABaOnucyjM0HJmetoMMdKnrJtfSFWNZ8V4uqkeG8SVwuPYGezXbpiel_hYquACLBtL8SwzQ&amp;source=documentstudio&amp;timestamp=1768789686624</t>
  </si>
  <si>
    <t>2_ABaOnucyjM0HJmetoMMdKnrJtfSFWNZ8V4uqkeG8SVwuPYGezXbpiel_hYquACLBtL8SwzQ</t>
  </si>
  <si>
    <t>https://drive.google.com/open?id=10JZx5IozFDaSabUqMLu9EFJKrpppPJRR</t>
  </si>
  <si>
    <t>https://docs.google.com/forms/d/e/1FAIpQLSeEYwFnViiqk1AbexVe1VDR73UApmeuvfn6Yr2vN8WXjwGu2Q/viewform?edit2=2_ABaOnuetP4Hh-DLK1LJ2hlVi5l1IYCwgL3PF-G2xWnCgqvursLB6afBdhJcPnrvnytVrn8w&amp;source=documentstudio&amp;timestamp=1768789716787</t>
  </si>
  <si>
    <t>2_ABaOnuetP4Hh-DLK1LJ2hlVi5l1IYCwgL3PF-G2xWnCgqvursLB6afBdhJcPnrvnytVrn8w</t>
  </si>
  <si>
    <t>https://drive.google.com/open?id=1Oi_JXW87TKF_1uhSEKD4OH1xT7xCi97t</t>
  </si>
  <si>
    <t>https://docs.google.com/forms/d/e/1FAIpQLSeEYwFnViiqk1AbexVe1VDR73UApmeuvfn6Yr2vN8WXjwGu2Q/viewform?edit2=2_ABaOnuedi0j7nFf5mYqPhaX_Q6-Tkldaes3vYT0lynieERP1sV0hWudz36U9SLXsguqf2Rw&amp;source=documentstudio&amp;timestamp=1768789769489</t>
  </si>
  <si>
    <t>2_ABaOnuedi0j7nFf5mYqPhaX_Q6-Tkldaes3vYT0lynieERP1sV0hWudz36U9SLXsguqf2Rw</t>
  </si>
  <si>
    <t>https://drive.google.com/open?id=13qqPORD18xbdVTow1U-aRIbw08mYVVLi</t>
  </si>
  <si>
    <t>https://docs.google.com/forms/d/e/1FAIpQLSeEYwFnViiqk1AbexVe1VDR73UApmeuvfn6Yr2vN8WXjwGu2Q/viewform?edit2=2_ABaOnuc_prliLmJyRcO_wZjExQ9RxP87P4PO1FT3pi-Hb6ZncKfj5sOhUv7VsQ3YW8DLaZk&amp;source=documentstudio&amp;timestamp=1768789803603</t>
  </si>
  <si>
    <t>2_ABaOnuc_prliLmJyRcO_wZjExQ9RxP87P4PO1FT3pi-Hb6ZncKfj5sOhUv7VsQ3YW8DLaZk</t>
  </si>
  <si>
    <t>https://drive.google.com/open?id=1xV-jl-61cBGnhL4DJ46ENbpjZKyqZ3eH</t>
  </si>
  <si>
    <t>https://docs.google.com/forms/d/e/1FAIpQLSeEYwFnViiqk1AbexVe1VDR73UApmeuvfn6Yr2vN8WXjwGu2Q/viewform?edit2=2_ABaOnudhuJFyWrxnkaN0es6817GQZIP5_wwf_Qxud6NAcx-uZ2IfxBxzm8BJHGzwce9oLoo&amp;source=documentstudio&amp;timestamp=1768789842010</t>
  </si>
  <si>
    <t>2_ABaOnudhuJFyWrxnkaN0es6817GQZIP5_wwf_Qxud6NAcx-uZ2IfxBxzm8BJHGzwce9oLoo</t>
  </si>
  <si>
    <t>https://drive.google.com/open?id=1IBKxRYuKKnWiTa1MLLeUR09OEqDa1_mz</t>
  </si>
  <si>
    <t>https://docs.google.com/forms/d/e/1FAIpQLSeEYwFnViiqk1AbexVe1VDR73UApmeuvfn6Yr2vN8WXjwGu2Q/viewform?edit2=2_ABaOnufS-efC64Jiqg7yyIAi7doVOeLLXd44IzwBR_LLAk5iIlerfxzuVD-vpkKRzNtHt9s&amp;source=documentstudio&amp;timestamp=1768791509160</t>
  </si>
  <si>
    <t>2_ABaOnufS-efC64Jiqg7yyIAi7doVOeLLXd44IzwBR_LLAk5iIlerfxzuVD-vpkKRzNtHt9s</t>
  </si>
  <si>
    <t>https://drive.google.com/open?id=1UtihGyQVmpU77yxvjzqfDOOfPx1Gyp4L</t>
  </si>
  <si>
    <t>https://docs.google.com/forms/d/e/1FAIpQLSeEYwFnViiqk1AbexVe1VDR73UApmeuvfn6Yr2vN8WXjwGu2Q/viewform?edit2=2_ABaOnufAZG7y0a3r648et0UrAuE-ayvNaloX41nhJfIWh1Tq-jrNcK6uFk2JNrnDK4YCuqU&amp;source=documentstudio&amp;timestamp=1768791578710</t>
  </si>
  <si>
    <t>2_ABaOnufAZG7y0a3r648et0UrAuE-ayvNaloX41nhJfIWh1Tq-jrNcK6uFk2JNrnDK4YCuqU</t>
  </si>
  <si>
    <t>https://drive.google.com/open?id=1aioJtIMzDcq8utkX7y1CgNcVHCAB5-Rm</t>
  </si>
  <si>
    <t>https://docs.google.com/forms/d/e/1FAIpQLSeEYwFnViiqk1AbexVe1VDR73UApmeuvfn6Yr2vN8WXjwGu2Q/viewform?edit2=2_ABaOnuftL7k7EHwtWYn6kScJ_Up8Tcx-rBjiTKRRya_jb7UykXu0aKuH_-XyDvC_LAgm0z0&amp;source=documentstudio&amp;timestamp=1768791632456</t>
  </si>
  <si>
    <t>2_ABaOnuftL7k7EHwtWYn6kScJ_Up8Tcx-rBjiTKRRya_jb7UykXu0aKuH_-XyDvC_LAgm0z0</t>
  </si>
  <si>
    <t>https://drive.google.com/open?id=1zYCK24X2JzV1Y5JS2-LWqc6UJQ-gDySY</t>
  </si>
  <si>
    <t>https://docs.google.com/forms/d/e/1FAIpQLSeEYwFnViiqk1AbexVe1VDR73UApmeuvfn6Yr2vN8WXjwGu2Q/viewform?edit2=2_ABaOnufcAS1KDJ9VTm9f9aYzaqQvphdcwI33ULRVY0_sr5fsRB_NxMi3dMs67niH9Cl7YWE&amp;source=documentstudio&amp;timestamp=1768791678013</t>
  </si>
  <si>
    <t>2_ABaOnufcAS1KDJ9VTm9f9aYzaqQvphdcwI33ULRVY0_sr5fsRB_NxMi3dMs67niH9Cl7YWE</t>
  </si>
  <si>
    <t>https://drive.google.com/open?id=1fZrVhlNeTx4BdeKAzwy0cjvHfQT2W-hC</t>
  </si>
  <si>
    <t>https://docs.google.com/forms/d/e/1FAIpQLSeEYwFnViiqk1AbexVe1VDR73UApmeuvfn6Yr2vN8WXjwGu2Q/viewform?edit2=2_ABaOnue-hIG5jldx5gHtWYt0uiAqVX7eV5dJv5qTeVRGqSSBGUbLWCgJHQP1yzCmDoaOPVM&amp;source=documentstudio&amp;timestamp=1768791725034</t>
  </si>
  <si>
    <t>2_ABaOnue-hIG5jldx5gHtWYt0uiAqVX7eV5dJv5qTeVRGqSSBGUbLWCgJHQP1yzCmDoaOPVM</t>
  </si>
  <si>
    <t>https://drive.google.com/open?id=1e71xnBwrmdRHs0xPQK3lLRJFSRr81ADC</t>
  </si>
  <si>
    <t>https://docs.google.com/forms/d/e/1FAIpQLSeEYwFnViiqk1AbexVe1VDR73UApmeuvfn6Yr2vN8WXjwGu2Q/viewform?edit2=2_ABaOnudesPUtan56lgK_gozZu0NUeWWRslpbd7QSjksYIu4k2AT2PUEfMz3V9owWDzunXfA&amp;source=documentstudio&amp;timestamp=1768791784918</t>
  </si>
  <si>
    <t>2_ABaOnudesPUtan56lgK_gozZu0NUeWWRslpbd7QSjksYIu4k2AT2PUEfMz3V9owWDzunXfA</t>
  </si>
  <si>
    <t>https://drive.google.com/open?id=1YJD6y4PE_-7G-_0GXLaAJecUgRNx2rRz</t>
  </si>
  <si>
    <t>https://docs.google.com/forms/d/e/1FAIpQLSeEYwFnViiqk1AbexVe1VDR73UApmeuvfn6Yr2vN8WXjwGu2Q/viewform?edit2=2_ABaOnuc79Sp3t3UuK6WLwY5r21PWTzbAzUpBR-rl3xSd9LV-lZPrZDRBAJuEUgpx7pKqS4M&amp;source=documentstudio&amp;timestamp=1768791831298</t>
  </si>
  <si>
    <t>2_ABaOnuc79Sp3t3UuK6WLwY5r21PWTzbAzUpBR-rl3xSd9LV-lZPrZDRBAJuEUgpx7pKqS4M</t>
  </si>
  <si>
    <t>https://drive.google.com/open?id=1S3H5Zzl1IzxrOSiYYljdt5dypOxq271h</t>
  </si>
  <si>
    <t>https://docs.google.com/forms/d/e/1FAIpQLSeEYwFnViiqk1AbexVe1VDR73UApmeuvfn6Yr2vN8WXjwGu2Q/viewform?edit2=2_ABaOnufl12Q_KYsHBwWOw1p94T8WWbU2SK7_0ssjAtYR8VxIrMocBFUjUK6hfbEA_f0yB1E&amp;source=documentstudio&amp;timestamp=1768793144723</t>
  </si>
  <si>
    <t>2_ABaOnufl12Q_KYsHBwWOw1p94T8WWbU2SK7_0ssjAtYR8VxIrMocBFUjUK6hfbEA_f0yB1E</t>
  </si>
  <si>
    <t>https://drive.google.com/open?id=1_6BVNRqICNnOF9-3Pm_c_C3PYORSHtv7</t>
  </si>
  <si>
    <t>https://docs.google.com/forms/d/e/1FAIpQLSeEYwFnViiqk1AbexVe1VDR73UApmeuvfn6Yr2vN8WXjwGu2Q/viewform?edit2=2_ABaOnue5NN3GkRfLO6QjDABQcCvacP5KpglRg9f5FTr5TnB5AmseQC-NY4o8Qcy5QnJABnI&amp;source=documentstudio&amp;timestamp=1768793174244</t>
  </si>
  <si>
    <t>2_ABaOnue5NN3GkRfLO6QjDABQcCvacP5KpglRg9f5FTr5TnB5AmseQC-NY4o8Qcy5QnJABnI</t>
  </si>
  <si>
    <t>https://drive.google.com/open?id=1YAqTX7LVsL27pWqz7JB-AP39TetpUhl2</t>
  </si>
  <si>
    <t>https://docs.google.com/forms/d/e/1FAIpQLSeEYwFnViiqk1AbexVe1VDR73UApmeuvfn6Yr2vN8WXjwGu2Q/viewform?edit2=2_ABaOnudy5Wf4nw2eQ8gSVD32lIyukAwUmw0oQdnG1yb_ljKYEYtNAsMKS7x_1G08PwPoI-4&amp;source=documentstudio&amp;timestamp=1768793197890</t>
  </si>
  <si>
    <t>2_ABaOnudy5Wf4nw2eQ8gSVD32lIyukAwUmw0oQdnG1yb_ljKYEYtNAsMKS7x_1G08PwPoI-4</t>
  </si>
  <si>
    <t>https://drive.google.com/open?id=1gAu1Q9auTnZxuR2n3U5Ye1GUBcypk9qO</t>
  </si>
  <si>
    <t>https://docs.google.com/forms/d/e/1FAIpQLSeEYwFnViiqk1AbexVe1VDR73UApmeuvfn6Yr2vN8WXjwGu2Q/viewform?edit2=2_ABaOnucr1cBHKJzuqNwYwkEmLm_ZxJai3EAnuVC2HPK4eEdmB4gGZmBEtsa_gFekjepdWSQ&amp;source=documentstudio&amp;timestamp=1768793227922</t>
  </si>
  <si>
    <t>2_ABaOnucr1cBHKJzuqNwYwkEmLm_ZxJai3EAnuVC2HPK4eEdmB4gGZmBEtsa_gFekjepdWSQ</t>
  </si>
  <si>
    <t>https://drive.google.com/open?id=11sPO2tRk2ahPf3vyvRgHiUKgC4Vt1rZ6</t>
  </si>
  <si>
    <t>https://docs.google.com/forms/d/e/1FAIpQLSeEYwFnViiqk1AbexVe1VDR73UApmeuvfn6Yr2vN8WXjwGu2Q/viewform?edit2=2_ABaOnuf40KNdbM9mwatoTgSwGSJlFSSF5p9l1FR7PBqmmht8VCHpV6bDQemcSpY8y87nZBE&amp;source=documentstudio&amp;timestamp=1768794107438</t>
  </si>
  <si>
    <t>2_ABaOnuf40KNdbM9mwatoTgSwGSJlFSSF5p9l1FR7PBqmmht8VCHpV6bDQemcSpY8y87nZBE</t>
  </si>
  <si>
    <t>https://drive.google.com/open?id=18-GeRzA1XsNKJns3KYdKOaKMluUiw-4y</t>
  </si>
  <si>
    <t>https://docs.google.com/forms/d/e/1FAIpQLSeEYwFnViiqk1AbexVe1VDR73UApmeuvfn6Yr2vN8WXjwGu2Q/viewform?edit2=2_ABaOnucc29iQOiqfxXjfXfdieBqGnKnQxYwrOtfJN9B83PO3Cg6M65YqgyA-Vbb9v33BS9g&amp;source=documentstudio&amp;timestamp=1768794201701</t>
  </si>
  <si>
    <t>2_ABaOnucc29iQOiqfxXjfXfdieBqGnKnQxYwrOtfJN9B83PO3Cg6M65YqgyA-Vbb9v33BS9g</t>
  </si>
  <si>
    <t>https://drive.google.com/open?id=14CQ1LPtGeNe4LReqhTIQ7-K_Qhn-i-t1</t>
  </si>
  <si>
    <t>https://docs.google.com/forms/d/e/1FAIpQLSeEYwFnViiqk1AbexVe1VDR73UApmeuvfn6Yr2vN8WXjwGu2Q/viewform?edit2=2_ABaOnucKqs97RaHUoDhoD3uVeoQOnn2kx61M5d4hsMOphSSKEnuF4BGFnIxvoWIH7zFD5VA&amp;source=documentstudio&amp;timestamp=1768794302376</t>
  </si>
  <si>
    <t>2_ABaOnucKqs97RaHUoDhoD3uVeoQOnn2kx61M5d4hsMOphSSKEnuF4BGFnIxvoWIH7zFD5VA</t>
  </si>
  <si>
    <t>https://drive.google.com/open?id=1XTpasIVYSKj04CbxPG0wucEFzTLC8LXf</t>
  </si>
  <si>
    <t>https://docs.google.com/forms/d/e/1FAIpQLSeEYwFnViiqk1AbexVe1VDR73UApmeuvfn6Yr2vN8WXjwGu2Q/viewform?edit2=2_ABaOnueqz2z7YgTHhAvBrE8p-AWpiE-RXZc_qPBs7Fvr0aZ5jvadixhMQcC5ewPdAn6fvHE&amp;source=documentstudio&amp;timestamp=1768794441387</t>
  </si>
  <si>
    <t>2_ABaOnueqz2z7YgTHhAvBrE8p-AWpiE-RXZc_qPBs7Fvr0aZ5jvadixhMQcC5ewPdAn6fvHE</t>
  </si>
  <si>
    <t>https://drive.google.com/open?id=1j-6qfhN0YKfN4_SJr95qiylYvqlqSUDa</t>
  </si>
  <si>
    <t>https://docs.google.com/forms/d/e/1FAIpQLSeEYwFnViiqk1AbexVe1VDR73UApmeuvfn6Yr2vN8WXjwGu2Q/viewform?edit2=2_ABaOnuec-xk_kbYr3y3dA-QaTXVMzLH56MxH1N3zVcN3fWmkYyYRz1ZT9fallHUXxDa_zsY&amp;source=documentstudio&amp;timestamp=1768794534096</t>
  </si>
  <si>
    <t>2_ABaOnuec-xk_kbYr3y3dA-QaTXVMzLH56MxH1N3zVcN3fWmkYyYRz1ZT9fallHUXxDa_zsY</t>
  </si>
  <si>
    <t>https://drive.google.com/open?id=1yQE-O7VzS1QBlvx01kEdUtSjzFo-D0_D</t>
  </si>
  <si>
    <t>https://docs.google.com/forms/d/e/1FAIpQLSeEYwFnViiqk1AbexVe1VDR73UApmeuvfn6Yr2vN8WXjwGu2Q/viewform?edit2=2_ABaOnudieSdj_hxukr8HuWhcD7N5mA8EaRnJmtFP0aSjkTftqbJ6-obUl0Ghiaip6cX1tzI&amp;source=documentstudio&amp;timestamp=1768794671106</t>
  </si>
  <si>
    <t>2_ABaOnudieSdj_hxukr8HuWhcD7N5mA8EaRnJmtFP0aSjkTftqbJ6-obUl0Ghiaip6cX1tzI</t>
  </si>
  <si>
    <t>https://drive.google.com/open?id=1oBRUstKkaEAIRdSY52Fw-5asiAIxzZlz</t>
  </si>
  <si>
    <t>https://docs.google.com/forms/d/e/1FAIpQLSeEYwFnViiqk1AbexVe1VDR73UApmeuvfn6Yr2vN8WXjwGu2Q/viewform?edit2=2_ABaOnuf14FRLDs0F-a7TVtwZTAP6zxm2gHTV3vcn7yIVSGAyuDM2T8kG6FJfzEeCVFRE3k0&amp;source=documentstudio&amp;timestamp=1768794689335</t>
  </si>
  <si>
    <t>2_ABaOnuf14FRLDs0F-a7TVtwZTAP6zxm2gHTV3vcn7yIVSGAyuDM2T8kG6FJfzEeCVFRE3k0</t>
  </si>
  <si>
    <t>https://drive.google.com/open?id=1vpXX3OIBvK9tS4OinEruSEIMMOekMta1</t>
  </si>
  <si>
    <t>https://docs.google.com/forms/d/e/1FAIpQLSeEYwFnViiqk1AbexVe1VDR73UApmeuvfn6Yr2vN8WXjwGu2Q/viewform?edit2=2_ABaOnudc2LoAxdL54UvSclOrbCnLtY_kogqsPHNSCnXxPyILS6MDYmVuQ00d_lgqm5qhNls&amp;source=documentstudio&amp;timestamp=1768794697051</t>
  </si>
  <si>
    <t>2_ABaOnudc2LoAxdL54UvSclOrbCnLtY_kogqsPHNSCnXxPyILS6MDYmVuQ00d_lgqm5qhNls</t>
  </si>
  <si>
    <t>https://drive.google.com/open?id=1gZS32EDGKLs4Ee9eT04f1pohfikaU1dS</t>
  </si>
  <si>
    <t>https://docs.google.com/forms/d/e/1FAIpQLSeEYwFnViiqk1AbexVe1VDR73UApmeuvfn6Yr2vN8WXjwGu2Q/viewform?edit2=2_ABaOnudSKicmIyIV0NG1Y3bXyWaEasdyxdI9Ks1iQVTAsuCEB9dV1ifpGLqjAY61qNqjeZU&amp;source=documentstudio&amp;timestamp=1768794722086</t>
  </si>
  <si>
    <t>2_ABaOnudSKicmIyIV0NG1Y3bXyWaEasdyxdI9Ks1iQVTAsuCEB9dV1ifpGLqjAY61qNqjeZU</t>
  </si>
  <si>
    <t>https://drive.google.com/open?id=1L9IfiFeD-EgQSX8WPOq1kD-C-y8u5sX-</t>
  </si>
  <si>
    <t>https://docs.google.com/forms/d/e/1FAIpQLSeEYwFnViiqk1AbexVe1VDR73UApmeuvfn6Yr2vN8WXjwGu2Q/viewform?edit2=2_ABaOnufjMpPV_Xr_58Z5jHdAYfLA9Zj_P-VtkPvq9zVUaq43SMq365ZbPYlik5hQbBAjhgA&amp;source=documentstudio&amp;timestamp=1768794747617</t>
  </si>
  <si>
    <t>2_ABaOnufjMpPV_Xr_58Z5jHdAYfLA9Zj_P-VtkPvq9zVUaq43SMq365ZbPYlik5hQbBAjhgA</t>
  </si>
  <si>
    <t>https://drive.google.com/open?id=1wxLFFs3KVX2yncTjGJPyk5n9nss7ruD3</t>
  </si>
  <si>
    <t>https://docs.google.com/forms/d/e/1FAIpQLSeEYwFnViiqk1AbexVe1VDR73UApmeuvfn6Yr2vN8WXjwGu2Q/viewform?edit2=2_ABaOnufzXwlr3dXAmFkUVO0Df5ciGq8oSwlW4uwDSh2iQbNBOGQPevpgD2dTNoMj0KC_loI&amp;source=documentstudio&amp;timestamp=1768794781916</t>
  </si>
  <si>
    <t>2_ABaOnufzXwlr3dXAmFkUVO0Df5ciGq8oSwlW4uwDSh2iQbNBOGQPevpgD2dTNoMj0KC_loI</t>
  </si>
  <si>
    <t>https://drive.google.com/open?id=1xZTsG_FLkadrD5PyvG9tFmC7IZDjSPrf</t>
  </si>
  <si>
    <t>https://docs.google.com/forms/d/e/1FAIpQLSeEYwFnViiqk1AbexVe1VDR73UApmeuvfn6Yr2vN8WXjwGu2Q/viewform?edit2=2_ABaOnueh71hoNsjHUlYBWz2tjlEi9GsyA4qicdvfioOxG06f9rJeswVQRq7ycyPkk28wMpU&amp;source=documentstudio&amp;timestamp=1768794805627</t>
  </si>
  <si>
    <t>2_ABaOnueh71hoNsjHUlYBWz2tjlEi9GsyA4qicdvfioOxG06f9rJeswVQRq7ycyPkk28wMpU</t>
  </si>
  <si>
    <t>https://drive.google.com/open?id=1i0VUuzNrG62bYlYNz3fBY-_J2otDAiXx</t>
  </si>
  <si>
    <t>https://docs.google.com/forms/d/e/1FAIpQLSeEYwFnViiqk1AbexVe1VDR73UApmeuvfn6Yr2vN8WXjwGu2Q/viewform?edit2=2_ABaOnudBEoMBYM601zaH3hboZNBcjL0kIJzoP_OGF2uXwIWs6tk2BCqmu7FqUxXC-ObnNfg&amp;source=documentstudio&amp;timestamp=1768794843949</t>
  </si>
  <si>
    <t>2_ABaOnudBEoMBYM601zaH3hboZNBcjL0kIJzoP_OGF2uXwIWs6tk2BCqmu7FqUxXC-ObnNfg</t>
  </si>
  <si>
    <t>https://drive.google.com/open?id=1eww8VQUX8SMy7mSFzZyfdbVzCW1XJGWn</t>
  </si>
  <si>
    <t>https://docs.google.com/forms/d/e/1FAIpQLSeEYwFnViiqk1AbexVe1VDR73UApmeuvfn6Yr2vN8WXjwGu2Q/viewform?edit2=2_ABaOnucVwPdEmBFTCF6bXHfLiV4tDqV6iceK-7W5-XhkNw9i2FkibAFRmesn8aIORHnC5AM&amp;source=documentstudio&amp;timestamp=1768794868799</t>
  </si>
  <si>
    <t>2_ABaOnucVwPdEmBFTCF6bXHfLiV4tDqV6iceK-7W5-XhkNw9i2FkibAFRmesn8aIORHnC5AM</t>
  </si>
  <si>
    <t>https://drive.google.com/open?id=1moX0TaAwbpikuX12g-4yNdvjPEiuk09W</t>
  </si>
  <si>
    <t>https://docs.google.com/forms/d/e/1FAIpQLSeEYwFnViiqk1AbexVe1VDR73UApmeuvfn6Yr2vN8WXjwGu2Q/viewform?edit2=2_ABaOnucr1yLZuQBOhVo-hiNw71RF1Me4w_e45uY-xu-Z_j4_Yw9WAw_8mWnB4FVGZ4mfSjw&amp;source=documentstudio&amp;timestamp=1768797671181</t>
  </si>
  <si>
    <t>2_ABaOnucr1yLZuQBOhVo-hiNw71RF1Me4w_e45uY-xu-Z_j4_Yw9WAw_8mWnB4FVGZ4mfSjw</t>
  </si>
  <si>
    <t>https://drive.google.com/open?id=1KBiPGvD9DSVEE3lV6jlV9LtwmPLOHKrz</t>
  </si>
  <si>
    <t>https://docs.google.com/forms/d/e/1FAIpQLSeEYwFnViiqk1AbexVe1VDR73UApmeuvfn6Yr2vN8WXjwGu2Q/viewform?edit2=2_ABaOnufZZ2wVp1DzwIHd_LDk0ij_uha1Y_HO3O1m2yZttyjJ0G9q5JpAlZJ6a2vpXXewDZM&amp;source=documentstudio&amp;timestamp=1768797708111</t>
  </si>
  <si>
    <t>2_ABaOnufZZ2wVp1DzwIHd_LDk0ij_uha1Y_HO3O1m2yZttyjJ0G9q5JpAlZJ6a2vpXXewDZM</t>
  </si>
  <si>
    <t>https://drive.google.com/open?id=1k6fnaFvqn-dEgK4QVisoMv5DEzmKMCxY</t>
  </si>
  <si>
    <t>https://docs.google.com/forms/d/e/1FAIpQLSeEYwFnViiqk1AbexVe1VDR73UApmeuvfn6Yr2vN8WXjwGu2Q/viewform?edit2=2_ABaOnueuEnoUoSyFf33hDJD61TeCISTvVXTxgwIdJJKux-X7AJEolFjOagksIvl94CaHjVI&amp;source=documentstudio&amp;timestamp=1768797742652</t>
  </si>
  <si>
    <t>2_ABaOnueuEnoUoSyFf33hDJD61TeCISTvVXTxgwIdJJKux-X7AJEolFjOagksIvl94CaHjVI</t>
  </si>
  <si>
    <t>https://drive.google.com/open?id=1PNYYsGhKjOHRkE99CGzIEWs3XYBBnSy4</t>
  </si>
  <si>
    <t>https://docs.google.com/forms/d/e/1FAIpQLSeEYwFnViiqk1AbexVe1VDR73UApmeuvfn6Yr2vN8WXjwGu2Q/viewform?edit2=2_ABaOnueWo_o5FjWkkKTjtcLi8w9dXVczMe7tJhHt_gfBazvkYGhJqWkcU7Ho0DMdMuaLF1w&amp;source=documentstudio&amp;timestamp=1768797779140</t>
  </si>
  <si>
    <t>2_ABaOnueWo_o5FjWkkKTjtcLi8w9dXVczMe7tJhHt_gfBazvkYGhJqWkcU7Ho0DMdMuaLF1w</t>
  </si>
  <si>
    <t>Retno Dian Ikawati</t>
  </si>
  <si>
    <t>https://drive.google.com/open?id=1D_pbicZANCLfu8_dFz2Dt5NgW9EoI5BE</t>
  </si>
  <si>
    <t>https://docs.google.com/forms/d/e/1FAIpQLSeEYwFnViiqk1AbexVe1VDR73UApmeuvfn6Yr2vN8WXjwGu2Q/viewform?edit2=2_ABaOnue-2GX5sP8ecWBDWlqCZY5dvusteFEmxDggVtvnTewpbM1tvsiyatWU20mF18rZc48&amp;source=documentstudio&amp;timestamp=1768803297411</t>
  </si>
  <si>
    <t>2_ABaOnue-2GX5sP8ecWBDWlqCZY5dvusteFEmxDggVtvnTewpbM1tvsiyatWU20mF18rZc48</t>
  </si>
  <si>
    <t>https://drive.google.com/open?id=1sAnwAyKRaX1rQKsvGFj1h5IZ0rSn-Xdj</t>
  </si>
  <si>
    <t>https://docs.google.com/forms/d/e/1FAIpQLSeEYwFnViiqk1AbexVe1VDR73UApmeuvfn6Yr2vN8WXjwGu2Q/viewform?edit2=2_ABaOnuetOX8CmLN_zogYHhTJV1WM2b3vyHHIuW4SeztvhPZho_-f5Ihul7u3SKBz-lue_e0&amp;source=documentstudio&amp;timestamp=1768803924922</t>
  </si>
  <si>
    <t>2_ABaOnuetOX8CmLN_zogYHhTJV1WM2b3vyHHIuW4SeztvhPZho_-f5Ihul7u3SKBz-lue_e0</t>
  </si>
  <si>
    <t>https://drive.google.com/open?id=1fn5hJeLbr7AwoSuxEPvMMpr0A0njtO8o</t>
  </si>
  <si>
    <t>https://docs.google.com/forms/d/e/1FAIpQLSeEYwFnViiqk1AbexVe1VDR73UApmeuvfn6Yr2vN8WXjwGu2Q/viewform?edit2=2_ABaOnudXDcWRA7JXWVve60hz0dKBatesneCyuMw2FekDBvDtrvNum-PepRr5NZR_2hfww2o&amp;source=documentstudio&amp;timestamp=1768804458834</t>
  </si>
  <si>
    <t>2_ABaOnudXDcWRA7JXWVve60hz0dKBatesneCyuMw2FekDBvDtrvNum-PepRr5NZR_2hfww2o</t>
  </si>
  <si>
    <t>https://drive.google.com/open?id=10BMNjEqyzFwH9Lfe_nBhRC9jY2hSIBqo</t>
  </si>
  <si>
    <t>https://docs.google.com/forms/d/e/1FAIpQLSeEYwFnViiqk1AbexVe1VDR73UApmeuvfn6Yr2vN8WXjwGu2Q/viewform?edit2=2_ABaOnufC2k-8cQEOiwpOyO5iqCbh8qEefgpd8t2eJUOiuOL3_8XQK5Kvq1MGmc9ABPBc1Q4&amp;source=documentstudio&amp;timestamp=1768813802127</t>
  </si>
  <si>
    <t>2_ABaOnufC2k-8cQEOiwpOyO5iqCbh8qEefgpd8t2eJUOiuOL3_8XQK5Kvq1MGmc9ABPBc1Q4</t>
  </si>
  <si>
    <t>https://drive.google.com/open?id=1M8HEdi76qg8l8CyVg6nwf3cs0jUQmOoX</t>
  </si>
  <si>
    <t>https://docs.google.com/forms/d/e/1FAIpQLSeEYwFnViiqk1AbexVe1VDR73UApmeuvfn6Yr2vN8WXjwGu2Q/viewform?edit2=2_ABaOnuetjajGwj97eHN2IcowzXIyugpssS34Pj_QzTq3_1Uk2qK6aj2i2ZLvAIAf83WDAoE&amp;source=documentstudio&amp;timestamp=1768813831548</t>
  </si>
  <si>
    <t>2_ABaOnuetjajGwj97eHN2IcowzXIyugpssS34Pj_QzTq3_1Uk2qK6aj2i2ZLvAIAf83WDAoE</t>
  </si>
  <si>
    <t>https://drive.google.com/open?id=1EF6PaTF1nK07rMD74LhAUzhGRKB-e--b</t>
  </si>
  <si>
    <t>https://docs.google.com/forms/d/e/1FAIpQLSeEYwFnViiqk1AbexVe1VDR73UApmeuvfn6Yr2vN8WXjwGu2Q/viewform?edit2=2_ABaOnueUcVqiV5ExM-dFwVdPE8IYAGfJrUjZ1dpnCQ2iO_XrwfiVdPeSisc9paszcRRLlvo&amp;source=documentstudio&amp;timestamp=1768813859161</t>
  </si>
  <si>
    <t>2_ABaOnueUcVqiV5ExM-dFwVdPE8IYAGfJrUjZ1dpnCQ2iO_XrwfiVdPeSisc9paszcRRLlvo</t>
  </si>
  <si>
    <t>https://drive.google.com/open?id=1RFb_i6TSoDJxupXoZpijfaadlSTj_X2V</t>
  </si>
  <si>
    <t>https://docs.google.com/forms/d/e/1FAIpQLSeEYwFnViiqk1AbexVe1VDR73UApmeuvfn6Yr2vN8WXjwGu2Q/viewform?edit2=2_ABaOnufoH2MstOve5_ojvCHFl9BlRrrJridJcdsWCmVEUyDfLn_X6zz-o_YRMgQscLK6XeE&amp;source=documentstudio&amp;timestamp=1768813905490</t>
  </si>
  <si>
    <t>2_ABaOnufoH2MstOve5_ojvCHFl9BlRrrJridJcdsWCmVEUyDfLn_X6zz-o_YRMgQscLK6XeE</t>
  </si>
  <si>
    <t>https://drive.google.com/open?id=1BCXLZCVrfvg_94gbWM40ccHnwrKWSUKJ</t>
  </si>
  <si>
    <t>https://docs.google.com/forms/d/e/1FAIpQLSeEYwFnViiqk1AbexVe1VDR73UApmeuvfn6Yr2vN8WXjwGu2Q/viewform?edit2=2_ABaOnudVvsyHEC96-8QI-ERP_uDFGF8orbUPq6r4RDp_Eq3zwiGAaALE5opBD1jEi9xQp8U&amp;source=documentstudio&amp;timestamp=1768813943936</t>
  </si>
  <si>
    <t>2_ABaOnudVvsyHEC96-8QI-ERP_uDFGF8orbUPq6r4RDp_Eq3zwiGAaALE5opBD1jEi9xQp8U</t>
  </si>
  <si>
    <t>https://drive.google.com/open?id=1SnbgWgIDegV57hlnwp_5qHmhZpF8Rw-r</t>
  </si>
  <si>
    <t>https://docs.google.com/forms/d/e/1FAIpQLSeEYwFnViiqk1AbexVe1VDR73UApmeuvfn6Yr2vN8WXjwGu2Q/viewform?edit2=2_ABaOnufytNl3gQlJ9MwMdnMTZR78g9wG_uy9jjZlIFncJ59k0ZdkRGINcJRIEHHZJWdvGXI&amp;source=documentstudio&amp;timestamp=1768813973388</t>
  </si>
  <si>
    <t>2_ABaOnufytNl3gQlJ9MwMdnMTZR78g9wG_uy9jjZlIFncJ59k0ZdkRGINcJRIEHHZJWdvGXI</t>
  </si>
  <si>
    <t>https://drive.google.com/open?id=1aChPGhuBy7cNfG7cYmzBVZ0ecevjuPKa</t>
  </si>
  <si>
    <t>https://docs.google.com/forms/d/e/1FAIpQLSeEYwFnViiqk1AbexVe1VDR73UApmeuvfn6Yr2vN8WXjwGu2Q/viewform?edit2=2_ABaOnueYZUnjWhrD7-cjELXS03FOG2mt6Ke4QIMOqU7b__k_Rcg36lboU8RxV9CBCSjJyeM&amp;source=documentstudio&amp;timestamp=1768813998978</t>
  </si>
  <si>
    <t>2_ABaOnueYZUnjWhrD7-cjELXS03FOG2mt6Ke4QIMOqU7b__k_Rcg36lboU8RxV9CBCSjJyeM</t>
  </si>
  <si>
    <t>https://drive.google.com/open?id=1uNpw0uLrySC61cermHA3-HkInCV9rIXA</t>
  </si>
  <si>
    <t>https://docs.google.com/forms/d/e/1FAIpQLSeEYwFnViiqk1AbexVe1VDR73UApmeuvfn6Yr2vN8WXjwGu2Q/viewform?edit2=2_ABaOnudjd-lbYBDXWmD871cMR0deGsSOEehG92RxqAGEUWDCmEsSNZJRXzwx1CisJEPcfoY&amp;source=documentstudio&amp;timestamp=1768882161801</t>
  </si>
  <si>
    <t>2_ABaOnudjd-lbYBDXWmD871cMR0deGsSOEehG92RxqAGEUWDCmEsSNZJRXzwx1CisJEPcfoY</t>
  </si>
  <si>
    <t>https://drive.google.com/open?id=1qS3vPt8HLjpdj2R2GC2rWQPcJUPVOxhn</t>
  </si>
  <si>
    <t>https://docs.google.com/forms/d/e/1FAIpQLSeEYwFnViiqk1AbexVe1VDR73UApmeuvfn6Yr2vN8WXjwGu2Q/viewform?edit2=2_ABaOnud_5KAqzyTxASHykpHfaT7ql5kTeUA1NgUsE8DU7GiWCTer1If285gqRzvfJpZcgkI&amp;source=documentstudio&amp;timestamp=1768882227746</t>
  </si>
  <si>
    <t>2_ABaOnud_5KAqzyTxASHykpHfaT7ql5kTeUA1NgUsE8DU7GiWCTer1If285gqRzvfJpZcgkI</t>
  </si>
  <si>
    <t>https://drive.google.com/open?id=1L7vr4ASrpVCRD0AP61YdO4Nei6H2YGDd</t>
  </si>
  <si>
    <t>https://docs.google.com/forms/d/e/1FAIpQLSeEYwFnViiqk1AbexVe1VDR73UApmeuvfn6Yr2vN8WXjwGu2Q/viewform?edit2=2_ABaOnueIcmYoGrZ-qDVZxQ2N2KG4SjIDraq4EMdiGMB7a9o8-l0ebyR5L8QUdNNNnGfZGbY&amp;source=documentstudio&amp;timestamp=1768882295448</t>
  </si>
  <si>
    <t>2_ABaOnueIcmYoGrZ-qDVZxQ2N2KG4SjIDraq4EMdiGMB7a9o8-l0ebyR5L8QUdNNNnGfZGbY</t>
  </si>
  <si>
    <t>https://drive.google.com/open?id=1MQdFp25brcuUS7lDQLx4ifoFgH5Xujkr</t>
  </si>
  <si>
    <t>https://docs.google.com/forms/d/e/1FAIpQLSeEYwFnViiqk1AbexVe1VDR73UApmeuvfn6Yr2vN8WXjwGu2Q/viewform?edit2=2_ABaOnucRFuqQieQvWNS7jzTGWpnzPl8x548BSirT6tizjDnjP2p7zmtSNoMn5gH7RZFIhE8&amp;source=documentstudio&amp;timestamp=1768882443057</t>
  </si>
  <si>
    <t>2_ABaOnucRFuqQieQvWNS7jzTGWpnzPl8x548BSirT6tizjDnjP2p7zmtSNoMn5gH7RZFIhE8</t>
  </si>
  <si>
    <t>https://drive.google.com/open?id=12AzKCTMI2mnfY20XxShcK7XEGZGoykkN</t>
  </si>
  <si>
    <t>https://docs.google.com/forms/d/e/1FAIpQLSeEYwFnViiqk1AbexVe1VDR73UApmeuvfn6Yr2vN8WXjwGu2Q/viewform?edit2=2_ABaOnue6ghjsCyg0XLRucPEzDChS2b76J6_OoNE6wQPLoeA-7eFEvfsi4cDPP-qYom7XYUI&amp;source=documentstudio&amp;timestamp=1768884628570</t>
  </si>
  <si>
    <t>2_ABaOnue6ghjsCyg0XLRucPEzDChS2b76J6_OoNE6wQPLoeA-7eFEvfsi4cDPP-qYom7XYUI</t>
  </si>
  <si>
    <t>https://drive.google.com/open?id=1Hv2gtrD-g3N5qFj6OTUKJ7-u7ctrxew9</t>
  </si>
  <si>
    <t>https://docs.google.com/forms/d/e/1FAIpQLSeEYwFnViiqk1AbexVe1VDR73UApmeuvfn6Yr2vN8WXjwGu2Q/viewform?edit2=2_ABaOnueXGlGkskQUSsGYZNr7miJLTrEhgd9zk9rWWxwc5AEX3-7PbJ9vnHhseH2UwnVai6w&amp;source=documentstudio&amp;timestamp=1768885962779</t>
  </si>
  <si>
    <t>2_ABaOnueXGlGkskQUSsGYZNr7miJLTrEhgd9zk9rWWxwc5AEX3-7PbJ9vnHhseH2UwnVai6w</t>
  </si>
  <si>
    <t>https://drive.google.com/open?id=1BoRpcun-Ws6B_ADctPWZwJsuWlcE-0c4</t>
  </si>
  <si>
    <t>https://docs.google.com/forms/d/e/1FAIpQLSeEYwFnViiqk1AbexVe1VDR73UApmeuvfn6Yr2vN8WXjwGu2Q/viewform?edit2=2_ABaOnucajR1YqFXW-cDZNViu5iXCfQ1zdzpSbX6lABrgbtL35TLjtLZQG7Mih9qW4RBLf_E&amp;source=documentstudio&amp;timestamp=1768888571362</t>
  </si>
  <si>
    <t>2_ABaOnucajR1YqFXW-cDZNViu5iXCfQ1zdzpSbX6lABrgbtL35TLjtLZQG7Mih9qW4RBLf_E</t>
  </si>
  <si>
    <t>https://drive.google.com/open?id=1-L5TremCRB1yk0cUx2zuzFvmEDzW6KAj</t>
  </si>
  <si>
    <t>https://docs.google.com/forms/d/e/1FAIpQLSeEYwFnViiqk1AbexVe1VDR73UApmeuvfn6Yr2vN8WXjwGu2Q/viewform?edit2=2_ABaOnuctXvUmkQi6qUpoO61FGazTwphDMr1CdFAx4ljyXF6HlpbtTJBYOWMZ-IL66W-OG1Q&amp;source=documentstudio&amp;timestamp=1768888605776</t>
  </si>
  <si>
    <t>2_ABaOnuctXvUmkQi6qUpoO61FGazTwphDMr1CdFAx4ljyXF6HlpbtTJBYOWMZ-IL66W-OG1Q</t>
  </si>
  <si>
    <t>https://drive.google.com/open?id=1c5nMazEkUPywNjvtL3DQPaJoycwBoP4k</t>
  </si>
  <si>
    <t>https://docs.google.com/forms/d/e/1FAIpQLSeEYwFnViiqk1AbexVe1VDR73UApmeuvfn6Yr2vN8WXjwGu2Q/viewform?edit2=2_ABaOnudyA3BtL8ZIC5hx7jhvoUfJYdeV_j2gk0rwJfqvCovqIYs3NRBDlnyR8WvqTYxDYDc&amp;source=documentstudio&amp;timestamp=1768888644075</t>
  </si>
  <si>
    <t>2_ABaOnudyA3BtL8ZIC5hx7jhvoUfJYdeV_j2gk0rwJfqvCovqIYs3NRBDlnyR8WvqTYxDYDc</t>
  </si>
  <si>
    <t>https://drive.google.com/open?id=1nYAvBiaye2VPQFrZAiufFJdcoiF-SOMt</t>
  </si>
  <si>
    <t>https://docs.google.com/forms/d/e/1FAIpQLSeEYwFnViiqk1AbexVe1VDR73UApmeuvfn6Yr2vN8WXjwGu2Q/viewform?edit2=2_ABaOnue1jpaHz70E8KPTwNRl1vDT1GIU_dz7MZMlHQjuc10WZV9ImsWXOkdd5WWkiyQMlgA&amp;source=documentstudio&amp;timestamp=1768888676360</t>
  </si>
  <si>
    <t>2_ABaOnue1jpaHz70E8KPTwNRl1vDT1GIU_dz7MZMlHQjuc10WZV9ImsWXOkdd5WWkiyQMlgA</t>
  </si>
  <si>
    <t>https://drive.google.com/open?id=1rKc2-NzkibFq3hu7_LstBZOCGNwyU5Ks</t>
  </si>
  <si>
    <t>https://docs.google.com/forms/d/e/1FAIpQLSeEYwFnViiqk1AbexVe1VDR73UApmeuvfn6Yr2vN8WXjwGu2Q/viewform?edit2=2_ABaOnueXBvA4dMbVHbmGDFQr4bBuu7qKz_yq5NEVnWgX0bpv1N9kwykTl5I2dSBcYEXeM5s&amp;source=documentstudio&amp;timestamp=1768960175027</t>
  </si>
  <si>
    <t>2_ABaOnueXBvA4dMbVHbmGDFQr4bBuu7qKz_yq5NEVnWgX0bpv1N9kwykTl5I2dSBcYEXeM5s</t>
  </si>
  <si>
    <t>https://drive.google.com/open?id=1OrJYbSPH569YTktsYuob6hWg3NL0zk6M</t>
  </si>
  <si>
    <t>https://docs.google.com/forms/d/e/1FAIpQLSeEYwFnViiqk1AbexVe1VDR73UApmeuvfn6Yr2vN8WXjwGu2Q/viewform?edit2=2_ABaOnudeckZ6H-hBkuYHmAeXJMa_knU4TRMabXUJo4ykdp29gdOQvJ2pT9sIu74GmB_aKY4&amp;source=documentstudio&amp;timestamp=1768960339990</t>
  </si>
  <si>
    <t>2_ABaOnudeckZ6H-hBkuYHmAeXJMa_knU4TRMabXUJo4ykdp29gdOQvJ2pT9sIu74GmB_aKY4</t>
  </si>
  <si>
    <t>https://drive.google.com/open?id=1nxh9ZsIeJRDYdtOS6AzUSkfqcApQByVZ</t>
  </si>
  <si>
    <t>https://docs.google.com/forms/d/e/1FAIpQLSeEYwFnViiqk1AbexVe1VDR73UApmeuvfn6Yr2vN8WXjwGu2Q/viewform?edit2=2_ABaOnuc2z5_EmBM7EgEQbBEOg0ex_6M9HXlklemu18V9K3SC54TZ2Jzur8V--4sdxH1nvK8&amp;source=documentstudio&amp;timestamp=1768960498089</t>
  </si>
  <si>
    <t>2_ABaOnuc2z5_EmBM7EgEQbBEOg0ex_6M9HXlklemu18V9K3SC54TZ2Jzur8V--4sdxH1nvK8</t>
  </si>
  <si>
    <t>https://drive.google.com/open?id=1KVWOCaT6WYVZnCovDOCBIBGVCRvql-UQ</t>
  </si>
  <si>
    <t>https://docs.google.com/forms/d/e/1FAIpQLSeEYwFnViiqk1AbexVe1VDR73UApmeuvfn6Yr2vN8WXjwGu2Q/viewform?edit2=2_ABaOnudLlj_LPBUKDZ8wR0gE3VfYM-Al75HbwOa_62RxHon5OQYhaEDr4tG5CFQO0tqi4gk&amp;source=documentstudio&amp;timestamp=1768960523012</t>
  </si>
  <si>
    <t>2_ABaOnudLlj_LPBUKDZ8wR0gE3VfYM-Al75HbwOa_62RxHon5OQYhaEDr4tG5CFQO0tqi4gk</t>
  </si>
  <si>
    <t>https://drive.google.com/open?id=1Bcq9rtWy0DRwQrG9Buz-30si1KB3jYw6</t>
  </si>
  <si>
    <t>https://docs.google.com/forms/d/e/1FAIpQLSeEYwFnViiqk1AbexVe1VDR73UApmeuvfn6Yr2vN8WXjwGu2Q/viewform?edit2=2_ABaOnueYuIOxGJyB35n98eg7W2IoM0wQrFuLdZE6SCal507re5RgsK4DVKwJQNrNJ9VGyY8&amp;source=documentstudio&amp;timestamp=1768960549571</t>
  </si>
  <si>
    <t>2_ABaOnueYuIOxGJyB35n98eg7W2IoM0wQrFuLdZE6SCal507re5RgsK4DVKwJQNrNJ9VGyY8</t>
  </si>
  <si>
    <t>https://drive.google.com/open?id=1Tjgbs3RIsRTRJCRluaRmqqBx5amsrVh_</t>
  </si>
  <si>
    <t>https://docs.google.com/forms/d/e/1FAIpQLSeEYwFnViiqk1AbexVe1VDR73UApmeuvfn6Yr2vN8WXjwGu2Q/viewform?edit2=2_ABaOnueaGHqdSeD1J7cY9g38lB_1ejPdNCJ3phvP2f9XWSN_bGI0Lgglor43lvUQGq5Qdo0&amp;source=documentstudio&amp;timestamp=1768960572566</t>
  </si>
  <si>
    <t>2_ABaOnueaGHqdSeD1J7cY9g38lB_1ejPdNCJ3phvP2f9XWSN_bGI0Lgglor43lvUQGq5Qdo0</t>
  </si>
  <si>
    <t>https://drive.google.com/open?id=1zo5cTynGr7DjU4VrEOYCD1R1JSzBDDXN</t>
  </si>
  <si>
    <t>https://docs.google.com/forms/d/e/1FAIpQLSeEYwFnViiqk1AbexVe1VDR73UApmeuvfn6Yr2vN8WXjwGu2Q/viewform?edit2=2_ABaOnucvpalci9W6GWh9Mn4WneGGp3tFrKm0B-PXzE75AuuulOC1rU85DfDyFTFl1QMs_tE&amp;source=documentstudio&amp;timestamp=1768960600866</t>
  </si>
  <si>
    <t>2_ABaOnucvpalci9W6GWh9Mn4WneGGp3tFrKm0B-PXzE75AuuulOC1rU85DfDyFTFl1QMs_tE</t>
  </si>
  <si>
    <t>https://drive.google.com/open?id=17WKVAMSVpP7QjCZm2XxMfY7ppnaJH_oV</t>
  </si>
  <si>
    <t>https://docs.google.com/forms/d/e/1FAIpQLSeEYwFnViiqk1AbexVe1VDR73UApmeuvfn6Yr2vN8WXjwGu2Q/viewform?edit2=2_ABaOnuerwC2NDwwDpctHr5gKU_LZhVkqO8V41kXzqfS8_2CPb9w17v8QZ4siFPSIV4rLJwc&amp;source=documentstudio&amp;timestamp=1768960625459</t>
  </si>
  <si>
    <t>2_ABaOnuerwC2NDwwDpctHr5gKU_LZhVkqO8V41kXzqfS8_2CPb9w17v8QZ4siFPSIV4rLJwc</t>
  </si>
  <si>
    <t>https://drive.google.com/open?id=1SIXThAtbXlHeNVwqzZu7D3Vkp0G6qo66</t>
  </si>
  <si>
    <t>https://docs.google.com/forms/d/e/1FAIpQLSeEYwFnViiqk1AbexVe1VDR73UApmeuvfn6Yr2vN8WXjwGu2Q/viewform?edit2=2_ABaOnudyYAW7D9AspzoKSiy4DLiOM2QQ-s2g69gnIckEJpjClMu_pcKeyyhYHVUyl7n4O9g&amp;source=documentstudio&amp;timestamp=1768960649266</t>
  </si>
  <si>
    <t>2_ABaOnudyYAW7D9AspzoKSiy4DLiOM2QQ-s2g69gnIckEJpjClMu_pcKeyyhYHVUyl7n4O9g</t>
  </si>
  <si>
    <t>https://drive.google.com/open?id=1TG6TFUTGLoTUiGMn9tPq0aj_P9OLZPg9</t>
  </si>
  <si>
    <t>https://docs.google.com/forms/d/e/1FAIpQLSeEYwFnViiqk1AbexVe1VDR73UApmeuvfn6Yr2vN8WXjwGu2Q/viewform?edit2=2_ABaOnudmPeyqoLnwj6zM_U-fdmOYSvECagUIyuWhyAZ1oTechm1SDJo6N3vEbjVrTBMInrk&amp;source=documentstudio&amp;timestamp=1768960734808</t>
  </si>
  <si>
    <t>2_ABaOnudmPeyqoLnwj6zM_U-fdmOYSvECagUIyuWhyAZ1oTechm1SDJo6N3vEbjVrTBMInrk</t>
  </si>
  <si>
    <t>https://drive.google.com/open?id=19MSrsxzMrstKIkMiBen2Ac-4jhkaj7jV</t>
  </si>
  <si>
    <t>https://docs.google.com/forms/d/e/1FAIpQLSeEYwFnViiqk1AbexVe1VDR73UApmeuvfn6Yr2vN8WXjwGu2Q/viewform?edit2=2_ABaOnudfZ_JIoMJhJuqVwprUtTRkX6B-iVk8-GS4QWDMMVNTkgKUWCOCR-wTIhDh-i4bzfY&amp;source=documentstudio&amp;timestamp=1768960767188</t>
  </si>
  <si>
    <t>2_ABaOnudfZ_JIoMJhJuqVwprUtTRkX6B-iVk8-GS4QWDMMVNTkgKUWCOCR-wTIhDh-i4bzfY</t>
  </si>
  <si>
    <t>https://drive.google.com/open?id=1lAcSvNzaZf2YWW9uS8MMONvDRI4huOCl</t>
  </si>
  <si>
    <t>https://docs.google.com/forms/d/e/1FAIpQLSeEYwFnViiqk1AbexVe1VDR73UApmeuvfn6Yr2vN8WXjwGu2Q/viewform?edit2=2_ABaOnudWTYgdmKkYtrMgtb85Cd2R03vA9huAG27Oj-TM5O6ggXzkz7NlDCXDueWgBX9km-o&amp;source=documentstudio&amp;timestamp=1769391643474</t>
  </si>
  <si>
    <t>2_ABaOnudWTYgdmKkYtrMgtb85Cd2R03vA9huAG27Oj-TM5O6ggXzkz7NlDCXDueWgBX9km-o</t>
  </si>
  <si>
    <t>https://drive.google.com/open?id=13HRoTSLN0u8OCDcT3gwVyXvpBUvpxaj5</t>
  </si>
  <si>
    <t>https://docs.google.com/forms/d/e/1FAIpQLSeEYwFnViiqk1AbexVe1VDR73UApmeuvfn6Yr2vN8WXjwGu2Q/viewform?edit2=2_ABaOnucyVeruQ494PFzWrU5G7sDxykWMVDb-UDsIBn34K425oQ6yxoMX_uT2Rj_nY0H2y_Q&amp;source=documentstudio&amp;timestamp=1769392192107</t>
  </si>
  <si>
    <t>2_ABaOnucyVeruQ494PFzWrU5G7sDxykWMVDb-UDsIBn34K425oQ6yxoMX_uT2Rj_nY0H2y_Q</t>
  </si>
  <si>
    <t>https://drive.google.com/open?id=1xBSYl3K7_GQFtLg5Jiw0j_cXaMcON_fH</t>
  </si>
  <si>
    <t>https://docs.google.com/forms/d/e/1FAIpQLSeEYwFnViiqk1AbexVe1VDR73UApmeuvfn6Yr2vN8WXjwGu2Q/viewform?edit2=2_ABaOnudkBqVXuSxukkErxkMTij3H_Uy_QBP1MX8rDfV6AInvWtWnh3vwmWvyHk3KggzesOU&amp;source=documentstudio&amp;timestamp=1769392231524</t>
  </si>
  <si>
    <t>2_ABaOnudkBqVXuSxukkErxkMTij3H_Uy_QBP1MX8rDfV6AInvWtWnh3vwmWvyHk3KggzesOU</t>
  </si>
  <si>
    <t>https://drive.google.com/open?id=1Wt6B0Xnhleuye7jPAA9puhyJ7O0YBTv6</t>
  </si>
  <si>
    <t>https://docs.google.com/forms/d/e/1FAIpQLSeEYwFnViiqk1AbexVe1VDR73UApmeuvfn6Yr2vN8WXjwGu2Q/viewform?edit2=2_ABaOnuePebPW5395nm1hnwHbTO1c19Om5V7RZuCEpojlCr0eFaF1yS4BCQoVDh8fC0zz7j4&amp;source=documentstudio&amp;timestamp=1769392580901</t>
  </si>
  <si>
    <t>2_ABaOnuePebPW5395nm1hnwHbTO1c19Om5V7RZuCEpojlCr0eFaF1yS4BCQoVDh8fC0zz7j4</t>
  </si>
  <si>
    <t>https://drive.google.com/open?id=1psjaH4eE-Qc_GpvNwMO2MI8RW_fOehVm</t>
  </si>
  <si>
    <t>https://docs.google.com/forms/d/e/1FAIpQLSeEYwFnViiqk1AbexVe1VDR73UApmeuvfn6Yr2vN8WXjwGu2Q/viewform?edit2=2_ABaOnueXUm3bdBTd_nW7YwkBCIq9UZEbPvUz9j1OOpM-FueGcR7lNxEBddniP0v4ULqKmwQ&amp;source=documentstudio&amp;timestamp=1769392976506</t>
  </si>
  <si>
    <t>2_ABaOnueXUm3bdBTd_nW7YwkBCIq9UZEbPvUz9j1OOpM-FueGcR7lNxEBddniP0v4ULqKmwQ</t>
  </si>
  <si>
    <t>https://drive.google.com/open?id=1Eh7ldd-HDMFyiou5UmKUuehz3ORswURB</t>
  </si>
  <si>
    <t>https://docs.google.com/forms/d/e/1FAIpQLSeEYwFnViiqk1AbexVe1VDR73UApmeuvfn6Yr2vN8WXjwGu2Q/viewform?edit2=2_ABaOnueYElpea-wI9qMiY2R6BQA0MRgj8h89W00C7gc_UPVgIz3b_AIScy7rjJJNWEO8ld8&amp;source=documentstudio&amp;timestamp=1769393015456</t>
  </si>
  <si>
    <t>2_ABaOnueYElpea-wI9qMiY2R6BQA0MRgj8h89W00C7gc_UPVgIz3b_AIScy7rjJJNWEO8ld8</t>
  </si>
  <si>
    <t>https://drive.google.com/open?id=1fAsXdxQ_eb8it5KdLyL6zEliBD3bqyqB</t>
  </si>
  <si>
    <t>https://docs.google.com/forms/d/e/1FAIpQLSeEYwFnViiqk1AbexVe1VDR73UApmeuvfn6Yr2vN8WXjwGu2Q/viewform?edit2=2_ABaOnufHZYBZAthpwikwx67-jn7QzsKM8iwTGCO0Cn0if7k7qKCyrAL8UjuKA5ShBA8kCwk&amp;source=documentstudio&amp;timestamp=1769393096917</t>
  </si>
  <si>
    <t>2_ABaOnufHZYBZAthpwikwx67-jn7QzsKM8iwTGCO0Cn0if7k7qKCyrAL8UjuKA5ShBA8kCwk</t>
  </si>
  <si>
    <t>https://drive.google.com/open?id=1qDSGBeKi1llO0y2xSiJvXe0oxO-IYWg8</t>
  </si>
  <si>
    <t>https://docs.google.com/forms/d/e/1FAIpQLSeEYwFnViiqk1AbexVe1VDR73UApmeuvfn6Yr2vN8WXjwGu2Q/viewform?edit2=2_ABaOnudyxFITm_0d8bt3y1vHj-dKf53CvzRwfwV1y3s7f-uxlFTrr7yPH0c_ah-fT4_0Wwc&amp;source=documentstudio&amp;timestamp=1769393123754</t>
  </si>
  <si>
    <t>2_ABaOnudyxFITm_0d8bt3y1vHj-dKf53CvzRwfwV1y3s7f-uxlFTrr7yPH0c_ah-fT4_0Wwc</t>
  </si>
  <si>
    <t>https://drive.google.com/open?id=1X9GNlOlcszXpZwaT5lL-Ayn-Fd58RM2F</t>
  </si>
  <si>
    <t>https://docs.google.com/forms/d/e/1FAIpQLSeEYwFnViiqk1AbexVe1VDR73UApmeuvfn6Yr2vN8WXjwGu2Q/viewform?edit2=2_ABaOnud2Ea_N5kMwFDcEdTnX6FfonNmeSSj6XgBQ65pMk1S5QkJJjlJHCPl1g8cchEHp23I&amp;source=documentstudio&amp;timestamp=1769393364270</t>
  </si>
  <si>
    <t>2_ABaOnud2Ea_N5kMwFDcEdTnX6FfonNmeSSj6XgBQ65pMk1S5QkJJjlJHCPl1g8cchEHp23I</t>
  </si>
  <si>
    <t>https://drive.google.com/open?id=1uddYxsO4w0pmvRp2pPe8MpYWdvOkuW5M</t>
  </si>
  <si>
    <t>https://docs.google.com/forms/d/e/1FAIpQLSeEYwFnViiqk1AbexVe1VDR73UApmeuvfn6Yr2vN8WXjwGu2Q/viewform?edit2=2_ABaOnuf8WuRSUciarzK7MdEPoODFxI-eSBAZU5kRyxq3t-C6Cpt2bNRcqNfIHBj90D2gSrU&amp;source=documentstudio&amp;timestamp=1769394191709</t>
  </si>
  <si>
    <t>2_ABaOnuf8WuRSUciarzK7MdEPoODFxI-eSBAZU5kRyxq3t-C6Cpt2bNRcqNfIHBj90D2gSrU</t>
  </si>
  <si>
    <t>https://drive.google.com/open?id=101Wl5aredOovLk1uGggqt6qfkg3rj4O0</t>
  </si>
  <si>
    <t>https://docs.google.com/forms/d/e/1FAIpQLSeEYwFnViiqk1AbexVe1VDR73UApmeuvfn6Yr2vN8WXjwGu2Q/viewform?edit2=2_ABaOnufwFOOcPhq-SMXjqBz3ttWz2-tdbRKaz2ob5Hz_rdMpIODGv8IhJIXvU7oaPGTOMls&amp;source=documentstudio&amp;timestamp=1769394239264</t>
  </si>
  <si>
    <t>2_ABaOnufwFOOcPhq-SMXjqBz3ttWz2-tdbRKaz2ob5Hz_rdMpIODGv8IhJIXvU7oaPGTOMls</t>
  </si>
  <si>
    <t>https://drive.google.com/open?id=1LXms0c-T27QdihsC0kdPUnX47UvsJqiS</t>
  </si>
  <si>
    <t>https://docs.google.com/forms/d/e/1FAIpQLSeEYwFnViiqk1AbexVe1VDR73UApmeuvfn6Yr2vN8WXjwGu2Q/viewform?edit2=2_ABaOnueblj7wb830qR6mo038VKj1q_dQtuO1crwl_dtTV2Zj4SFbsetBq4u0PM-jtXq0KCw&amp;source=documentstudio&amp;timestamp=1769394239663</t>
  </si>
  <si>
    <t>2_ABaOnueblj7wb830qR6mo038VKj1q_dQtuO1crwl_dtTV2Zj4SFbsetBq4u0PM-jtXq0KCw</t>
  </si>
  <si>
    <t>https://drive.google.com/open?id=1l5Zy8JnGR3_ZF9AMfqtdHKCLRPoWj3Dv</t>
  </si>
  <si>
    <t>https://docs.google.com/forms/d/e/1FAIpQLSeEYwFnViiqk1AbexVe1VDR73UApmeuvfn6Yr2vN8WXjwGu2Q/viewform?edit2=2_ABaOnuer7eQkiJqpUZgsV7FFZYqAERbQd8UbB0tAgR3cUWaVFcPpF6LfzNAjNml4JqCWEQM&amp;source=documentstudio&amp;timestamp=1769394263153</t>
  </si>
  <si>
    <t>2_ABaOnuer7eQkiJqpUZgsV7FFZYqAERbQd8UbB0tAgR3cUWaVFcPpF6LfzNAjNml4JqCWEQM</t>
  </si>
  <si>
    <t>https://drive.google.com/open?id=1nS2m9nuamDSlPJFJ5zybcFoa0Bb1WCYy</t>
  </si>
  <si>
    <t>https://docs.google.com/forms/d/e/1FAIpQLSeEYwFnViiqk1AbexVe1VDR73UApmeuvfn6Yr2vN8WXjwGu2Q/viewform?edit2=2_ABaOnucfgOI_x6b3H5IZANAD7urMV6Nvjogr1yl5wI85-CMs2x0HmMYi_OQZj0q-VhpW1mY&amp;source=documentstudio&amp;timestamp=1769395738750</t>
  </si>
  <si>
    <t>2_ABaOnucfgOI_x6b3H5IZANAD7urMV6Nvjogr1yl5wI85-CMs2x0HmMYi_OQZj0q-VhpW1mY</t>
  </si>
  <si>
    <t>https://drive.google.com/open?id=1JcAPmtMx31ww7P5Ckc5IGsfYOfze1gjd</t>
  </si>
  <si>
    <t>https://docs.google.com/forms/d/e/1FAIpQLSeEYwFnViiqk1AbexVe1VDR73UApmeuvfn6Yr2vN8WXjwGu2Q/viewform?edit2=2_ABaOnuc2C5RwmpC3bFlKmdnOfBSSNbOifo7lPnBddG-_vzmkY-bZlDXoF4FsKYRBThcn1_s&amp;source=documentstudio&amp;timestamp=1769395823141</t>
  </si>
  <si>
    <t>2_ABaOnuc2C5RwmpC3bFlKmdnOfBSSNbOifo7lPnBddG-_vzmkY-bZlDXoF4FsKYRBThcn1_s</t>
  </si>
  <si>
    <t>https://drive.google.com/open?id=1UD787nd302hAJs3NiA9P58bPMiyIOUCr</t>
  </si>
  <si>
    <t>https://docs.google.com/forms/d/e/1FAIpQLSeEYwFnViiqk1AbexVe1VDR73UApmeuvfn6Yr2vN8WXjwGu2Q/viewform?edit2=2_ABaOnucj9E-A_zDuA5XxiCUNN4rYgLzNFQ0cNiVCihZTyvNhkRcdyL0g2UnYQLbp1-XX7uw&amp;source=documentstudio&amp;timestamp=1769395836064</t>
  </si>
  <si>
    <t>2_ABaOnucj9E-A_zDuA5XxiCUNN4rYgLzNFQ0cNiVCihZTyvNhkRcdyL0g2UnYQLbp1-XX7uw</t>
  </si>
  <si>
    <t>https://drive.google.com/open?id=1aOt-TgkxriEz-vpXIqQ6d9pWy_jPIuSn</t>
  </si>
  <si>
    <t>https://docs.google.com/forms/d/e/1FAIpQLSeEYwFnViiqk1AbexVe1VDR73UApmeuvfn6Yr2vN8WXjwGu2Q/viewform?edit2=2_ABaOnudg423mTBkPVrbe6VX9lo-9FRv2-BLR0dmu4TKgGdHV_qeaAvVUJ2yGu38XbUQqF1o&amp;source=documentstudio&amp;timestamp=1769395852148</t>
  </si>
  <si>
    <t>2_ABaOnudg423mTBkPVrbe6VX9lo-9FRv2-BLR0dmu4TKgGdHV_qeaAvVUJ2yGu38XbUQqF1o</t>
  </si>
  <si>
    <t>https://drive.google.com/open?id=1rlVk_YMIxFNW7Dw0odMqyw-5l--oLyj9</t>
  </si>
  <si>
    <t>https://docs.google.com/forms/d/e/1FAIpQLSeEYwFnViiqk1AbexVe1VDR73UApmeuvfn6Yr2vN8WXjwGu2Q/viewform?edit2=2_ABaOnucsltSalB7WE1G9pQe3LMJMZBQJ1FrdEAnKDt5EohWQ4kcBJzNcLDk8wlTPabSUQMU&amp;source=documentstudio&amp;timestamp=1769395881127</t>
  </si>
  <si>
    <t>2_ABaOnucsltSalB7WE1G9pQe3LMJMZBQJ1FrdEAnKDt5EohWQ4kcBJzNcLDk8wlTPabSUQMU</t>
  </si>
  <si>
    <t>https://drive.google.com/open?id=1lKdUy30_AxjebH8uiYd-NnX8VBAd3ruX</t>
  </si>
  <si>
    <t>https://docs.google.com/forms/d/e/1FAIpQLSeEYwFnViiqk1AbexVe1VDR73UApmeuvfn6Yr2vN8WXjwGu2Q/viewform?edit2=2_ABaOnueJ97Km7FwfW9_nNUHYE7DQGGaLwfd5E_u3bSd4FzJoaiOlezLyUOJq2PQxVr9Z1gk&amp;source=documentstudio&amp;timestamp=1769395915965</t>
  </si>
  <si>
    <t>2_ABaOnueJ97Km7FwfW9_nNUHYE7DQGGaLwfd5E_u3bSd4FzJoaiOlezLyUOJq2PQxVr9Z1gk</t>
  </si>
  <si>
    <t>https://drive.google.com/open?id=1m8Y2ZWBF0nWav_QMMDNS9rfGvc4iGN2e</t>
  </si>
  <si>
    <t>https://docs.google.com/forms/d/e/1FAIpQLSeEYwFnViiqk1AbexVe1VDR73UApmeuvfn6Yr2vN8WXjwGu2Q/viewform?edit2=2_ABaOnue2t-M46fEf1lK5BtLd8eu57wGDEvqRA3nPZgrKG3qZKLhg5bL7LSC_11IqWycj3WY&amp;source=documentstudio&amp;timestamp=1769402424579</t>
  </si>
  <si>
    <t>2_ABaOnue2t-M46fEf1lK5BtLd8eu57wGDEvqRA3nPZgrKG3qZKLhg5bL7LSC_11IqWycj3WY</t>
  </si>
  <si>
    <t>https://drive.google.com/open?id=1yY7siJr8y3DncsD-UJDhEu0Co60M4MaU</t>
  </si>
  <si>
    <t>https://docs.google.com/forms/d/e/1FAIpQLSeEYwFnViiqk1AbexVe1VDR73UApmeuvfn6Yr2vN8WXjwGu2Q/viewform?edit2=2_ABaOnuef0QyOQsNa_yNkPz6aktAGFoxetbRb_hq4o1LlewDximB6XG0AAW2KaYejxv29QtY&amp;source=documentstudio&amp;timestamp=1769402462139</t>
  </si>
  <si>
    <t>2_ABaOnuef0QyOQsNa_yNkPz6aktAGFoxetbRb_hq4o1LlewDximB6XG0AAW2KaYejxv29QtY</t>
  </si>
  <si>
    <t>https://drive.google.com/open?id=14bn3tFqnUtpbWWSoFNduqWNtbrscKt3j</t>
  </si>
  <si>
    <t>https://docs.google.com/forms/d/e/1FAIpQLSeEYwFnViiqk1AbexVe1VDR73UApmeuvfn6Yr2vN8WXjwGu2Q/viewform?edit2=2_ABaOnuel4DERn8SbxAp0W70EwL_Q4w0fUA2zYti9yDf4AEh1-R9z8v3oeMKniB1PL2pDY78&amp;source=documentstudio&amp;timestamp=1769402628932</t>
  </si>
  <si>
    <t>2_ABaOnuel4DERn8SbxAp0W70EwL_Q4w0fUA2zYti9yDf4AEh1-R9z8v3oeMKniB1PL2pDY78</t>
  </si>
  <si>
    <t>https://drive.google.com/open?id=1eB00euvvqF7mLNC7TCL0bCItm5Qlv-6A</t>
  </si>
  <si>
    <t>https://docs.google.com/forms/d/e/1FAIpQLSeEYwFnViiqk1AbexVe1VDR73UApmeuvfn6Yr2vN8WXjwGu2Q/viewform?edit2=2_ABaOnuenfCDJ-8AuTpP1B1wqpwMKIVgUHD20dwfVeQL7955lUUXCU6uUJKiqW7tdrcxnZPI&amp;source=documentstudio&amp;timestamp=1769402660244</t>
  </si>
  <si>
    <t>2_ABaOnuenfCDJ-8AuTpP1B1wqpwMKIVgUHD20dwfVeQL7955lUUXCU6uUJKiqW7tdrcxnZPI</t>
  </si>
  <si>
    <t>https://drive.google.com/open?id=1enudDRGUIvl-OENalv3Ye-xOxfPGSynp</t>
  </si>
  <si>
    <t>https://docs.google.com/forms/d/e/1FAIpQLSeEYwFnViiqk1AbexVe1VDR73UApmeuvfn6Yr2vN8WXjwGu2Q/viewform?edit2=2_ABaOnucMVeS0Bll0Rt9XtK4OUbdisjh--f_DHLT3y24b_AbYT74o7JEzPzkFOmeBxtRDzDc&amp;source=documentstudio&amp;timestamp=1769405975431</t>
  </si>
  <si>
    <t>2_ABaOnucMVeS0Bll0Rt9XtK4OUbdisjh--f_DHLT3y24b_AbYT74o7JEzPzkFOmeBxtRDzDc</t>
  </si>
  <si>
    <t>https://drive.google.com/open?id=1PSz6Dx1-J4RwHyH-ab-ujKfeOHpMLNIK</t>
  </si>
  <si>
    <t>https://docs.google.com/forms/d/e/1FAIpQLSeEYwFnViiqk1AbexVe1VDR73UApmeuvfn6Yr2vN8WXjwGu2Q/viewform?edit2=2_ABaOnudY4ryHqNMov2oUu-7OryJ5iLmKi9Ze4nppja1BRI7HUv_B8THTEvEXqaQD_jLqqSM&amp;source=documentstudio&amp;timestamp=1769406005782</t>
  </si>
  <si>
    <t>2_ABaOnudY4ryHqNMov2oUu-7OryJ5iLmKi9Ze4nppja1BRI7HUv_B8THTEvEXqaQD_jLqqSM</t>
  </si>
  <si>
    <t>https://drive.google.com/open?id=1Os1hPy2wPUcGfVzzgjFV0XzG4ush7GLM</t>
  </si>
  <si>
    <t>https://docs.google.com/forms/d/e/1FAIpQLSeEYwFnViiqk1AbexVe1VDR73UApmeuvfn6Yr2vN8WXjwGu2Q/viewform?edit2=2_ABaOnucVHeWT6yihv5WOj8e3TeGkqiHjxEP_VhA79ymnuydJ3c6u1KPX9AlF5znPjIAPtzo&amp;source=documentstudio&amp;timestamp=1769413829053</t>
  </si>
  <si>
    <t>2_ABaOnucVHeWT6yihv5WOj8e3TeGkqiHjxEP_VhA79ymnuydJ3c6u1KPX9AlF5znPjIAPtzo</t>
  </si>
  <si>
    <t>https://drive.google.com/open?id=1XahBEBwzIp_tKyeIoO6gTEfB9knHek1h</t>
  </si>
  <si>
    <t>https://docs.google.com/forms/d/e/1FAIpQLSeEYwFnViiqk1AbexVe1VDR73UApmeuvfn6Yr2vN8WXjwGu2Q/viewform?edit2=2_ABaOnudYOtJgn2DOc9Xl8-57Yu9Qfn3MjZKBGKcgKUMItqK2DOcXSPMeuwacd5ShWQrIZOM&amp;source=documentstudio&amp;timestamp=1769415929259</t>
  </si>
  <si>
    <t>2_ABaOnudYOtJgn2DOc9Xl8-57Yu9Qfn3MjZKBGKcgKUMItqK2DOcXSPMeuwacd5ShWQrIZOM</t>
  </si>
  <si>
    <t>https://drive.google.com/open?id=11y7wqSImCCcjS4MisPCkc7HAGcBa4NQW</t>
  </si>
  <si>
    <t>https://docs.google.com/forms/d/e/1FAIpQLSeEYwFnViiqk1AbexVe1VDR73UApmeuvfn6Yr2vN8WXjwGu2Q/viewform?edit2=2_ABaOnufomERfxiLFgP_jf1tEtWRHBtiFWXE2t0khKMsrmqgjQs1CrjIKqJKHnrmxsY7KgKg&amp;source=documentstudio&amp;timestamp=1769415969078</t>
  </si>
  <si>
    <t>2_ABaOnufomERfxiLFgP_jf1tEtWRHBtiFWXE2t0khKMsrmqgjQs1CrjIKqJKHnrmxsY7KgKg</t>
  </si>
  <si>
    <t>https://drive.google.com/open?id=1sNcDCeQhl22m5W-lmPPL5fh0JBqhrB9k</t>
  </si>
  <si>
    <t>https://docs.google.com/forms/d/e/1FAIpQLSeEYwFnViiqk1AbexVe1VDR73UApmeuvfn6Yr2vN8WXjwGu2Q/viewform?edit2=2_ABaOnueckBX6iLxReV29R2tPCEsXfqU981VKeSDHL54aT1KPckxTDCPA-2_CZU-dwAbuZO8&amp;source=documentstudio&amp;timestamp=1769416049360</t>
  </si>
  <si>
    <t>2_ABaOnueckBX6iLxReV29R2tPCEsXfqU981VKeSDHL54aT1KPckxTDCPA-2_CZU-dwAbuZO8</t>
  </si>
  <si>
    <t>https://drive.google.com/open?id=1lsKeM033qQPRdSXEPmSHgYXPgKl78-Pr</t>
  </si>
  <si>
    <t>https://docs.google.com/forms/d/e/1FAIpQLSeEYwFnViiqk1AbexVe1VDR73UApmeuvfn6Yr2vN8WXjwGu2Q/viewform?edit2=2_ABaOnueKqfQfyGAxrEXFd70JiF_qHX-TKi7a-rLhaP1zcyZXlb5_aI_dyF_YuHxRDFlq9_Y&amp;source=documentstudio&amp;timestamp=1769416082816</t>
  </si>
  <si>
    <t>2_ABaOnueKqfQfyGAxrEXFd70JiF_qHX-TKi7a-rLhaP1zcyZXlb5_aI_dyF_YuHxRDFlq9_Y</t>
  </si>
  <si>
    <t>https://drive.google.com/open?id=1dMEWo3N3EYqVL_SucJZvUwj5l8kx_xNR</t>
  </si>
  <si>
    <t>https://docs.google.com/forms/d/e/1FAIpQLSeEYwFnViiqk1AbexVe1VDR73UApmeuvfn6Yr2vN8WXjwGu2Q/viewform?edit2=2_ABaOnue4euLXP2i3dng-n5alEEmZAWi3fNwlVD9SntggPwIPkyzMWQsNlfiFJMVgoRom8b0&amp;source=documentstudio&amp;timestamp=1769416102607</t>
  </si>
  <si>
    <t>2_ABaOnue4euLXP2i3dng-n5alEEmZAWi3fNwlVD9SntggPwIPkyzMWQsNlfiFJMVgoRom8b0</t>
  </si>
  <si>
    <t>https://drive.google.com/open?id=1twv7Jf_ZsRCXddvYRToIl-SQPTH-Grgq</t>
  </si>
  <si>
    <t>https://docs.google.com/forms/d/e/1FAIpQLSeEYwFnViiqk1AbexVe1VDR73UApmeuvfn6Yr2vN8WXjwGu2Q/viewform?edit2=2_ABaOnud8Ue7qyPZWZ0Xo2hWA44-pgMpIcDOGTyYHJzcBH8HZIGRHQCg0xZ0Clb0rzWGJ9rs&amp;source=documentstudio&amp;timestamp=1769416118842</t>
  </si>
  <si>
    <t>2_ABaOnud8Ue7qyPZWZ0Xo2hWA44-pgMpIcDOGTyYHJzcBH8HZIGRHQCg0xZ0Clb0rzWGJ9rs</t>
  </si>
  <si>
    <t>https://drive.google.com/open?id=1M-0T_FqVqdsCHqeMPvxdfCA-CRnzLEVD</t>
  </si>
  <si>
    <t>https://docs.google.com/forms/d/e/1FAIpQLSeEYwFnViiqk1AbexVe1VDR73UApmeuvfn6Yr2vN8WXjwGu2Q/viewform?edit2=2_ABaOnud4xEQgEsyeNUqNr27YsSRXJ6oMSkJKriJaATu9qzN-NsqmqCs1mXzgklmGsk0e4oY&amp;source=documentstudio&amp;timestamp=1769416133616</t>
  </si>
  <si>
    <t>2_ABaOnud4xEQgEsyeNUqNr27YsSRXJ6oMSkJKriJaATu9qzN-NsqmqCs1mXzgklmGsk0e4oY</t>
  </si>
  <si>
    <t>https://drive.google.com/open?id=1vTzrinXJQKGDna6YohNgR-Bz8JLPsMWS</t>
  </si>
  <si>
    <t>https://docs.google.com/forms/d/e/1FAIpQLSeEYwFnViiqk1AbexVe1VDR73UApmeuvfn6Yr2vN8WXjwGu2Q/viewform?edit2=2_ABaOnudiPgTgniL9coO8WTowhYMU3vVOb77b2KBTqfyLfF-dI_NyOWDUZK2sjI8rWbCQzTE&amp;source=documentstudio&amp;timestamp=1769416234703</t>
  </si>
  <si>
    <t>2_ABaOnudiPgTgniL9coO8WTowhYMU3vVOb77b2KBTqfyLfF-dI_NyOWDUZK2sjI8rWbCQzTE</t>
  </si>
  <si>
    <t>https://drive.google.com/open?id=1uUQGi90w1WeZldOzFzQxyVSWS0Yo5Arv</t>
  </si>
  <si>
    <t>https://docs.google.com/forms/d/e/1FAIpQLSeEYwFnViiqk1AbexVe1VDR73UApmeuvfn6Yr2vN8WXjwGu2Q/viewform?edit2=2_ABaOnudgdm7qhlHTkqjRGY9i8E6fUxt5YRsagYV3MNlzRLzugEEkTscxk0nQMXdxZXXjmLw&amp;source=documentstudio&amp;timestamp=1769416264900</t>
  </si>
  <si>
    <t>2_ABaOnudgdm7qhlHTkqjRGY9i8E6fUxt5YRsagYV3MNlzRLzugEEkTscxk0nQMXdxZXXjmLw</t>
  </si>
  <si>
    <t>https://drive.google.com/open?id=1ySNhB6f-7hbN8heHLk2jVacQTvuRQENr</t>
  </si>
  <si>
    <t>https://docs.google.com/forms/d/e/1FAIpQLSeEYwFnViiqk1AbexVe1VDR73UApmeuvfn6Yr2vN8WXjwGu2Q/viewform?edit2=2_ABaOnuepUSF_QTDPmCO3hTEtmbNe_RiS7jATBbS4MrCjM0XYqfTy-piseo5DrV25VaFjoFQ&amp;source=documentstudio&amp;timestamp=1769416371202</t>
  </si>
  <si>
    <t>2_ABaOnuepUSF_QTDPmCO3hTEtmbNe_RiS7jATBbS4MrCjM0XYqfTy-piseo5DrV25VaFjoFQ</t>
  </si>
  <si>
    <t>https://drive.google.com/open?id=1K-2tHVXhyOtdMPLPzdDeALhu5WfC2r06</t>
  </si>
  <si>
    <t>https://docs.google.com/forms/d/e/1FAIpQLSeEYwFnViiqk1AbexVe1VDR73UApmeuvfn6Yr2vN8WXjwGu2Q/viewform?edit2=2_ABaOnudwCKj1cY5sa1PfoTxZHEXyO3875hj6AJ7_JXtpydkkLbzf2HqrMqb_VIfxg79I9XM&amp;source=documentstudio&amp;timestamp=1769416414833</t>
  </si>
  <si>
    <t>2_ABaOnudwCKj1cY5sa1PfoTxZHEXyO3875hj6AJ7_JXtpydkkLbzf2HqrMqb_VIfxg79I9XM</t>
  </si>
  <si>
    <t>https://drive.google.com/open?id=1C3aYXhZZh_N0VyBLzUEgNkFHLM05o4wW</t>
  </si>
  <si>
    <t>https://docs.google.com/forms/d/e/1FAIpQLSeEYwFnViiqk1AbexVe1VDR73UApmeuvfn6Yr2vN8WXjwGu2Q/viewform?edit2=2_ABaOnudnZdtBjTOlh1_SAGoq3hSyH80JvTEcZRpXymhfZw6cxQYjwUiwx6evTVObNUU78Qs&amp;source=documentstudio&amp;timestamp=1769416494815</t>
  </si>
  <si>
    <t>2_ABaOnudnZdtBjTOlh1_SAGoq3hSyH80JvTEcZRpXymhfZw6cxQYjwUiwx6evTVObNUU78Qs</t>
  </si>
  <si>
    <t>https://drive.google.com/open?id=1UfSm8UAGzZpxSiBdfGbBQntTx-G_m57s</t>
  </si>
  <si>
    <t>https://docs.google.com/forms/d/e/1FAIpQLSeEYwFnViiqk1AbexVe1VDR73UApmeuvfn6Yr2vN8WXjwGu2Q/viewform?edit2=2_ABaOnuck3nVPTmlR_s3dpNFTWFW-zRHMPpOqo-VW-jl-SCDGqsz6MOO9ufcF9sNKJvVDyqg&amp;source=documentstudio&amp;timestamp=1769416526047</t>
  </si>
  <si>
    <t>2_ABaOnuck3nVPTmlR_s3dpNFTWFW-zRHMPpOqo-VW-jl-SCDGqsz6MOO9ufcF9sNKJvVDyqg</t>
  </si>
  <si>
    <t>https://drive.google.com/open?id=1FSbCWDu03ywT5fm5cdXmhW-mvV_yH1WK</t>
  </si>
  <si>
    <t>https://docs.google.com/forms/d/e/1FAIpQLSeEYwFnViiqk1AbexVe1VDR73UApmeuvfn6Yr2vN8WXjwGu2Q/viewform?edit2=2_ABaOnufItZPtrFnBBbzzhz-s2kS59jYRDflC6nZmVJGrpBBh8ifmYPIopxsXXAayDSzlj9c&amp;source=documentstudio&amp;timestamp=1769416755659</t>
  </si>
  <si>
    <t>2_ABaOnufItZPtrFnBBbzzhz-s2kS59jYRDflC6nZmVJGrpBBh8ifmYPIopxsXXAayDSzlj9c</t>
  </si>
  <si>
    <t>https://drive.google.com/open?id=1fH_qQr-GU56hyCSmQmOUUSG-ipC2E1mW</t>
  </si>
  <si>
    <t>https://docs.google.com/forms/d/e/1FAIpQLSeEYwFnViiqk1AbexVe1VDR73UApmeuvfn6Yr2vN8WXjwGu2Q/viewform?edit2=2_ABaOnue2JYWdwD-1i51sxiaf6t0G8Dyc5nPLISB3kX24j7NLbJARS5CFJhVJySbUvLOP3zY&amp;source=documentstudio&amp;timestamp=1769416876986</t>
  </si>
  <si>
    <t>2_ABaOnue2JYWdwD-1i51sxiaf6t0G8Dyc5nPLISB3kX24j7NLbJARS5CFJhVJySbUvLOP3zY</t>
  </si>
  <si>
    <t>https://drive.google.com/open?id=1-87mmhew6K1QK1mExMflaYIUjEHE1HNm</t>
  </si>
  <si>
    <t>https://docs.google.com/forms/d/e/1FAIpQLSeEYwFnViiqk1AbexVe1VDR73UApmeuvfn6Yr2vN8WXjwGu2Q/viewform?edit2=2_ABaOnueYMAxz2V81gqM2gIr_KUa5aXZk2jB4x8PwbK-0uEsSGmaHcDPBnLl6s5gDwE4hJi4&amp;source=documentstudio&amp;timestamp=1769416888312</t>
  </si>
  <si>
    <t>2_ABaOnueYMAxz2V81gqM2gIr_KUa5aXZk2jB4x8PwbK-0uEsSGmaHcDPBnLl6s5gDwE4hJi4</t>
  </si>
  <si>
    <t>https://drive.google.com/open?id=16WnHbBLwQ7qxQqziTQofLlkb0z8qbdk3</t>
  </si>
  <si>
    <t>https://docs.google.com/forms/d/e/1FAIpQLSeEYwFnViiqk1AbexVe1VDR73UApmeuvfn6Yr2vN8WXjwGu2Q/viewform?edit2=2_ABaOnucnW4lwKutrEA1-L_yxdWUtqHCArFVrd3N0QIwsNzG9YnVMlF1dNQc2zMXTuPlgBR8&amp;source=documentstudio&amp;timestamp=1769417511753</t>
  </si>
  <si>
    <t>2_ABaOnucnW4lwKutrEA1-L_yxdWUtqHCArFVrd3N0QIwsNzG9YnVMlF1dNQc2zMXTuPlgBR8</t>
  </si>
  <si>
    <t>https://drive.google.com/open?id=1rk6Oh77G2jbiFzgmHmGQNgcB9J6Nfs8e</t>
  </si>
  <si>
    <t>https://drive.google.com/open?id=15qpELBhlboebcLg6buDlAUZOyU_qfKFP</t>
  </si>
  <si>
    <t>https://docs.google.com/forms/d/e/1FAIpQLSeEYwFnViiqk1AbexVe1VDR73UApmeuvfn6Yr2vN8WXjwGu2Q/viewform?edit2=2_ABaOnudbp4h4nzzPJpJeiz62p4iHxbDs99-HMsmmZLOxjs5OMRMzRAwTd_K4DbfEQXmXhs4&amp;source=documentstudio&amp;timestamp=1769418599590</t>
  </si>
  <si>
    <t>2_ABaOnudbp4h4nzzPJpJeiz62p4iHxbDs99-HMsmmZLOxjs5OMRMzRAwTd_K4DbfEQXmXhs4</t>
  </si>
  <si>
    <t>https://drive.google.com/open?id=1GkZrdYeD1yQJ7EVfKz8UfOD7LmRVc9Jl</t>
  </si>
  <si>
    <t>https://docs.google.com/forms/d/e/1FAIpQLSeEYwFnViiqk1AbexVe1VDR73UApmeuvfn6Yr2vN8WXjwGu2Q/viewform?edit2=2_ABaOnucj7xwAJK4zmFZjoKyQso_SpUlju2_iCV0qqnAvVuGn2NQOK4TJWWpdysEZlDZ93Ds&amp;source=documentstudio&amp;timestamp=1769484299988</t>
  </si>
  <si>
    <t>2_ABaOnucj7xwAJK4zmFZjoKyQso_SpUlju2_iCV0qqnAvVuGn2NQOK4TJWWpdysEZlDZ93Ds</t>
  </si>
  <si>
    <t>https://drive.google.com/open?id=1w8jQVFC-s9ThSkWakq820_jeuzgteFng</t>
  </si>
  <si>
    <t>https://docs.google.com/forms/d/e/1FAIpQLSeEYwFnViiqk1AbexVe1VDR73UApmeuvfn6Yr2vN8WXjwGu2Q/viewform?edit2=2_ABaOnudo7ZmpKck593Triv2-RQS_39H634D5Cj2IDO_l2RsRkA-d8ENRwslxZuYpou82l-w&amp;source=documentstudio&amp;timestamp=1769484320134</t>
  </si>
  <si>
    <t>2_ABaOnudo7ZmpKck593Triv2-RQS_39H634D5Cj2IDO_l2RsRkA-d8ENRwslxZuYpou82l-w</t>
  </si>
  <si>
    <t>https://drive.google.com/open?id=1Gdx8jO2k6LAsqOTBZhKAhQZXa2f4DtQc</t>
  </si>
  <si>
    <t>https://docs.google.com/forms/d/e/1FAIpQLSeEYwFnViiqk1AbexVe1VDR73UApmeuvfn6Yr2vN8WXjwGu2Q/viewform?edit2=2_ABaOnuczF8LWyHGvPZ3oYrr86_kpJHSAT183UxON8mqHkeOI6XSyT09YO_WgD9ajafIAoWw&amp;source=documentstudio&amp;timestamp=1769484367150</t>
  </si>
  <si>
    <t>2_ABaOnuczF8LWyHGvPZ3oYrr86_kpJHSAT183UxON8mqHkeOI6XSyT09YO_WgD9ajafIAoWw</t>
  </si>
  <si>
    <t>https://drive.google.com/open?id=1KmFgCEWkyIkH8svSlhpsjK9ahhI7EXuq</t>
  </si>
  <si>
    <t>https://docs.google.com/forms/d/e/1FAIpQLSeEYwFnViiqk1AbexVe1VDR73UApmeuvfn6Yr2vN8WXjwGu2Q/viewform?edit2=2_ABaOnuePEJNHU7Fnidn-VbaBIIH-CVWoOmFlK8jw03m4vHAY84FonFLscTrXYpms8WkQ4FU&amp;source=documentstudio&amp;timestamp=1769485128748</t>
  </si>
  <si>
    <t>2_ABaOnuePEJNHU7Fnidn-VbaBIIH-CVWoOmFlK8jw03m4vHAY84FonFLscTrXYpms8WkQ4FU</t>
  </si>
  <si>
    <t>https://drive.google.com/open?id=1yJXi1aUio0VmVw2wnO75WiHibTFmIIKz</t>
  </si>
  <si>
    <t>https://docs.google.com/forms/d/e/1FAIpQLSeEYwFnViiqk1AbexVe1VDR73UApmeuvfn6Yr2vN8WXjwGu2Q/viewform?edit2=2_ABaOnueFBHZ-xuJwxyP26sfToIEjqYtWvzYEEhJeIyrMtcEx3hbHRCzqeG_UlNiqoj6Lhc8&amp;source=documentstudio&amp;timestamp=1769485163149</t>
  </si>
  <si>
    <t>2_ABaOnueFBHZ-xuJwxyP26sfToIEjqYtWvzYEEhJeIyrMtcEx3hbHRCzqeG_UlNiqoj6Lhc8</t>
  </si>
  <si>
    <t>https://drive.google.com/open?id=1Ut0HjEaN710EFGBUHqmKF6Cuov29qpvr</t>
  </si>
  <si>
    <t>https://docs.google.com/forms/d/e/1FAIpQLSeEYwFnViiqk1AbexVe1VDR73UApmeuvfn6Yr2vN8WXjwGu2Q/viewform?edit2=2_ABaOnud2vbwfLvX2OF4BWBcid9_eoePbC73d63IuASum7_b7m8YC1FZ2SGGFxS40Ooj1haI&amp;source=documentstudio&amp;timestamp=1769486416015</t>
  </si>
  <si>
    <t>2_ABaOnud2vbwfLvX2OF4BWBcid9_eoePbC73d63IuASum7_b7m8YC1FZ2SGGFxS40Ooj1haI</t>
  </si>
  <si>
    <t>https://drive.google.com/open?id=1d6CEDfEYXzXJfnR3jgfM5-XD6T7Jtay5</t>
  </si>
  <si>
    <t>https://docs.google.com/forms/d/e/1FAIpQLSeEYwFnViiqk1AbexVe1VDR73UApmeuvfn6Yr2vN8WXjwGu2Q/viewform?edit2=2_ABaOnueQP41mUOhlOLm86Nbp6Z5ObFizhDQm8Otsouy8ErIUsTH4QvD4ct_8HHlzCuJiW9g&amp;source=documentstudio&amp;timestamp=1769486449782</t>
  </si>
  <si>
    <t>2_ABaOnueQP41mUOhlOLm86Nbp6Z5ObFizhDQm8Otsouy8ErIUsTH4QvD4ct_8HHlzCuJiW9g</t>
  </si>
  <si>
    <t>https://drive.google.com/open?id=1qTw06nN4dfIU9B7oW2pFh8NEsMI75A4-</t>
  </si>
  <si>
    <t>https://docs.google.com/forms/d/e/1FAIpQLSeEYwFnViiqk1AbexVe1VDR73UApmeuvfn6Yr2vN8WXjwGu2Q/viewform?edit2=2_ABaOnucCEzgkAoleMF8FDcWRgtbCV17CkydF3G3wTbrvpTuaLP-pBXjd201t0-Var5EJ-4w&amp;source=documentstudio&amp;timestamp=1769486486454</t>
  </si>
  <si>
    <t>2_ABaOnucCEzgkAoleMF8FDcWRgtbCV17CkydF3G3wTbrvpTuaLP-pBXjd201t0-Var5EJ-4w</t>
  </si>
  <si>
    <t>https://drive.google.com/open?id=1BFr0QAcELjPF4xzBFTSd5S1KdUJ8Jg4I</t>
  </si>
  <si>
    <t>https://docs.google.com/forms/d/e/1FAIpQLSeEYwFnViiqk1AbexVe1VDR73UApmeuvfn6Yr2vN8WXjwGu2Q/viewform?edit2=2_ABaOnufsgBgeimaeRxoun-UbtOhMBlErywrod6S_7qwIwAvWkUjp_Eq92Fz1U4ZJhJBGCAA&amp;source=documentstudio&amp;timestamp=1769486599524</t>
  </si>
  <si>
    <t>2_ABaOnufsgBgeimaeRxoun-UbtOhMBlErywrod6S_7qwIwAvWkUjp_Eq92Fz1U4ZJhJBGCAA</t>
  </si>
  <si>
    <t>https://drive.google.com/open?id=1qI2199Si4CObgzpLOD4DYOrytJ0_jlqZ</t>
  </si>
  <si>
    <t>https://docs.google.com/forms/d/e/1FAIpQLSeEYwFnViiqk1AbexVe1VDR73UApmeuvfn6Yr2vN8WXjwGu2Q/viewform?edit2=2_ABaOnucGGGvHgOHJtSugSEGApllfcNPL1ZHZ6Z9fm1ptmrhg13s8lOHVZJPzv2F7i2gHkd0&amp;source=documentstudio&amp;timestamp=1769500729007</t>
  </si>
  <si>
    <t>2_ABaOnucGGGvHgOHJtSugSEGApllfcNPL1ZHZ6Z9fm1ptmrhg13s8lOHVZJPzv2F7i2gHkd0</t>
  </si>
  <si>
    <t>https://drive.google.com/open?id=1dO-lFZc6FoGJsOtWq7C2AmTWEXQaGjnJ</t>
  </si>
  <si>
    <t>https://docs.google.com/forms/d/e/1FAIpQLSeEYwFnViiqk1AbexVe1VDR73UApmeuvfn6Yr2vN8WXjwGu2Q/viewform?edit2=2_ABaOnufXTrk7xAdZWUNLIQ7hXnpsMmoGYgZCA9dqjoThPkAZndKRj7fEPteZXnYPGt3xQwo&amp;source=documentstudio&amp;timestamp=1769500754041</t>
  </si>
  <si>
    <t>2_ABaOnufXTrk7xAdZWUNLIQ7hXnpsMmoGYgZCA9dqjoThPkAZndKRj7fEPteZXnYPGt3xQwo</t>
  </si>
  <si>
    <t>https://drive.google.com/open?id=1azbPg3Q7rfapZ93rs_rQtUBIAEjMJz2y</t>
  </si>
  <si>
    <t>https://docs.google.com/forms/d/e/1FAIpQLSeEYwFnViiqk1AbexVe1VDR73UApmeuvfn6Yr2vN8WXjwGu2Q/viewform?edit2=2_ABaOnuc2SdZLiM3_KwGb3t8cYyL1KBMc8aw6XmcJSZAOGyoIYEWsbptpcoOBCmkzbPqZMRc&amp;source=documentstudio&amp;timestamp=1769501700858</t>
  </si>
  <si>
    <t>2_ABaOnuc2SdZLiM3_KwGb3t8cYyL1KBMc8aw6XmcJSZAOGyoIYEWsbptpcoOBCmkzbPqZMRc</t>
  </si>
  <si>
    <t>Deki Arianto</t>
  </si>
  <si>
    <t>https://drive.google.com/open?id=1_6yNJTCXKIFHscvJk_BzVWuxlndhAsZH</t>
  </si>
  <si>
    <t>https://docs.google.com/forms/d/e/1FAIpQLSeEYwFnViiqk1AbexVe1VDR73UApmeuvfn6Yr2vN8WXjwGu2Q/viewform?edit2=2_ABaOnud2W3bZTI7leT3uZxkn_2hImgC2DN8F7AxeNaUcG7P_ZMX8-efftaokTPLfKwPlzhk&amp;source=documentstudio&amp;timestamp=1769586263956</t>
  </si>
  <si>
    <t>2_ABaOnud2W3bZTI7leT3uZxkn_2hImgC2DN8F7AxeNaUcG7P_ZMX8-efftaokTPLfKwPlzhk</t>
  </si>
  <si>
    <t>Saiful Mujab</t>
  </si>
  <si>
    <t>https://drive.google.com/open?id=17pvdkJcLxbbwdQmpB9NowAjMuPMvSzZR</t>
  </si>
  <si>
    <t>https://docs.google.com/forms/d/e/1FAIpQLSeEYwFnViiqk1AbexVe1VDR73UApmeuvfn6Yr2vN8WXjwGu2Q/viewform?edit2=2_ABaOnudEflst1wK0VUIrDWZskc-Rnh-_o02y4NHxySsNnycrWXTiSmEc-pTC1pphV6S2QT4&amp;source=documentstudio&amp;timestamp=1769587127698</t>
  </si>
  <si>
    <t>2_ABaOnudEflst1wK0VUIrDWZskc-Rnh-_o02y4NHxySsNnycrWXTiSmEc-pTC1pphV6S2QT4</t>
  </si>
  <si>
    <t>https://drive.google.com/open?id=1Li9rgOJLtEW85XDlXyKK-A3xhs2-lbc7</t>
  </si>
  <si>
    <t>https://docs.google.com/forms/d/e/1FAIpQLSeEYwFnViiqk1AbexVe1VDR73UApmeuvfn6Yr2vN8WXjwGu2Q/viewform?edit2=2_ABaOnueolzstFPlu2MZQjPKMocytL0SycJR5xYO15JwxY_oux8EzwCu5KdwBAfOUrScDPWI&amp;source=documentstudio&amp;timestamp=1769587293372</t>
  </si>
  <si>
    <t>2_ABaOnueolzstFPlu2MZQjPKMocytL0SycJR5xYO15JwxY_oux8EzwCu5KdwBAfOUrScDPWI</t>
  </si>
  <si>
    <t>https://drive.google.com/open?id=1ZKP9xAWFNJJ2Et8Cw9b2V0tHKvAXJn_P</t>
  </si>
  <si>
    <t>https://docs.google.com/forms/d/e/1FAIpQLSeEYwFnViiqk1AbexVe1VDR73UApmeuvfn6Yr2vN8WXjwGu2Q/viewform?edit2=2_ABaOnucq2HpRYQPCaI_dRODtENHld0uoCsc1dOK4h3NRZTtA6Fy-v7S_UeULEe0PugkIjYU&amp;source=documentstudio&amp;timestamp=1769587360042</t>
  </si>
  <si>
    <t>2_ABaOnucq2HpRYQPCaI_dRODtENHld0uoCsc1dOK4h3NRZTtA6Fy-v7S_UeULEe0PugkIjYU</t>
  </si>
  <si>
    <t>https://drive.google.com/open?id=15WIVtitVyTRmxlFpzyNLD_BO36wmr_LW</t>
  </si>
  <si>
    <t>https://docs.google.com/forms/d/e/1FAIpQLSeEYwFnViiqk1AbexVe1VDR73UApmeuvfn6Yr2vN8WXjwGu2Q/viewform?edit2=2_ABaOnuegOTX54IJt1oepCXLmX2G15CCFgVd2YyaMXPThojKxhWDwz5skUnGlmLVKg3Zf6_8&amp;source=documentstudio&amp;timestamp=1769587522465</t>
  </si>
  <si>
    <t>2_ABaOnuegOTX54IJt1oepCXLmX2G15CCFgVd2YyaMXPThojKxhWDwz5skUnGlmLVKg3Zf6_8</t>
  </si>
  <si>
    <t>https://drive.google.com/open?id=1cztuCemi27rnO6xl9P-h-_wjGJm5Li0f</t>
  </si>
  <si>
    <t>https://docs.google.com/forms/d/e/1FAIpQLSeEYwFnViiqk1AbexVe1VDR73UApmeuvfn6Yr2vN8WXjwGu2Q/viewform?edit2=2_ABaOnufkOmwC_JoCoIeOOn20HNSkQb5Ss1VIRIFDV1AeBj7Ck9IuLQm1KR6OfEnarwvqT_8&amp;source=documentstudio&amp;timestamp=1769587568474</t>
  </si>
  <si>
    <t>2_ABaOnufkOmwC_JoCoIeOOn20HNSkQb5Ss1VIRIFDV1AeBj7Ck9IuLQm1KR6OfEnarwvqT_8</t>
  </si>
  <si>
    <t>https://drive.google.com/open?id=1yi_0paqt-Bgz0WKvMQntTmGmpZTMhk6u</t>
  </si>
  <si>
    <t>https://docs.google.com/forms/d/e/1FAIpQLSeEYwFnViiqk1AbexVe1VDR73UApmeuvfn6Yr2vN8WXjwGu2Q/viewform?edit2=2_ABaOnueWPX4jdAgSyf6NVxqbYCjKDow3sA6ftwgNGx0b7N62cn0OZYnezK_9YzW16Gaxjt4&amp;source=documentstudio&amp;timestamp=1769587608763</t>
  </si>
  <si>
    <t>2_ABaOnueWPX4jdAgSyf6NVxqbYCjKDow3sA6ftwgNGx0b7N62cn0OZYnezK_9YzW16Gaxjt4</t>
  </si>
  <si>
    <t>Guruh Okta Satria</t>
  </si>
  <si>
    <t>https://drive.google.com/open?id=1B7SOEpLa1kwlOuyAhp-Ap4M0lNb7FMxz</t>
  </si>
  <si>
    <t>https://docs.google.com/forms/d/e/1FAIpQLSeEYwFnViiqk1AbexVe1VDR73UApmeuvfn6Yr2vN8WXjwGu2Q/viewform?edit2=2_ABaOnucCNGSSvJw7jfA58WI62trZ-wxTI65B1dVHK1xu34M184hyCjlJf29lX0XCAHFGieA&amp;source=documentstudio&amp;timestamp=1769588056690</t>
  </si>
  <si>
    <t>2_ABaOnucCNGSSvJw7jfA58WI62trZ-wxTI65B1dVHK1xu34M184hyCjlJf29lX0XCAHFGieA</t>
  </si>
  <si>
    <t>https://drive.google.com/open?id=1XJYc90y3czLTNcfa4iyETDMtbiJoFLyv</t>
  </si>
  <si>
    <t>https://docs.google.com/forms/d/e/1FAIpQLSeEYwFnViiqk1AbexVe1VDR73UApmeuvfn6Yr2vN8WXjwGu2Q/viewform?edit2=2_ABaOnudkAmlUyt5oORD8pLqb2gBD1VGtQha-npFFR49sSqwO1kcrpcxfl7LRfd6gjK7e0-4&amp;source=documentstudio&amp;timestamp=1769588102030</t>
  </si>
  <si>
    <t>2_ABaOnudkAmlUyt5oORD8pLqb2gBD1VGtQha-npFFR49sSqwO1kcrpcxfl7LRfd6gjK7e0-4</t>
  </si>
  <si>
    <t>https://drive.google.com/open?id=1dGmiN316k1OKuWNNKo7RqGV1VksxgDOi</t>
  </si>
  <si>
    <t>https://docs.google.com/forms/d/e/1FAIpQLSeEYwFnViiqk1AbexVe1VDR73UApmeuvfn6Yr2vN8WXjwGu2Q/viewform?edit2=2_ABaOnufvMDnVYSY-NOjQ2iPaR_MSVolIha-X1ylR5RhHWwrTBMFg-piWK0T-Qpz_u8yroaA&amp;source=documentstudio&amp;timestamp=1769588145045</t>
  </si>
  <si>
    <t>2_ABaOnufvMDnVYSY-NOjQ2iPaR_MSVolIha-X1ylR5RhHWwrTBMFg-piWK0T-Qpz_u8yroaA</t>
  </si>
  <si>
    <t>https://drive.google.com/open?id=1YxqNCzLjYwSFPCrmKjA1G-KupjZN9bfN</t>
  </si>
  <si>
    <t>https://docs.google.com/forms/d/e/1FAIpQLSeEYwFnViiqk1AbexVe1VDR73UApmeuvfn6Yr2vN8WXjwGu2Q/viewform?edit2=2_ABaOnudQHeqlUVE5thIBUe2A4Upfem-SXl37f17js2deGyD2O1vObMRRk9OiQgxSWF5wx5g&amp;source=documentstudio&amp;timestamp=1769588182570</t>
  </si>
  <si>
    <t>2_ABaOnudQHeqlUVE5thIBUe2A4Upfem-SXl37f17js2deGyD2O1vObMRRk9OiQgxSWF5wx5g</t>
  </si>
  <si>
    <t>https://drive.google.com/open?id=1L-gNmkerQb81HvOkiP2buhzyejj7A62J</t>
  </si>
  <si>
    <t>https://docs.google.com/forms/d/e/1FAIpQLSeEYwFnViiqk1AbexVe1VDR73UApmeuvfn6Yr2vN8WXjwGu2Q/viewform?edit2=2_ABaOnuf61d4Zk0tyIMdAlhMQoa0c60o6_cr718hPc-tykzF2ETH_PT8B8EKQUNAOpp9JGLQ&amp;source=documentstudio&amp;timestamp=1769588215566</t>
  </si>
  <si>
    <t>2_ABaOnuf61d4Zk0tyIMdAlhMQoa0c60o6_cr718hPc-tykzF2ETH_PT8B8EKQUNAOpp9JGLQ</t>
  </si>
  <si>
    <t>https://drive.google.com/open?id=1AsGfkFsn53-U4Qiz14HdmPt5Qrulh7oy</t>
  </si>
  <si>
    <t>https://docs.google.com/forms/d/e/1FAIpQLSeEYwFnViiqk1AbexVe1VDR73UApmeuvfn6Yr2vN8WXjwGu2Q/viewform?edit2=2_ABaOnudl35KZ0t8OkadfDbjUNqC1FkwitbQP2DvU_cNEkf3IgTqdHmI8QUjC1k_rwJGz5ug&amp;source=documentstudio&amp;timestamp=1769588276286</t>
  </si>
  <si>
    <t>2_ABaOnudl35KZ0t8OkadfDbjUNqC1FkwitbQP2DvU_cNEkf3IgTqdHmI8QUjC1k_rwJGz5ug</t>
  </si>
  <si>
    <t>Adi Bagus Utomo</t>
  </si>
  <si>
    <t>https://drive.google.com/open?id=1KiQPWnRN61WmFxKwyBcWrAQuGWtpcyPM</t>
  </si>
  <si>
    <t>https://docs.google.com/forms/d/e/1FAIpQLSeEYwFnViiqk1AbexVe1VDR73UApmeuvfn6Yr2vN8WXjwGu2Q/viewform?edit2=2_ABaOnucpyHsl_pzAdTIr9MEtmDF7d76OyBbNB6HovxpNWXcx9VaLyBOFgWcqOVHwCUHzvgA&amp;source=documentstudio&amp;timestamp=1769589429729</t>
  </si>
  <si>
    <t>2_ABaOnucpyHsl_pzAdTIr9MEtmDF7d76OyBbNB6HovxpNWXcx9VaLyBOFgWcqOVHwCUHzvgA</t>
  </si>
  <si>
    <t>https://drive.google.com/open?id=1gbsILUdRO00gqr0ASRUSlp5bv0Si601L</t>
  </si>
  <si>
    <t>https://docs.google.com/forms/d/e/1FAIpQLSeEYwFnViiqk1AbexVe1VDR73UApmeuvfn6Yr2vN8WXjwGu2Q/viewform?edit2=2_ABaOnudy1wwovMiZFs9HCsMTHG5-GSCZTBbyXL5n5KXLIb_qRfzhIADxMgf2nTYSBs5Yb8I&amp;source=documentstudio&amp;timestamp=1769589462929</t>
  </si>
  <si>
    <t>2_ABaOnudy1wwovMiZFs9HCsMTHG5-GSCZTBbyXL5n5KXLIb_qRfzhIADxMgf2nTYSBs5Yb8I</t>
  </si>
  <si>
    <t>https://drive.google.com/open?id=1pIojLanPkEG-BS3_IbMZW68vfQGu9_Jl</t>
  </si>
  <si>
    <t>https://docs.google.com/forms/d/e/1FAIpQLSeEYwFnViiqk1AbexVe1VDR73UApmeuvfn6Yr2vN8WXjwGu2Q/viewform?edit2=2_ABaOnufxehgHJCVVnX3-gucBNwP6MmyxoRHO_quidoOj7WRRRiHigHr_N6j_uHKRUz0yHp0&amp;source=documentstudio&amp;timestamp=1769589504514</t>
  </si>
  <si>
    <t>2_ABaOnufxehgHJCVVnX3-gucBNwP6MmyxoRHO_quidoOj7WRRRiHigHr_N6j_uHKRUz0yHp0</t>
  </si>
  <si>
    <t>https://drive.google.com/open?id=1hx2uYL5PPXc9Wf48mVqC1IR4K-IMSqNe</t>
  </si>
  <si>
    <t>https://docs.google.com/forms/d/e/1FAIpQLSeEYwFnViiqk1AbexVe1VDR73UApmeuvfn6Yr2vN8WXjwGu2Q/viewform?edit2=2_ABaOnufvR5FRivD1n_r8Ja5kYZ4J7l2lc77FVYWLJeLZk9krH4ECuUczJ-_Xfftyk-1DioU&amp;source=documentstudio&amp;timestamp=1769589535678</t>
  </si>
  <si>
    <t>2_ABaOnufvR5FRivD1n_r8Ja5kYZ4J7l2lc77FVYWLJeLZk9krH4ECuUczJ-_Xfftyk-1DioU</t>
  </si>
  <si>
    <t>https://drive.google.com/open?id=1hsY_seZesBKYdcsmgVsUVHBYwCJURrTQ</t>
  </si>
  <si>
    <t>https://docs.google.com/forms/d/e/1FAIpQLSeEYwFnViiqk1AbexVe1VDR73UApmeuvfn6Yr2vN8WXjwGu2Q/viewform?edit2=2_ABaOnufDyop6f2-x6MDuoj95QyLjGAyTCnlzaeNFd3RYLHoBhHwQckSt64JpojgEoH9UjO4&amp;source=documentstudio&amp;timestamp=1769589560652</t>
  </si>
  <si>
    <t>2_ABaOnufDyop6f2-x6MDuoj95QyLjGAyTCnlzaeNFd3RYLHoBhHwQckSt64JpojgEoH9UjO4</t>
  </si>
  <si>
    <t>https://drive.google.com/open?id=1Qlo5JFCdhsbooC8x-wQw5DY9Rb9WUIEo</t>
  </si>
  <si>
    <t>https://docs.google.com/forms/d/e/1FAIpQLSeEYwFnViiqk1AbexVe1VDR73UApmeuvfn6Yr2vN8WXjwGu2Q/viewform?edit2=2_ABaOnuepKGckFcou1Del2H0kHPdpa-vs5NF7cNo1UKW2dDXxMHO3mXc4UkcxcTz7Wv3w5qA&amp;source=documentstudio&amp;timestamp=1769589589555</t>
  </si>
  <si>
    <t>2_ABaOnuepKGckFcou1Del2H0kHPdpa-vs5NF7cNo1UKW2dDXxMHO3mXc4UkcxcTz7Wv3w5qA</t>
  </si>
  <si>
    <t>https://drive.google.com/open?id=1kL4XgFQrzWgSfVvZtqobJAZ5MrWjUfsG</t>
  </si>
  <si>
    <t>https://docs.google.com/forms/d/e/1FAIpQLSeEYwFnViiqk1AbexVe1VDR73UApmeuvfn6Yr2vN8WXjwGu2Q/viewform?edit2=2_ABaOnufcwbZ2fQoIoTm5ysODMhGFMAB0wUrFSdjsRzlWD2ky_btmGrt6ja1WZxGbdsXKYIo&amp;source=documentstudio&amp;timestamp=1769595708990</t>
  </si>
  <si>
    <t>2_ABaOnufcwbZ2fQoIoTm5ysODMhGFMAB0wUrFSdjsRzlWD2ky_btmGrt6ja1WZxGbdsXKYIo</t>
  </si>
  <si>
    <t>https://drive.google.com/open?id=1rfZFDzAmGvQJd8ZfuC_wKyqH91dH3cLG</t>
  </si>
  <si>
    <t>https://docs.google.com/forms/d/e/1FAIpQLSeEYwFnViiqk1AbexVe1VDR73UApmeuvfn6Yr2vN8WXjwGu2Q/viewform?edit2=2_ABaOnucQTN1B4yJm5BtMwnIYU9po-P4Oougtoap1u0zMQFkZoDzZM0kWmO5cAMJwu1zkoN0&amp;source=documentstudio&amp;timestamp=1769595770904</t>
  </si>
  <si>
    <t>2_ABaOnucQTN1B4yJm5BtMwnIYU9po-P4Oougtoap1u0zMQFkZoDzZM0kWmO5cAMJwu1zkoN0</t>
  </si>
  <si>
    <t>https://drive.google.com/open?id=11eO8edseGQvJ7J9VHxdD30pJhvkecB7d</t>
  </si>
  <si>
    <t>https://docs.google.com/forms/d/e/1FAIpQLSeEYwFnViiqk1AbexVe1VDR73UApmeuvfn6Yr2vN8WXjwGu2Q/viewform?edit2=2_ABaOnufQDb9RdkQJ_Aw3R6N0ITTyOlyyRyClALQltEnLBFfHPeoG9jW6T-4dy1FFs-wHbys&amp;source=documentstudio&amp;timestamp=1769595837863</t>
  </si>
  <si>
    <t>2_ABaOnufQDb9RdkQJ_Aw3R6N0ITTyOlyyRyClALQltEnLBFfHPeoG9jW6T-4dy1FFs-wHbys</t>
  </si>
  <si>
    <t>https://drive.google.com/open?id=1S3aebVJsK7SlIWgA9hmtToeP5v0EnwUt</t>
  </si>
  <si>
    <t>https://docs.google.com/forms/d/e/1FAIpQLSeEYwFnViiqk1AbexVe1VDR73UApmeuvfn6Yr2vN8WXjwGu2Q/viewform?edit2=2_ABaOnuek9l2z_xxnev7q2G3P7I2XdAzrvatt3okg8rpbABSF8e9W7O0JmPbxjx8JsRZFBp4&amp;source=documentstudio&amp;timestamp=1769595885325</t>
  </si>
  <si>
    <t>2_ABaOnuek9l2z_xxnev7q2G3P7I2XdAzrvatt3okg8rpbABSF8e9W7O0JmPbxjx8JsRZFBp4</t>
  </si>
  <si>
    <t>Deki Ardianto</t>
  </si>
  <si>
    <t>https://drive.google.com/open?id=1JAn3SwgUd72WOLjxVgdKa-dj2SeDI2in</t>
  </si>
  <si>
    <t>https://docs.google.com/forms/d/e/1FAIpQLSeEYwFnViiqk1AbexVe1VDR73UApmeuvfn6Yr2vN8WXjwGu2Q/viewform?edit2=2_ABaOnuchBOaTkDOBLZVavUwudgbYkgSVb7q-lcqbLiHmjVpuC_wd3_lJOHwG_tTA_wX5n-Y&amp;source=documentstudio&amp;timestamp=1769614021363</t>
  </si>
  <si>
    <t>2_ABaOnuchBOaTkDOBLZVavUwudgbYkgSVb7q-lcqbLiHmjVpuC_wd3_lJOHwG_tTA_wX5n-Y</t>
  </si>
  <si>
    <t>https://drive.google.com/open?id=17ZMzguiCNojeDG0uZSJ4JsWLGiziZFbb</t>
  </si>
  <si>
    <t>https://docs.google.com/forms/d/e/1FAIpQLSeEYwFnViiqk1AbexVe1VDR73UApmeuvfn6Yr2vN8WXjwGu2Q/viewform?edit2=2_ABaOnudbxfTEI2PbwAJnAvjVlUHhFMRnoOYhq12yZtMDRpheaI8NC9UHlFk7qcZeyyyxEtA&amp;source=documentstudio&amp;timestamp=1769614059956</t>
  </si>
  <si>
    <t>2_ABaOnudbxfTEI2PbwAJnAvjVlUHhFMRnoOYhq12yZtMDRpheaI8NC9UHlFk7qcZeyyyxEtA</t>
  </si>
  <si>
    <t>https://drive.google.com/open?id=1Di1F3P9DxMcPb0FvCOyP5jzYZLL5rCh6</t>
  </si>
  <si>
    <t>https://docs.google.com/forms/d/e/1FAIpQLSeEYwFnViiqk1AbexVe1VDR73UApmeuvfn6Yr2vN8WXjwGu2Q/viewform?edit2=2_ABaOnucVL9a8fWzTWcXkP9fWFKwAjPN2dVV8WDHhymGwbYn6iCJIToiswDRyQlBnv7f21p8&amp;source=documentstudio&amp;timestamp=1769614093351</t>
  </si>
  <si>
    <t>2_ABaOnucVL9a8fWzTWcXkP9fWFKwAjPN2dVV8WDHhymGwbYn6iCJIToiswDRyQlBnv7f21p8</t>
  </si>
  <si>
    <t>https://drive.google.com/open?id=133onWMyDe_9q41kDu7dGnKBdpdfiWk02</t>
  </si>
  <si>
    <t>https://docs.google.com/forms/d/e/1FAIpQLSeEYwFnViiqk1AbexVe1VDR73UApmeuvfn6Yr2vN8WXjwGu2Q/viewform?edit2=2_ABaOnufLG-5l4ExYINVlYdqZrv7VdrpVeGkwptnWasbd3K9oaFmoPR5JYhNAfto_pjFcHpY&amp;source=documentstudio&amp;timestamp=1769648104682</t>
  </si>
  <si>
    <t>2_ABaOnufLG-5l4ExYINVlYdqZrv7VdrpVeGkwptnWasbd3K9oaFmoPR5JYhNAfto_pjFcHpY</t>
  </si>
  <si>
    <t>https://drive.google.com/open?id=1mPpiI2m7AY_g0SIpsW3HeYrDRYHvTIeP</t>
  </si>
  <si>
    <t>https://docs.google.com/forms/d/e/1FAIpQLSeEYwFnViiqk1AbexVe1VDR73UApmeuvfn6Yr2vN8WXjwGu2Q/viewform?edit2=2_ABaOnue76-gL97NlQOPuDJTCPZfDqgDVWNFS8OIY3N-_yaVJeohOaIT73TxMVUySY6_OoBw&amp;source=documentstudio&amp;timestamp=1769648218736</t>
  </si>
  <si>
    <t>2_ABaOnue76-gL97NlQOPuDJTCPZfDqgDVWNFS8OIY3N-_yaVJeohOaIT73TxMVUySY6_OoBw</t>
  </si>
  <si>
    <t>https://drive.google.com/open?id=1ELILTorrQh7J259BC1UNVCK2Eu_zSv3n</t>
  </si>
  <si>
    <t>https://docs.google.com/forms/d/e/1FAIpQLSeEYwFnViiqk1AbexVe1VDR73UApmeuvfn6Yr2vN8WXjwGu2Q/viewform?edit2=2_ABaOnudZpYvtYrvDUIh8tjHDTZW5Acg1fyDfnT7Vg49sCdefGkIqh4MUaFcuT_U_n-VGphI&amp;source=documentstudio&amp;timestamp=1769652669853</t>
  </si>
  <si>
    <t>2_ABaOnudZpYvtYrvDUIh8tjHDTZW5Acg1fyDfnT7Vg49sCdefGkIqh4MUaFcuT_U_n-VGphI</t>
  </si>
  <si>
    <t>No</t>
  </si>
  <si>
    <t>Nama Pegawai</t>
  </si>
  <si>
    <t>Retno Dian Ika Wati</t>
  </si>
  <si>
    <t>Document Studio Logs</t>
  </si>
  <si>
    <t>👋🏻 Please do not edit or delete this sheet)</t>
  </si>
  <si>
    <t>⚠️  NO_QUOTA FormRow #1791 Sorry, your free limit  per week is exhausted.</t>
  </si>
  <si>
    <t>⚠️  NO_QUOTA FormRow #1790 Sorry, your free limit  per week is exhausted.</t>
  </si>
  <si>
    <t>⚠️  NO_QUOTA FormRow #1789 Sorry, your free limit  per week is exhausted.</t>
  </si>
  <si>
    <t>⚠️  NO_QUOTA FormRow #1788 Sorry, your free limit  per week is exhausted.</t>
  </si>
  <si>
    <t>⚠️  NO_QUOTA FormRow #1787 Sorry, your free limit  per week is exhausted.</t>
  </si>
  <si>
    <t>⚠️  NO_QUOTA FormRow #1786 Sorry, your free limit  per week is exhausted.</t>
  </si>
  <si>
    <t>⚠️  NO_QUOTA FormRow #1785 Sorry, your free limit  per week is exhausted.</t>
  </si>
  <si>
    <t>⚠️  NO_QUOTA FormRow #1784 Sorry, your free limit  per week is exhausted.</t>
  </si>
  <si>
    <t>⚠️  NO_QUOTA FormRow #1783 Sorry, your free limit  per week is exhausted.</t>
  </si>
  <si>
    <t>⚠️  NO_QUOTA FormRow #1782 Sorry, your free limit  per week is exhausted.</t>
  </si>
  <si>
    <t>⚠️  NO_QUOTA FormRow #1781 Sorry, your free limit  per week is exhausted.</t>
  </si>
  <si>
    <t>⚠️  NO_QUOTA FormRow #1780 Sorry, your free limit  per week is exhausted.</t>
  </si>
  <si>
    <t>⚠️  NO_QUOTA FormRow #1779 Sorry, your free limit  per week is exhausted.</t>
  </si>
  <si>
    <t>⚠️  NO_QUOTA FormRow #1778 Sorry, your free limit  per week is exhausted.</t>
  </si>
  <si>
    <t>⚠️  NO_QUOTA FormRow #1777 Sorry, your free limit  per week is exhausted.</t>
  </si>
  <si>
    <t>⚠️  NO_QUOTA FormRow #1776 Sorry, your free limit  per week is exhausted.</t>
  </si>
  <si>
    <t>⚠️  NO_QUOTA FormRow #1775 Sorry, your free limit  per week is exhausted.</t>
  </si>
  <si>
    <t>⚠️  NO_QUOTA FormRow #1774 Sorry, your free limit  per week is exhausted.</t>
  </si>
  <si>
    <t>⚠️  NO_QUOTA FormRow #1773 Sorry, your free limit  per week is exhausted.</t>
  </si>
  <si>
    <t>⚠️  NO_QUOTA FormRow #1772 Sorry, your free limit  per week is exhausted.</t>
  </si>
  <si>
    <t>⚠️  NO_QUOTA FormRow #1771 Sorry, your free limit  per week is exhausted.</t>
  </si>
  <si>
    <t>⚠️  NO_QUOTA FormRow #1770 Sorry, your free limit  per week is exhausted.</t>
  </si>
  <si>
    <t>⚠️  NO_QUOTA FormRow #1769 Sorry, your free limit  per week is exhausted.</t>
  </si>
  <si>
    <t>⚠️  NO_QUOTA FormRow #1768 Sorry, your free limit  per week is exhausted.</t>
  </si>
  <si>
    <t>⚠️  NO_QUOTA FormRow #1767 Sorry, your free limit  per week is exhausted.</t>
  </si>
  <si>
    <t>⚠️  NO_QUOTA FormRow #1766 Sorry, your free limit  per week is exhausted.</t>
  </si>
  <si>
    <t>⚠️  NO_QUOTA FormRow #1765 Sorry, your free limit  per week is exhausted.</t>
  </si>
  <si>
    <t>⚠️  NO_QUOTA FormRow #1764 Sorry, your free limit  per week is exhausted.</t>
  </si>
  <si>
    <t>⚠️  NO_QUOTA FormRow #1763 Sorry, your free limit  per week is exhausted.</t>
  </si>
  <si>
    <t>⚠️  NO_QUOTA FormRow #1762 Sorry, your free limit  per week is exhausted.</t>
  </si>
  <si>
    <t>⚠️  NO_QUOTA FormRow #1761 Sorry, your free limit  per week is exhausted.</t>
  </si>
  <si>
    <t>⚠️  NO_QUOTA FormRow #1760 Sorry, your free limit  per week is exhausted.</t>
  </si>
  <si>
    <t>⚠️  NO_QUOTA FormRow #1759 Sorry, your free limit  per week is exhausted.</t>
  </si>
  <si>
    <t>⚠️  NO_QUOTA FormRow #1758 Sorry, your free limit  per week is exhausted.</t>
  </si>
  <si>
    <t>⚠️  NO_QUOTA FormRow #1757 Sorry, your free limit  per week is exhausted.</t>
  </si>
  <si>
    <t>⚠️  NO_QUOTA FormRow #1756 Sorry, your free limit  per week is exhausted.</t>
  </si>
  <si>
    <t>⚠️  NO_QUOTA FormRow #1755 Sorry, your free limit  per week is exhausted.</t>
  </si>
  <si>
    <t>⚠️  NO_QUOTA FormRow #1754 Sorry, your free limit  per week is exhausted.</t>
  </si>
  <si>
    <t>⚠️  NO_QUOTA FormRow #1753 Sorry, your free limit  per week is exhausted.</t>
  </si>
  <si>
    <t>⚠️  NO_QUOTA FormRow #1752 Sorry, your free limit  per week is exhausted.</t>
  </si>
  <si>
    <t>⚠️  NO_QUOTA FormRow #1751 Sorry, your free limit  per week is exhausted.</t>
  </si>
  <si>
    <t>⚠️  NO_QUOTA FormRow #1750 Sorry, your free limit  per week is exhausted.</t>
  </si>
  <si>
    <t>⚠️  NO_QUOTA FormRow #1748 Sorry, your free limit  per week is exhausted.</t>
  </si>
  <si>
    <t>⚠️  NO_QUOTA FormRow #1747 Sorry, your free limit  per week is exhausted.</t>
  </si>
  <si>
    <t>⚠️  NO_QUOTA FormRow #1746 Sorry, your free limit  per week is exhausted.</t>
  </si>
  <si>
    <t>⚠️  NO_QUOTA FormRow #1745 Sorry, your free limit  per week is exhausted.</t>
  </si>
  <si>
    <t>⚠️  NO_QUOTA FormRow #1744 Sorry, your free limit  per week is exhausted.</t>
  </si>
  <si>
    <t>⚠️  NO_QUOTA FormRow #1743 Sorry, your free limit  per week is exhausted.</t>
  </si>
  <si>
    <t>⚠️  NO_QUOTA FormRow #1742 Sorry, your free limit  per week is exhausted.</t>
  </si>
  <si>
    <t>⚠️  NO_QUOTA FormRow #1741 Sorry, your free limit  per week is exhausted.</t>
  </si>
  <si>
    <t>⚠️  NO_QUOTA FormRow #1740 Sorry, your free limit  per week is exhausted.</t>
  </si>
  <si>
    <t>⚠️  NO_QUOTA FormRow #1739 Sorry, your free limit  per week is exhausted.</t>
  </si>
  <si>
    <t>⚠️  NO_QUOTA FormRow #1738 Sorry, your free limit  per week is exhausted.</t>
  </si>
  <si>
    <t>⚠️  NO_QUOTA FormRow #1737 Sorry, your free limit  per week is exhausted.</t>
  </si>
  <si>
    <t>⚠️  NO_QUOTA FormRow #1736 Sorry, your free limit  per week is exhausted.</t>
  </si>
  <si>
    <t>⚠️  NO_QUOTA FormRow #1735 Sorry, your free limit  per week is exhausted.</t>
  </si>
  <si>
    <t>⚠️  NO_QUOTA FormRow #1734 Sorry, your free limit  per week is exhausted.</t>
  </si>
  <si>
    <t>⚠️  NO_QUOTA FormRow #1733 Sorry, your free limit  per week is exhausted.</t>
  </si>
  <si>
    <t>⚠️  NO_QUOTA FormRow #1732 Sorry, your free limit  per week is exhausted.</t>
  </si>
  <si>
    <t>✔️  [Form Responses 1] Processed form row #1731 by bpsdemak3321@gmail.com</t>
  </si>
  <si>
    <t>✔️  [Form Responses 1] Processed form row #1730 by bpsdemak3321@gmail.com</t>
  </si>
  <si>
    <t>✔️  [Form Responses 1] Processed form row #1729 by bpsdemak3321@gmail.com</t>
  </si>
  <si>
    <t>✔️  [Form Responses 1] Processed form row #1728 by bpsdemak3321@gmail.com</t>
  </si>
  <si>
    <t>✔️  [Form Responses 1] Processed form row #1727 by bpsdemak3321@gmail.com</t>
  </si>
  <si>
    <t>✔️  [Form Responses 1] Processed form row #1726 by bpsdemak3321@gmail.com</t>
  </si>
  <si>
    <t>✔️  [Form Responses 1] Processed form row #1725 by bpsdemak3321@gmail.com</t>
  </si>
  <si>
    <t>✔️  [Form Responses 1] Processed form row #1724 by bpsdemak3321@gmail.com</t>
  </si>
  <si>
    <t>✔️  [Form Responses 1] Processed form row #1723 by bpsdemak3321@gmail.com</t>
  </si>
  <si>
    <t>✔️  [Form Responses 1] Processed form row #1722 by bpsdemak3321@gmail.com</t>
  </si>
  <si>
    <t>✔️  [Form Responses 1] Processed form row #1721 by bpsdemak3321@gmail.com</t>
  </si>
  <si>
    <t>✔️  [Form Responses 1] Processed form row #1720 by bpsdemak3321@gmail.com</t>
  </si>
  <si>
    <t>✔️  [Form Responses 1] Processed form row #1719 by bpsdemak3321@gmail.com</t>
  </si>
  <si>
    <t>✔️  [Form Responses 1] Processed form row #1718 by bpsdemak3321@gmail.com</t>
  </si>
  <si>
    <t>✔️  [Form Responses 1] Processed form row #1717 by bpsdemak3321@gmail.com</t>
  </si>
  <si>
    <t>✔️  [Form Responses 1] Processed form row #1716 by bpsdemak3321@gmail.com</t>
  </si>
  <si>
    <t>✔️  [Form Responses 1] Processed form row #1715 by bpsdemak3321@gmail.com</t>
  </si>
  <si>
    <t>✔️  [Form Responses 1] Processed form row #1714 by bpsdemak3321@gmail.com</t>
  </si>
  <si>
    <t>✔️  [Form Responses 1] Processed form row #1713 by bpsdemak3321@gmail.com</t>
  </si>
  <si>
    <t>✔️  [Form Responses 1] Processed form row #1712 by bpsdemak3321@gmail.com</t>
  </si>
  <si>
    <t>✔️  [Form Responses 1] Processed form row #1711 by bpsdemak3321@gmail.com</t>
  </si>
  <si>
    <t>✔️  [Form Responses 1] Processed form row #1710 by bpsdemak3321@gmail.com</t>
  </si>
  <si>
    <t>✔️  [Form Responses 1] Processed form row #1709 by bpsdemak3321@gmail.com</t>
  </si>
  <si>
    <t>✔️  [Form Responses 1] Processed form row #1708 by bpsdemak3321@gmail.com</t>
  </si>
  <si>
    <t>✔️  [Form Responses 1] Processed form row #1707 by bpsdemak3321@gmail.com</t>
  </si>
  <si>
    <t>✔️  [Form Responses 1] Processed form row #1706 by bpsdemak3321@gmail.com</t>
  </si>
  <si>
    <t>⚠️  NO_QUOTA FormRow #1705 Sorry, your free limit  per week is exhausted.</t>
  </si>
  <si>
    <t>⚠️  NO_QUOTA FormRow #1704 Sorry, your free limit  per week is exhausted.</t>
  </si>
  <si>
    <t>⚠️  NO_QUOTA FormRow #1703 Sorry, your free limit  per week is exhausted.</t>
  </si>
  <si>
    <t>⚠️  NO_QUOTA FormRow #1702 Sorry, your free limit  per week is exhausted.</t>
  </si>
  <si>
    <t>⚠️  NO_QUOTA FormRow #1701 Sorry, your free limit  per week is exhausted.</t>
  </si>
  <si>
    <t>⚠️  NO_QUOTA FormRow #1700 Sorry, your free limit  per week is exhausted.</t>
  </si>
  <si>
    <t>⚠️  NO_QUOTA FormRow #1699 Sorry, your free limit  per week is exhausted.</t>
  </si>
  <si>
    <t>⚠️  NO_QUOTA FormRow #1698 Sorry, your free limit  per week is exhausted.</t>
  </si>
  <si>
    <t>⚠️  NO_QUOTA FormRow #1697 Sorry, your free limit  per week is exhausted.</t>
  </si>
  <si>
    <t>⚠️  NO_QUOTA FormRow #1696 Sorry, your free limit  per week is exhausted.</t>
  </si>
  <si>
    <t>⚠️  NO_QUOTA FormRow #1695 Sorry, your free limit  per week is exhausted.</t>
  </si>
  <si>
    <t>⚠️  NO_QUOTA FormRow #1694 Sorry, your free limit  per week is exhausted.</t>
  </si>
  <si>
    <t>⚠️  NO_QUOTA FormRow #1693 Sorry, your free limit  per week is exhausted.</t>
  </si>
  <si>
    <t>⚠️  NO_QUOTA FormRow #1692 Sorry, your free limit  per week is exhausted.</t>
  </si>
  <si>
    <t>⚠️  NO_QUOTA FormRow #1691 Sorry, your free limit  per week is exhausted.</t>
  </si>
  <si>
    <t>⚠️  NO_QUOTA FormRow #1690 Sorry, your free limit  per week is exhausted.</t>
  </si>
  <si>
    <t>⚠️  NO_QUOTA FormRow #1689 Sorry, your free limit  per week is exhausted.</t>
  </si>
  <si>
    <t>⚠️  NO_QUOTA FormRow #1688 Sorry, your free limit  per week is exhausted.</t>
  </si>
  <si>
    <t>⚠️  NO_QUOTA FormRow #1687 Sorry, your free limit  per week is exhausted.</t>
  </si>
  <si>
    <t>⚠️  NO_QUOTA FormRow #1686 Sorry, your free limit  per week is exhausted.</t>
  </si>
  <si>
    <t>⚠️  NO_QUOTA FormRow #1685 Sorry, your free limit  per week is exhausted.</t>
  </si>
  <si>
    <t>⚠️  NO_QUOTA FormRow #1684 Sorry, your free limit  per week is exhausted.</t>
  </si>
  <si>
    <t>⚠️  NO_QUOTA FormRow #1683 Sorry, your free limit  per week is exhausted.</t>
  </si>
  <si>
    <t>⚠️  NO_QUOTA FormRow #1682 Sorry, your free limit  per week is exhausted.</t>
  </si>
  <si>
    <t>⚠️  NO_QUOTA FormRow #1681 Sorry, your free limit  per week is exhausted.</t>
  </si>
  <si>
    <t>⚠️  NO_QUOTA FormRow #1680 Sorry, your free limit  per week is exhausted.</t>
  </si>
  <si>
    <t>⚠️  NO_QUOTA FormRow #1679 Sorry, your free limit  per week is exhausted.</t>
  </si>
  <si>
    <t>⚠️  NO_QUOTA FormRow #1678 Sorry, your free limit  per week is exhausted.</t>
  </si>
  <si>
    <t>⚠️  NO_QUOTA FormRow #1677 Sorry, your free limit  per week is exhausted.</t>
  </si>
  <si>
    <t>⚠️  NO_QUOTA FormRow #1676 Sorry, your free limit  per week is exhausted.</t>
  </si>
  <si>
    <t>⚠️  NO_QUOTA FormRow #1675 Sorry, your free limit  per week is exhausted.</t>
  </si>
  <si>
    <t>⚠️  NO_QUOTA FormRow #1674 Sorry, your free limit  per week is exhausted.</t>
  </si>
  <si>
    <t>⚠️  NO_QUOTA FormRow #1673 Sorry, your free limit  per week is exhausted.</t>
  </si>
  <si>
    <t>⚠️  NO_QUOTA FormRow #1672 Sorry, your free limit  per week is exhausted.</t>
  </si>
  <si>
    <t>⚠️  NO_QUOTA FormRow #1671 Sorry, your free limit  per week is exhausted.</t>
  </si>
  <si>
    <t>⚠️  NO_QUOTA FormRow #1670 Sorry, your free limit  per week is exhausted.</t>
  </si>
  <si>
    <t>⚠️  NO_QUOTA FormRow #1669 Sorry, your free limit  per week is exhausted.</t>
  </si>
  <si>
    <t>⚠️  NO_QUOTA FormRow #1668 Sorry, your free limit  per week is exhausted.</t>
  </si>
  <si>
    <t>⚠️  NO_QUOTA FormRow #1667 Sorry, your free limit  per week is exhausted.</t>
  </si>
  <si>
    <t>⚠️  NO_QUOTA FormRow #1666 Sorry, your free limit  per week is exhausted.</t>
  </si>
  <si>
    <t>⚠️  NO_QUOTA FormRow #1665 Sorry, your free limit  per week is exhausted.</t>
  </si>
  <si>
    <t>⚠️  NO_QUOTA FormRow #1664 Sorry, your free limit  per week is exhausted.</t>
  </si>
  <si>
    <t>⚠️  NO_QUOTA FormRow #1663 Sorry, your free limit  per week is exhausted.</t>
  </si>
  <si>
    <t>⚠️  NO_QUOTA FormRow #1662 Sorry, your free limit  per week is exhausted.</t>
  </si>
  <si>
    <t>⚠️  NO_QUOTA FormRow #1661 Sorry, your free limit  per week is exhausted.</t>
  </si>
  <si>
    <t>⚠️  NO_QUOTA FormRow #1660 Sorry, your free limit  per week is exhausted.</t>
  </si>
  <si>
    <t>⚠️  NO_QUOTA FormRow #1659 Sorry, your free limit  per week is exhausted.</t>
  </si>
  <si>
    <t>⚠️  NO_QUOTA FormRow #1658 Sorry, your free limit  per week is exhausted.</t>
  </si>
  <si>
    <t>⚠️  NO_QUOTA FormRow #1657 Sorry, your free limit  per week is exhausted.</t>
  </si>
  <si>
    <t>⚠️  NO_QUOTA FormRow #1656 Sorry, your free limit  per week is exhausted.</t>
  </si>
  <si>
    <t>⚠️  NO_QUOTA FormRow #1655 Sorry, your free limit  per week is exhausted.</t>
  </si>
  <si>
    <t>⚠️  NO_QUOTA FormRow #1654 Sorry, your free limit  per week is exhausted.</t>
  </si>
  <si>
    <t>⚠️  NO_QUOTA FormRow #1653 Sorry, your free limit  per week is exhausted.</t>
  </si>
  <si>
    <t>⚠️  NO_QUOTA FormRow #1652 Sorry, your free limit  per week is exhausted.</t>
  </si>
  <si>
    <t>⚠️  NO_QUOTA FormRow #1651 Sorry, your free limit  per week is exhausted.</t>
  </si>
  <si>
    <t>⚠️  NO_QUOTA FormRow #1650 Sorry, your free limit  per week is exhausted.</t>
  </si>
  <si>
    <t>✔️  [Form Responses 1] Processed form row #1649 by bpsdemak3321@gmail.com</t>
  </si>
  <si>
    <t>✔️  [Form Responses 1] Processed form row #1648 by bpsdemak3321@gmail.com</t>
  </si>
  <si>
    <t>✔️  [Form Responses 1] Processed form row #1647 by bpsdemak3321@gmail.com</t>
  </si>
  <si>
    <t>✔️  [Form Responses 1] Processed form row #1646 by bpsdemak3321@gmail.com</t>
  </si>
  <si>
    <t>✔️  [Form Responses 1] Processed form row #1645 by bpsdemak3321@gmail.com</t>
  </si>
  <si>
    <t>✔️  [Form Responses 1] Processed form row #1644 by bpsdemak3321@gmail.com</t>
  </si>
  <si>
    <t>✔️  [Form Responses 1] Processed form row #1643 by bpsdemak3321@gmail.com</t>
  </si>
  <si>
    <t>✔️  [Form Responses 1] Processed form row #1642 by bpsdemak3321@gmail.com</t>
  </si>
  <si>
    <t>✔️  [Form Responses 1] Processed form row #1641 by bpsdemak3321@gmail.com</t>
  </si>
  <si>
    <t>✔️  [Form Responses 1] Processed form row #1640 by bpsdemak3321@gmail.com</t>
  </si>
  <si>
    <t>✔️  [Form Responses 1] Processed form row #1639 by bpsdemak3321@gmail.com</t>
  </si>
  <si>
    <t>✔️  [Form Responses 1] Processed form row #1638 by bpsdemak3321@gmail.com</t>
  </si>
  <si>
    <t>✔️  [Form Responses 1] Processed form row #1637 by bpsdemak3321@gmail.com</t>
  </si>
  <si>
    <t>✔️  [Form Responses 1] Processed form row #1636 by bpsdemak3321@gmail.com</t>
  </si>
  <si>
    <t>✔️  [Form Responses 1] Processed form row #1635 by bpsdemak3321@gmail.com</t>
  </si>
  <si>
    <t>✔️  [Form Responses 1] Processed form row #1634 by bpsdemak3321@gmail.com</t>
  </si>
  <si>
    <t>✔️  [Form Responses 1] Processed form row #1633 by bpsdemak3321@gmail.com</t>
  </si>
  <si>
    <t>✔️  [Form Responses 1] Processed form row #1632 by bpsdemak3321@gmail.com</t>
  </si>
  <si>
    <t>✔️  [Form Responses 1] Processed form row #1631 by bpsdemak3321@gmail.com</t>
  </si>
  <si>
    <t>✔️  [Form Responses 1] Processed form row #1630 by bpsdemak3321@gmail.com</t>
  </si>
  <si>
    <t>✔️  [Form Responses 1] Processed form row #1629 by bpsdemak3321@gmail.com</t>
  </si>
  <si>
    <t>✔️  [Form Responses 1] Processed form row #1628 by bpsdemak3321@gmail.com</t>
  </si>
  <si>
    <t>✔️  [Form Responses 1] Processed form row #1627 by bpsdemak3321@gmail.com</t>
  </si>
  <si>
    <t>✔️  [Form Responses 1] Processed form row #1626 by bpsdemak3321@gmail.com</t>
  </si>
  <si>
    <t>✔️  [Form Responses 1] Processed form row #1625 by bpsdemak3321@gmail.com</t>
  </si>
  <si>
    <t>⚠️  NO_QUOTA FormRow #1624 Sorry, your free limit  per week is exhausted.</t>
  </si>
  <si>
    <t>⚠️  NO_QUOTA FormRow #1623 Sorry, your free limit  per week is exhausted.</t>
  </si>
  <si>
    <t>⚠️  NO_QUOTA FormRow #1622 Sorry, your free limit  per week is exhausted.</t>
  </si>
  <si>
    <t>⚠️  NO_QUOTA FormRow #1621 Sorry, your free limit  per week is exhausted.</t>
  </si>
  <si>
    <t>⚠️  NO_QUOTA FormRow #1620 Sorry, your free limit  per week is exhausted.</t>
  </si>
  <si>
    <t>⚠️  NO_QUOTA FormRow #1619 Sorry, your free limit  per week is exhausted.</t>
  </si>
  <si>
    <t>⚠️  NO_QUOTA FormRow #1618 Sorry, your free limit  per week is exhausted.</t>
  </si>
  <si>
    <t>⚠️  NO_QUOTA FormRow #1617 Sorry, your free limit  per week is exhausted.</t>
  </si>
  <si>
    <t>⚠️  NO_QUOTA FormRow #1616 Sorry, your free limit  per week is exhausted.</t>
  </si>
  <si>
    <t>⚠️  NO_QUOTA FormRow #1615 Sorry, your free limit  per week is exhausted.</t>
  </si>
  <si>
    <t>⚠️  NO_QUOTA FormRow #1614 Sorry, your free limit  per week is exhausted.</t>
  </si>
  <si>
    <t>⚠️  NO_QUOTA FormRow #1613 Sorry, your free limit  per week is exhausted.</t>
  </si>
  <si>
    <t>⚠️  NO_QUOTA FormRow #1612 Sorry, your free limit  per week is exhausted.</t>
  </si>
  <si>
    <t>⚠️  NO_QUOTA FormRow #1611 Sorry, your free limit  per week is exhausted.</t>
  </si>
  <si>
    <t>⚠️  NO_QUOTA FormRow #1610 Sorry, your free limit  per week is exhausted.</t>
  </si>
  <si>
    <t>⚠️  NO_QUOTA FormRow #1609 Sorry, your free limit  per week is exhausted.</t>
  </si>
  <si>
    <t>⚠️  NO_QUOTA FormRow #1608 Sorry, your free limit  per week is exhausted.</t>
  </si>
  <si>
    <t>⚠️  NO_QUOTA FormRow #1607 Sorry, your free limit  per week is exhausted.</t>
  </si>
  <si>
    <t>⚠️  NO_QUOTA FormRow #1606 Sorry, your free limit  per week is exhausted.</t>
  </si>
  <si>
    <t>⚠️  NO_QUOTA FormRow #1605 Sorry, your free limit  per week is exhausted.</t>
  </si>
  <si>
    <t>⚠️  NO_QUOTA FormRow #1604 Sorry, your free limit  per week is exhausted.</t>
  </si>
  <si>
    <t>⚠️  NO_QUOTA FormRow #1603 Sorry, your free limit  per week is exhausted.</t>
  </si>
  <si>
    <t>⚠️  NO_QUOTA FormRow #1602 Sorry, your free limit  per week is exhausted.</t>
  </si>
  <si>
    <t>⚠️  NO_QUOTA FormRow #1601 Sorry, your free limit  per week is exhausted.</t>
  </si>
  <si>
    <t>⚠️  NO_QUOTA FormRow #1600 Sorry, your free limit  per week is exhausted.</t>
  </si>
  <si>
    <t>⚠️  NO_QUOTA FormRow #1599 Sorry, your free limit  per week is exhausted.</t>
  </si>
  <si>
    <t>⚠️  NO_QUOTA FormRow #1598 Sorry, your free limit  per week is exhausted.</t>
  </si>
  <si>
    <t>⚠️  NO_QUOTA FormRow #1596 Sorry, your free limit  per week is exhausted.</t>
  </si>
  <si>
    <t>⚠️  NO_QUOTA FormRow #1597 Sorry, your free limit  per week is exhausted.</t>
  </si>
  <si>
    <t>⚠️  NO_QUOTA FormRow #1595 Sorry, your free limit  per week is exhausted.</t>
  </si>
  <si>
    <t>⚠️  NO_QUOTA FormRow #1594 Sorry, your free limit  per week is exhausted.</t>
  </si>
  <si>
    <t>⚠️  NO_QUOTA FormRow #1593 Sorry, your free limit  per week is exhausted.</t>
  </si>
  <si>
    <t>⚠️  NO_QUOTA FormRow #1592 Sorry, your free limit  per week is exhausted.</t>
  </si>
  <si>
    <t>⚠️  NO_QUOTA FormRow #1591 Sorry, your free limit  per week is exhausted.</t>
  </si>
  <si>
    <t>⚠️  NO_QUOTA FormRow #1590 Sorry, your free limit  per week is exhausted.</t>
  </si>
  <si>
    <t>⚠️  NO_QUOTA FormRow #1589 Sorry, your free limit  per week is exhausted.</t>
  </si>
  <si>
    <t>⚠️  NO_QUOTA FormRow #1588 Sorry, your free limit  per week is exhausted.</t>
  </si>
  <si>
    <t>⚠️  NO_QUOTA FormRow #1587 Sorry, your free limit  per week is exhausted.</t>
  </si>
  <si>
    <t>⚠️  NO_QUOTA FormRow #1586 Sorry, your free limit  per week is exhausted.</t>
  </si>
  <si>
    <t>⚠️  NO_QUOTA FormRow #1585 Sorry, your free limit  per week is exhausted.</t>
  </si>
  <si>
    <t>⚠️  NO_QUOTA FormRow #1584 Sorry, your free limit  per week is exhausted.</t>
  </si>
  <si>
    <t>⚠️  NO_QUOTA FormRow #1583 Sorry, your free limit  per week is exhausted.</t>
  </si>
  <si>
    <t>⚠️  NO_QUOTA FormRow #1582 Sorry, your free limit  per week is exhausted.</t>
  </si>
  <si>
    <t>⚠️  NO_QUOTA FormRow #1581 Sorry, your free limit  per week is exhausted.</t>
  </si>
  <si>
    <t>⚠️  NO_QUOTA FormRow #1580 Sorry, your free limit  per week is exhausted.</t>
  </si>
  <si>
    <t>⚠️  NO_QUOTA FormRow #1579 Sorry, your free limit  per week is exhausted.</t>
  </si>
  <si>
    <t>⚠️  NO_QUOTA FormRow #1578 Sorry, your free limit  per week is exhausted.</t>
  </si>
  <si>
    <t>⚠️  NO_QUOTA FormRow #1577 Sorry, your free limit  per week is exhausted.</t>
  </si>
  <si>
    <t>⚠️  NO_QUOTA FormRow #1576 Sorry, your free limit  per week is exhausted.</t>
  </si>
  <si>
    <t>⚠️  NO_QUOTA FormRow #1575 Sorry, your free limit  per week is exhausted.</t>
  </si>
  <si>
    <t>⚠️  NO_QUOTA FormRow #1574 Sorry, your free limit  per week is exhausted.</t>
  </si>
  <si>
    <t>⚠️  NO_QUOTA FormRow #1573 Sorry, your free limit  per week is exhausted.</t>
  </si>
  <si>
    <t>⚠️  NO_QUOTA FormRow #1572 Sorry, your free limit  per week is exhausted.</t>
  </si>
  <si>
    <t>⚠️  NO_QUOTA FormRow #1571 Sorry, your free limit  per week is exhausted.</t>
  </si>
  <si>
    <t>⚠️  NO_QUOTA FormRow #1570 Sorry, your free limit  per week is exhausted.</t>
  </si>
  <si>
    <t>⚠️  NO_QUOTA FormRow #1569 Sorry, your free limit  per week is exhausted.</t>
  </si>
  <si>
    <t>⚠️  NO_QUOTA FormRow #1568 Sorry, your free limit  per week is exhausted.</t>
  </si>
  <si>
    <t>⚠️  NO_QUOTA FormRow #1567 Sorry, your free limit  per week is exhausted.</t>
  </si>
  <si>
    <t>⚠️  NO_QUOTA FormRow #1566 Sorry, your free limit  per week is exhausted.</t>
  </si>
  <si>
    <t>⚠️  NO_QUOTA FormRow #1565 Sorry, your free limit  per week is exhausted.</t>
  </si>
  <si>
    <t>⚠️  NO_QUOTA FormRow #1564 Sorry, your free limit  per week is exhausted.</t>
  </si>
  <si>
    <t>⚠️  NO_QUOTA FormRow #1563 Sorry, your free limit  per week is exhausted.</t>
  </si>
  <si>
    <t>⚠️  NO_QUOTA FormRow #1562 Sorry, your free limit  per week is exhausted.</t>
  </si>
  <si>
    <t>⚠️  NO_QUOTA FormRow #1561 Sorry, your free limit  per week is exhausted.</t>
  </si>
  <si>
    <t>⚠️  NO_QUOTA FormRow #1560 Sorry, your free limit  per week is exhausted.</t>
  </si>
  <si>
    <t>⚠️  NO_QUOTA FormRow #1559 Sorry, your free limit  per week is exhausted.</t>
  </si>
  <si>
    <t>⚠️  NO_QUOTA FormRow #1558 Sorry, your free limit  per week is exhausted.</t>
  </si>
  <si>
    <t>⚠️  NO_QUOTA FormRow #1557 Sorry, your free limit  per week is exhausted.</t>
  </si>
  <si>
    <t>⚠️  NO_QUOTA FormRow #1556 Sorry, your free limit  per week is exhausted.</t>
  </si>
  <si>
    <t>⚠️  NO_QUOTA FormRow #1555 Sorry, your free limit  per week is exhausted.</t>
  </si>
  <si>
    <t>⚠️  NO_QUOTA FormRow #1553 Sorry, your free limit  per week is exhausted.</t>
  </si>
  <si>
    <t>⚠️  NO_QUOTA FormRow #1554 Sorry, your free limit  per week is exhausted.</t>
  </si>
  <si>
    <t>⚠️  NO_QUOTA FormRow #1552 Sorry, your free limit  per week is exhausted.</t>
  </si>
  <si>
    <t>⚠️  NO_QUOTA FormRow #1551 Sorry, your free limit  per week is exhausted.</t>
  </si>
  <si>
    <t>⚠️  NO_QUOTA FormRow #1550 Sorry, your free limit  per week is exhausted.</t>
  </si>
  <si>
    <t>⚠️  NO_QUOTA FormRow #1549 Sorry, your free limit  per week is exhausted.</t>
  </si>
  <si>
    <t>⚠️  NO_QUOTA FormRow #1548 Sorry, your free limit  per week is exhausted.</t>
  </si>
  <si>
    <t>⚠️  NO_QUOTA FormRow #1547 Sorry, your free limit  per week is exhausted.</t>
  </si>
  <si>
    <t>⚠️  NO_QUOTA FormRow #1546 Sorry, your free limit  per week is exhausted.</t>
  </si>
  <si>
    <t>⚠️  NO_QUOTA FormRow #1545 Sorry, your free limit  per week is exhausted.</t>
  </si>
  <si>
    <t>⚠️  NO_QUOTA FormRow #1544 Sorry, your free limit  per week is exhausted.</t>
  </si>
  <si>
    <t>⚠️  NO_QUOTA FormRow #1543 Sorry, your free limit  per week is exhausted.</t>
  </si>
  <si>
    <t>⚠️  NO_QUOTA FormRow #1542 Sorry, your free limit  per week is exhausted.</t>
  </si>
  <si>
    <t>⚠️  NO_QUOTA FormRow #1541 Sorry, your free limit  per week is exhausted.</t>
  </si>
  <si>
    <t>⚠️  NO_QUOTA FormRow #1540 Sorry, your free limit  per week is exhausted.</t>
  </si>
  <si>
    <t>⚠️  NO_QUOTA FormRow #1539 Sorry, your free limit  per week is exhausted.</t>
  </si>
  <si>
    <t>⚠️  NO_QUOTA FormRow #1538 Sorry, your free limit  per week is exhausted.</t>
  </si>
  <si>
    <t>⚠️  NO_QUOTA FormRow #1537 Sorry, your free limit  per week is exhausted.</t>
  </si>
  <si>
    <t>⚠️  NO_QUOTA FormRow #1536 Sorry, your free limit  per week is exhausted.</t>
  </si>
  <si>
    <t>⚠️  NO_QUOTA FormRow #1535 Sorry, your free limit  per week is exhausted.</t>
  </si>
  <si>
    <t>⚠️  NO_QUOTA FormRow #1534 Sorry, your free limit  per week is exhausted.</t>
  </si>
  <si>
    <t>⚠️  NO_QUOTA FormRow #1533 Sorry, your free limit  per week is exhausted.</t>
  </si>
  <si>
    <t>⚠️  NO_QUOTA FormRow #1532 Sorry, your free limit  per week is exhausted.</t>
  </si>
  <si>
    <t>⚠️  NO_QUOTA FormRow #1531 Sorry, your free limit  per week is exhausted.</t>
  </si>
  <si>
    <t>⚠️  NO_QUOTA FormRow #1530 Sorry, your free limit  per week is exhausted.</t>
  </si>
  <si>
    <t>⚠️  NO_QUOTA FormRow #1529 Sorry, your free limit  per week is exhausted.</t>
  </si>
  <si>
    <t>⚠️  NO_QUOTA FormRow #1528 Sorry, your free limit  per week is exhausted.</t>
  </si>
  <si>
    <t>⚠️  NO_QUOTA FormRow #1527 Sorry, your free limit  per week is exhausted.</t>
  </si>
  <si>
    <t>⚠️  NO_QUOTA FormRow #1526 Sorry, your free limit  per week is exhausted.</t>
  </si>
  <si>
    <t>⚠️  NO_QUOTA FormRow #1525 Sorry, your free limit  per week is exhausted.</t>
  </si>
  <si>
    <t>⚠️  NO_QUOTA FormRow #1524 Sorry, your free limit  per week is exhausted.</t>
  </si>
  <si>
    <t>⚠️  NO_QUOTA FormRow #1523 Sorry, your free limit  per week is exhausted.</t>
  </si>
  <si>
    <t>⚠️  NO_QUOTA FormRow #1522 Sorry, your free limit  per week is exhausted.</t>
  </si>
  <si>
    <t>⚠️  NO_QUOTA FormRow #1521 Sorry, your free limit  per week is exhausted.</t>
  </si>
  <si>
    <t>⚠️  NO_QUOTA FormRow #1520 Sorry, your free limit  per week is exhausted.</t>
  </si>
  <si>
    <t>⚠️  NO_QUOTA FormRow #1519 Sorry, your free limit  per week is exhausted.</t>
  </si>
  <si>
    <t>⚠️  NO_QUOTA FormRow #1518 Sorry, your free limit  per week is exhausted.</t>
  </si>
  <si>
    <t>⚠️  NO_QUOTA FormRow #1517 Sorry, your free limit  per week is exhausted.</t>
  </si>
  <si>
    <t>⚠️  NO_QUOTA FormRow #1516 Sorry, your free limit  per week is exhausted.</t>
  </si>
  <si>
    <t>⚠️  NO_QUOTA FormRow #1515 Sorry, your free limit  per week is exhausted.</t>
  </si>
  <si>
    <t>⚠️  NO_QUOTA FormRow #1514 Sorry, your free limit  per week is exhausted.</t>
  </si>
  <si>
    <t>⚠️  NO_QUOTA FormRow #1513 Sorry, your free limit  per week is exhausted.</t>
  </si>
  <si>
    <t>⚠️  NO_QUOTA FormRow #1512 Sorry, your free limit  per week is exhausted.</t>
  </si>
  <si>
    <t>⚠️  NO_QUOTA FormRow #1511 Sorry, your free limit  per week is exhausted.</t>
  </si>
  <si>
    <t>⚠️  NO_QUOTA FormRow #1510 Sorry, your free limit  per week is exhausted.</t>
  </si>
  <si>
    <t>⚠️  NO_QUOTA FormRow #1509 Sorry, your free limit  per week is exhausted.</t>
  </si>
  <si>
    <t>⚠️  NO_QUOTA FormRow #1508 Sorry, your free limit  per week is exhausted.</t>
  </si>
  <si>
    <t>⚠️  NO_QUOTA FormRow #1507 Sorry, your free limit  per week is exhausted.</t>
  </si>
  <si>
    <t>⚠️  NO_QUOTA FormRow #1506 Sorry, your free limit  per week is exhausted.</t>
  </si>
  <si>
    <t>⚠️  NO_QUOTA FormRow #1505 Sorry, your free limit  per week is exhausted.</t>
  </si>
  <si>
    <t>✔️  [Form Responses 1] Processed form row #1504 by bpsdemak3321@gmail.com</t>
  </si>
  <si>
    <t>✔️  [Form Responses 1] Processed form row #1503 by bpsdemak3321@gmail.com</t>
  </si>
  <si>
    <t>✔️  [Form Responses 1] Processed form row #1502 by bpsdemak3321@gmail.com</t>
  </si>
  <si>
    <t>✔️  [Form Responses 1] Processed form row #1501 by bpsdemak3321@gmail.com</t>
  </si>
  <si>
    <t>✔️  [Form Responses 1] Processed form row #1500 by bpsdemak3321@gmail.com</t>
  </si>
  <si>
    <t>✔️  [Form Responses 1] Processed form row #1499 by bpsdemak3321@gmail.com</t>
  </si>
  <si>
    <t>✔️  [Form Responses 1] Processed form row #1498 by bpsdemak3321@gmail.com</t>
  </si>
  <si>
    <t>✔️  [Form Responses 1] Processed form row #1497 by bpsdemak3321@gmail.com</t>
  </si>
  <si>
    <t>✔️  [Form Responses 1] Processed form row #1496 by bpsdemak3321@gmail.com</t>
  </si>
  <si>
    <t>✔️  [Form Responses 1] Processed form row #1495 by bpsdemak3321@gmail.com</t>
  </si>
  <si>
    <t>✔️  [Form Responses 1] Processed form row #1494 by bpsdemak3321@gmail.com</t>
  </si>
  <si>
    <t>✔️  [Form Responses 1] Processed form row #1493 by bpsdemak3321@gmail.com</t>
  </si>
  <si>
    <t>✔️  [Form Responses 1] Processed form row #1492 by bpsdemak3321@gmail.com</t>
  </si>
  <si>
    <t>✔️  [Form Responses 1] Processed form row #1491 by bpsdemak3321@gmail.com</t>
  </si>
  <si>
    <t>✔️  [Form Responses 1] Processed form row #1490 by bpsdemak3321@gmail.com</t>
  </si>
  <si>
    <t>✔️  [Form Responses 1] Processed form row #1489 by bpsdemak3321@gmail.com</t>
  </si>
  <si>
    <t>✔️  [Form Responses 1] Processed form row #1488 by bpsdemak3321@gmail.com</t>
  </si>
  <si>
    <t>✔️  [Form Responses 1] Processed form row #1487 by bpsdemak3321@gmail.com</t>
  </si>
  <si>
    <t>✔️  [Form Responses 1] Processed form row #1486 by bpsdemak3321@gmail.com</t>
  </si>
  <si>
    <t>✔️  [Form Responses 1] Processed form row #1485 by bpsdemak3321@gmail.com</t>
  </si>
  <si>
    <t>✔️  [Form Responses 1] Processed form row #1484 by bpsdemak3321@gmail.com</t>
  </si>
  <si>
    <t>✔️  [Form Responses 1] Processed form row #1483 by bpsdemak3321@gmail.com</t>
  </si>
  <si>
    <t>✔️  [Form Responses 1] Processed form row #1482 by bpsdemak3321@gmail.com</t>
  </si>
  <si>
    <t>✔️  [Form Responses 1] Processed form row #1481 by bpsdemak3321@gmail.com</t>
  </si>
  <si>
    <t>✔️  [Form Responses 1] Processed form row #1480 by bpsdemak3321@gmail.com</t>
  </si>
  <si>
    <t>✔️  [Form Responses 1] Processed form row #1479 by bpsdemak3321@gmail.com</t>
  </si>
  <si>
    <t>✔️  [Form Responses 1] Processed form row #1478 by bpsdemak3321@gmail.com</t>
  </si>
  <si>
    <t>✔️  [Form Responses 1] Processed form row #1477 by bpsdemak3321@gmail.com</t>
  </si>
  <si>
    <t>✔️  [Form Responses 1] Processed form row #1476 by bpsdemak3321@gmail.com</t>
  </si>
  <si>
    <t>✔️  [Form Responses 1] Processed form row #1475 by bpsdemak3321@gmail.com</t>
  </si>
  <si>
    <t>✔️  [Form Responses 1] Processed form row #1474 by bpsdemak3321@gmail.com</t>
  </si>
  <si>
    <t>✔️  [Form Responses 1] Processed form row #1473 by bpsdemak3321@gmail.com</t>
  </si>
  <si>
    <t>✔️  [Form Responses 1] Processed form row #1472 by bpsdemak3321@gmail.com</t>
  </si>
  <si>
    <t>✔️  [Form Responses 1] Processed form row #1471 by bpsdemak3321@gmail.com</t>
  </si>
  <si>
    <t>✔️  [Form Responses 1] Processed form row #1470 by bpsdemak3321@gmail.com</t>
  </si>
  <si>
    <t>✔️  [Form Responses 1] Processed form row #1469 by bpsdemak3321@gmail.com</t>
  </si>
  <si>
    <t>✔️  [Form Responses 1] Processed form row #1468 by bpsdemak3321@gmail.com</t>
  </si>
  <si>
    <t>✔️  [Form Responses 1] Processed form row #1467 by bpsdemak3321@gmail.com</t>
  </si>
  <si>
    <t>✔️  [Form Responses 1] Processed form row #1466 by bpsdemak3321@gmail.com</t>
  </si>
  <si>
    <t>✔️  [Form Responses 1] Processed form row #1465 by bpsdemak3321@gmail.com</t>
  </si>
  <si>
    <t>✔️  [Form Responses 1] Processed form row #1464 by bpsdemak3321@gmail.com</t>
  </si>
  <si>
    <t>✔️  [Form Responses 1] Processed form row #1463 by bpsdemak3321@gmail.com</t>
  </si>
  <si>
    <t>✔️  [Form Responses 1] Processed form row #1462 by bpsdemak3321@gmail.com</t>
  </si>
  <si>
    <t>✔️  [Form Responses 1] Processed form row #1461 by bpsdemak3321@gmail.com</t>
  </si>
  <si>
    <t>✔️  [Form Responses 1] Processed form row #1460 by bpsdemak3321@gmail.com</t>
  </si>
  <si>
    <t>✔️  [Form Responses 1] Processed form row #1459 by bpsdemak3321@gmail.com</t>
  </si>
  <si>
    <t>✔️  [Form Responses 1] Processed form row #1458 by bpsdemak3321@gmail.com</t>
  </si>
  <si>
    <t>✔️  [Form Responses 1] Processed form row #1457 by bpsdemak3321@gmail.com</t>
  </si>
  <si>
    <t>✔️  [Form Responses 1] Processed form row #1456 by bpsdemak3321@gmail.com</t>
  </si>
  <si>
    <t>✔️  [Form Responses 1] Processed form row #1455 by bpsdemak3321@gmail.com</t>
  </si>
  <si>
    <t>✔️  [Form Responses 1] Processed form row #1454 by bpsdemak3321@gmail.com</t>
  </si>
  <si>
    <t>✔️  [Form Responses 1] Processed form row #1453 by bpsdemak3321@gmail.com</t>
  </si>
  <si>
    <t>✔️  [Form Responses 1] Processed form row #1452 by bpsdemak3321@gmail.com</t>
  </si>
  <si>
    <t>✔️  [Form Responses 1] Processed form row #1451 by bpsdemak3321@gmail.com</t>
  </si>
  <si>
    <t>✔️  [Form Responses 1] Processed form row #1450 by bpsdemak3321@gmail.com</t>
  </si>
  <si>
    <t>✔️  [Form Responses 1] Processed form row #1449 by bpsdemak3321@gmail.com</t>
  </si>
  <si>
    <t>✔️  [Form Responses 1] Processed form row #1448 by bpsdemak3321@gmail.com</t>
  </si>
  <si>
    <t>✔️  [Form Responses 1] Processed form row #1447 by bpsdemak3321@gmail.com</t>
  </si>
  <si>
    <t>✔️  [Form Responses 1] Processed form row #1446 by bpsdemak3321@gmail.com</t>
  </si>
  <si>
    <t>✔️  [Form Responses 1] Processed form row #1445 by bpsdemak3321@gmail.com</t>
  </si>
  <si>
    <t>✔️  [Form Responses 1] Processed form row #1444 by bpsdemak3321@gmail.com</t>
  </si>
  <si>
    <t>✔️  [Form Responses 1] Processed form row #1442 by bpsdemak3321@gmail.com</t>
  </si>
  <si>
    <t>✔️  [Form Responses 1] Processed form row #1443 by bpsdemak3321@gmail.com</t>
  </si>
  <si>
    <t>✔️  [Form Responses 1] Processed form row #1441 by bpsdemak3321@gmail.com</t>
  </si>
  <si>
    <t>✔️  [Form Responses 1] Processed form row #1440 by bpsdemak3321@gmail.com</t>
  </si>
  <si>
    <t>✔️  [Form Responses 1] Processed form row #1439 by bpsdemak3321@gmail.com</t>
  </si>
  <si>
    <t>✔️  [Form Responses 1] Processed form row #1438 by bpsdemak3321@gmail.com</t>
  </si>
  <si>
    <t>✔️  [Form Responses 1] Processed form row #1437 by bpsdemak3321@gmail.com</t>
  </si>
  <si>
    <t>✔️  [Form Responses 1] Processed form row #1436 by bpsdemak3321@gmail.com</t>
  </si>
  <si>
    <t>✔️  [Form Responses 1] Processed form row #1435 by bpsdemak3321@gmail.com</t>
  </si>
  <si>
    <t>✔️  [Form Responses 1] Processed form row #1434 by bpsdemak3321@gmail.com</t>
  </si>
  <si>
    <t>✔️  [Form Responses 1] Processed form row #1433 by bpsdemak3321@gmail.com</t>
  </si>
  <si>
    <t>✔️  [Form Responses 1] Processed form row #1432 by bpsdemak3321@gmail.com</t>
  </si>
  <si>
    <t>✔️  [Form Responses 1] Processed form row #1431 by bpsdemak3321@gmail.com</t>
  </si>
  <si>
    <t>✔️  [Form Responses 1] Processed form row #1430 by bpsdemak3321@gmail.com</t>
  </si>
  <si>
    <t>✔️  [Form Responses 1] Processed form row #1429 by bpsdemak3321@gmail.com</t>
  </si>
  <si>
    <t>✔️  [Form Responses 1] Processed form row #1428 by bpsdemak3321@gmail.com</t>
  </si>
  <si>
    <t>✔️  [Form Responses 1] Processed form row #1427 by bpsdemak3321@gmail.com</t>
  </si>
  <si>
    <t>✔️  [Form Responses 1] Processed form row #1426 by bpsdemak3321@gmail.com</t>
  </si>
  <si>
    <t>✔️  [Form Responses 1] Processed form row #1425 by bpsdemak3321@gmail.com</t>
  </si>
  <si>
    <t>✔️  [Form Responses 1] Processed form row #1424 by bpsdemak3321@gmail.com</t>
  </si>
  <si>
    <t>✔️  [Form Responses 1] Processed form row #1423 by bpsdemak3321@gmail.com</t>
  </si>
  <si>
    <t>✔️  [Form Responses 1] Processed form row #1422 by bpsdemak3321@gmail.com</t>
  </si>
  <si>
    <t>✔️  [Form Responses 1] Processed form row #1421 by bpsdemak3321@gmail.com</t>
  </si>
  <si>
    <t>✔️  [Form Responses 1] Processed form row #1420 by bpsdemak3321@gmail.com</t>
  </si>
  <si>
    <t>✔️  [Form Responses 1] Processed form row #1419 by bpsdemak3321@gmail.com</t>
  </si>
  <si>
    <t>✔️  [Form Responses 1] Processed form row #1418 by bpsdemak3321@gmail.com</t>
  </si>
  <si>
    <t>✔️  [Form Responses 1] Processed form row #1417 by bpsdemak3321@gmail.com</t>
  </si>
  <si>
    <t>✔️  [Form Responses 1] Processed form row #1416 by bpsdemak3321@gmail.com</t>
  </si>
  <si>
    <t>✔️  [Form Responses 1] Processed form row #1415 by bpsdemak3321@gmail.com</t>
  </si>
  <si>
    <t>✔️  [Form Responses 1] Processed form row #1414 by bpsdemak3321@gmail.com</t>
  </si>
  <si>
    <t>✔️  [Form Responses 1] Processed form row #1413 by bpsdemak3321@gmail.com</t>
  </si>
  <si>
    <t>✔️  [Form Responses 1] Processed form row #1412 by bpsdemak3321@gmail.com</t>
  </si>
  <si>
    <t>✔️  [Form Responses 1] Processed form row #1411 by bpsdemak3321@gmail.com</t>
  </si>
  <si>
    <t>✔️  [Form Responses 1] Processed form row #1410 by bpsdemak3321@gmail.com</t>
  </si>
  <si>
    <t>✔️  [Form Responses 1] Processed form row #1409 by bpsdemak3321@gmail.com</t>
  </si>
  <si>
    <t>✔️  [Form Responses 1] Processed form row #1408 by bpsdemak3321@gmail.com</t>
  </si>
  <si>
    <t>✔️  [Form Responses 1] Processed form row #1407 by bpsdemak3321@gmail.com</t>
  </si>
  <si>
    <t>✔️  [Form Responses 1] Processed form row #1406 by bpsdemak3321@gmail.com</t>
  </si>
  <si>
    <t>✔️  [Form Responses 1] Processed form row #1405 by bpsdemak3321@gmail.com</t>
  </si>
  <si>
    <t>✔️  [Form Responses 1] Processed form row #1404 by bpsdemak3321@gmail.com</t>
  </si>
  <si>
    <t>✔️  [Form Responses 1] Processed form row #1403 by bpsdemak3321@gmail.com</t>
  </si>
  <si>
    <t>✔️  [Form Responses 1] Processed form row #1402 by bpsdemak3321@gmail.com</t>
  </si>
  <si>
    <t>✔️  [Form Responses 1] Processed form row #1401 by bpsdemak3321@gmail.com</t>
  </si>
  <si>
    <t>✔️  [Form Responses 1] Processed form row #1400 by bpsdemak3321@gmail.com</t>
  </si>
  <si>
    <t>✔️  [Form Responses 1] Processed form row #1399 by bpsdemak3321@gmail.com</t>
  </si>
  <si>
    <t>✔️  [Form Responses 1] Processed form row #1398 by bpsdemak3321@gmail.com</t>
  </si>
  <si>
    <t>✔️  [Form Responses 1] Processed form row #1397 by bpsdemak3321@gmail.com</t>
  </si>
  <si>
    <t>✔️  [Form Responses 1] Processed form row #1396 by bpsdemak3321@gmail.com</t>
  </si>
  <si>
    <t>✔️  [Form Responses 1] Processed form row #1395 by bpsdemak3321@gmail.com</t>
  </si>
  <si>
    <t>✔️  [Form Responses 1] Processed form row #1394 by bpsdemak3321@gmail.com</t>
  </si>
  <si>
    <t>✔️  [Form Responses 1] Processed form row #1393 by bpsdemak3321@gmail.com</t>
  </si>
  <si>
    <t>✔️  [Form Responses 1] Processed form row #1392 by bpsdemak3321@gmail.com</t>
  </si>
  <si>
    <t>✔️  [Form Responses 1] Processed form row #1391 by bpsdemak3321@gmail.com</t>
  </si>
  <si>
    <t>✔️  [Form Responses 1] Processed form row #1390 by bpsdemak3321@gmail.com</t>
  </si>
  <si>
    <t>✔️  [Form Responses 1] Processed form row #1389 by bpsdemak3321@gmail.com</t>
  </si>
  <si>
    <t>✔️  [Form Responses 1] Processed form row #1388 by bpsdemak3321@gmail.com</t>
  </si>
  <si>
    <t>✔️  [Form Responses 1] Processed form row #1387 by bpsdemak3321@gmail.com</t>
  </si>
  <si>
    <t>✔️  [Form Responses 1] Processed form row #1386 by bpsdemak3321@gmail.com</t>
  </si>
  <si>
    <t>✔️  [Form Responses 1] Processed form row #1385 by bpsdemak3321@gmail.com</t>
  </si>
  <si>
    <t>✔️  [Form Responses 1] Processed form row #1384 by bpsdemak3321@gmail.com</t>
  </si>
  <si>
    <t>✔️  [Form Responses 1] Processed form row #1383 by bpsdemak3321@gmail.com</t>
  </si>
  <si>
    <t>✔️  [Form Responses 1] Processed form row #1382 by bpsdemak3321@gmail.com</t>
  </si>
  <si>
    <t>⚠️  NO_QUOTA FormRow #1381 Sorry, your free limit  per week is exhausted.</t>
  </si>
  <si>
    <t>⚠️  NO_QUOTA FormRow #1380 Sorry, your free limit  per week is exhausted.</t>
  </si>
  <si>
    <t>⚠️  NO_QUOTA FormRow #1379 Sorry, your free limit  per week is exhausted.</t>
  </si>
  <si>
    <t>⚠️  NO_QUOTA FormRow #1378 Sorry, your free limit  per week is exhausted.</t>
  </si>
  <si>
    <t>⚠️  NO_QUOTA FormRow #1377 Sorry, your free limit  per week is exhausted.</t>
  </si>
  <si>
    <t>⚠️  NO_QUOTA FormRow #1376 Sorry, your free limit  per week is exhausted.</t>
  </si>
  <si>
    <t>⚠️  NO_QUOTA FormRow #1375 Sorry, your free limit  per week is exhausted.</t>
  </si>
  <si>
    <t>⚠️  NO_QUOTA FormRow #1374 Sorry, your free limit  per week is exhausted.</t>
  </si>
  <si>
    <t>⚠️  NO_QUOTA FormRow #1373 Sorry, your free limit  per week is exhausted.</t>
  </si>
  <si>
    <t>⚠️  NO_QUOTA FormRow #1372 Sorry, your free limit  per week is exhausted.</t>
  </si>
  <si>
    <t>⚠️  NO_QUOTA FormRow #1371 Sorry, your free limit  per week is exhausted.</t>
  </si>
  <si>
    <t>⚠️  NO_QUOTA FormRow #1370 Sorry, your free limit  per week is exhausted.</t>
  </si>
  <si>
    <t>⚠️  NO_QUOTA FormRow #1369 Sorry, your free limit  per week is exhausted.</t>
  </si>
  <si>
    <t>⚠️  NO_QUOTA FormRow #1368 Sorry, your free limit  per week is exhausted.</t>
  </si>
  <si>
    <t>⚠️  NO_QUOTA FormRow #1367 Sorry, your free limit  per week is exhausted.</t>
  </si>
  <si>
    <t>⚠️  NO_QUOTA FormRow #1366 Sorry, your free limit  per week is exhausted.</t>
  </si>
  <si>
    <t>⚠️  NO_QUOTA FormRow #1365 Sorry, your free limit  per week is exhausted.</t>
  </si>
  <si>
    <t>⚠️  NO_QUOTA FormRow #1364 Sorry, your free limit  per week is exhausted.</t>
  </si>
  <si>
    <t>⚠️  NO_QUOTA FormRow #1363 Sorry, your free limit  per week is exhausted.</t>
  </si>
  <si>
    <t>⚠️  NO_QUOTA FormRow #1362 Sorry, your free limit  per week is exhausted.</t>
  </si>
  <si>
    <t>⚠️  NO_QUOTA FormRow #1361 Sorry, your free limit  per week is exhausted.</t>
  </si>
  <si>
    <t>⚠️  NO_QUOTA FormRow #1360 Sorry, your free limit  per week is exhausted.</t>
  </si>
  <si>
    <t>⚠️  NO_QUOTA FormRow #1359 Sorry, your free limit  per week is exhausted.</t>
  </si>
  <si>
    <t>⚠️  NO_QUOTA FormRow #1358 Sorry, your free limit  per week is exhausted.</t>
  </si>
  <si>
    <t>⚠️  NO_QUOTA FormRow #1357 Sorry, your free limit  per week is exhausted.</t>
  </si>
  <si>
    <t>⚠️  NO_QUOTA FormRow #1356 Sorry, your free limit  per week is exhausted.</t>
  </si>
  <si>
    <t>⚠️  NO_QUOTA FormRow #1355 Sorry, your free limit  per week is exhausted.</t>
  </si>
  <si>
    <t>⚠️  NO_QUOTA FormRow #1354 Sorry, your free limit  per week is exhausted.</t>
  </si>
  <si>
    <t>⚠️  NO_QUOTA FormRow #1353 Sorry, your free limit  per week is exhausted.</t>
  </si>
  <si>
    <t>⚠️  NO_QUOTA FormRow #1352 Sorry, your free limit  per week is exhausted.</t>
  </si>
  <si>
    <t>⚠️  NO_QUOTA FormRow #1351 Sorry, your free limit  per week is exhausted.</t>
  </si>
  <si>
    <t>⚠️  NO_QUOTA FormRow #1350 Sorry, your free limit  per week is exhausted.</t>
  </si>
  <si>
    <t>⚠️  NO_QUOTA FormRow #1349 Sorry, your free limit  per week is exhausted.</t>
  </si>
  <si>
    <t>⚠️  NO_QUOTA FormRow #1348 Sorry, your free limit  per week is exhausted.</t>
  </si>
  <si>
    <t>⚠️  NO_QUOTA FormRow #1347 Sorry, your free limit  per week is exhausted.</t>
  </si>
  <si>
    <t>⚠️  NO_QUOTA FormRow #1346 Sorry, your free limit  per week is exhausted.</t>
  </si>
  <si>
    <t>⚠️  NO_QUOTA FormRow #1345 Sorry, your free limit  per week is exhausted.</t>
  </si>
  <si>
    <t>⚠️  NO_QUOTA FormRow #1344 Sorry, your free limit  per week is exhausted.</t>
  </si>
  <si>
    <t>⚠️  NO_QUOTA FormRow #1343 Sorry, your free limit  per week is exhausted.</t>
  </si>
  <si>
    <t>⚠️  NO_QUOTA FormRow #1342 Sorry, your free limit  per week is exhausted.</t>
  </si>
  <si>
    <t>⚠️  NO_QUOTA FormRow #1341 Sorry, your free limit  per week is exhausted.</t>
  </si>
  <si>
    <t>⚠️  NO_QUOTA FormRow #1340 Sorry, your free limit  per week is exhausted.</t>
  </si>
  <si>
    <t>⚠️  NO_QUOTA FormRow #1339 Sorry, your free limit  per week is exhausted.</t>
  </si>
  <si>
    <t>⚠️  NO_QUOTA FormRow #1338 Sorry, your free limit  per week is exhausted.</t>
  </si>
  <si>
    <t>⚠️  NO_QUOTA FormRow #1337 Sorry, your free limit  per week is exhausted.</t>
  </si>
  <si>
    <t>⚠️  NO_QUOTA FormRow #1336 Sorry, your free limit  per week is exhausted.</t>
  </si>
  <si>
    <t>⚠️  NO_QUOTA FormRow #1335 Sorry, your free limit  per week is exhausted.</t>
  </si>
  <si>
    <t>⚠️  NO_QUOTA FormRow #1334 Sorry, your free limit  per week is exhausted.</t>
  </si>
  <si>
    <t>⚠️  NO_QUOTA FormRow #1333 Sorry, your free limit  per week is exhausted.</t>
  </si>
  <si>
    <t>⚠️  NO_QUOTA FormRow #1332 Sorry, your free limit  per week is exhausted.</t>
  </si>
  <si>
    <t>⚠️  NO_QUOTA FormRow #1331 Sorry, your free limit  per week is exhausted.</t>
  </si>
  <si>
    <t>✔️  [Form Responses 1] Processed form row #1330 by bpsdemak3321@gmail.com</t>
  </si>
  <si>
    <t>✔️  [Form Responses 1] Processed form row #1329 by bpsdemak3321@gmail.com</t>
  </si>
  <si>
    <t>✔️  [Form Responses 1] Processed form row #1328 by bpsdemak3321@gmail.com</t>
  </si>
  <si>
    <t>✔️  [Form Responses 1] Processed form row #1327 by bpsdemak3321@gmail.com</t>
  </si>
  <si>
    <t>✔️  [Form Responses 1] Processed form row #1326 by bpsdemak3321@gmail.com</t>
  </si>
  <si>
    <t>✔️  [Form Responses 1] Processed form row #1325 by bpsdemak3321@gmail.com</t>
  </si>
  <si>
    <t>✔️  [Form Responses 1] Processed form row #1324 by bpsdemak3321@gmail.com</t>
  </si>
  <si>
    <t>✔️  [Form Responses 1] Processed form row #1323 by bpsdemak3321@gmail.com</t>
  </si>
  <si>
    <t>✔️  [Form Responses 1] Processed form row #1322 by bpsdemak3321@gmail.com</t>
  </si>
  <si>
    <t>✔️  [Form Responses 1] Processed form row #1321 by bpsdemak3321@gmail.com</t>
  </si>
  <si>
    <t>✔️  [Form Responses 1] Processed form row #1320 by bpsdemak3321@gmail.com</t>
  </si>
  <si>
    <t>✔️  [Form Responses 1] Processed form row #1319 by bpsdemak3321@gmail.com</t>
  </si>
  <si>
    <t>✔️  [Form Responses 1] Processed form row #1318 by bpsdemak3321@gmail.com</t>
  </si>
  <si>
    <t>✔️  [Form Responses 1] Processed form row #1317 by bpsdemak3321@gmail.com</t>
  </si>
  <si>
    <t>✔️  [Form Responses 1] Processed form row #1316 by bpsdemak3321@gmail.com</t>
  </si>
  <si>
    <t>✔️  [Form Responses 1] Processed form row #1315 by bpsdemak3321@gmail.com</t>
  </si>
  <si>
    <t>✔️  [Form Responses 1] Processed form row #1314 by bpsdemak3321@gmail.com</t>
  </si>
  <si>
    <t>✔️  [Form Responses 1] Processed form row #1313 by bpsdemak3321@gmail.com</t>
  </si>
  <si>
    <t>✔️  [Form Responses 1] Processed form row #1312 by bpsdemak3321@gmail.com</t>
  </si>
  <si>
    <t>✔️  [Form Responses 1] Processed form row #1311 by bpsdemak3321@gmail.com</t>
  </si>
  <si>
    <t>✔️  [Form Responses 1] Processed form row #1310 by bpsdemak3321@gmail.com</t>
  </si>
  <si>
    <t>✔️  [Form Responses 1] Processed form row #1309 by bpsdemak3321@gmail.com</t>
  </si>
  <si>
    <t>✔️  [Form Responses 1] Processed form row #1308 by bpsdemak3321@gmail.com</t>
  </si>
  <si>
    <t>✔️  [Form Responses 1] Processed form row #1307 by bpsdemak3321@gmail.com</t>
  </si>
  <si>
    <t>✔️  [Form Responses 1] Processed form row #1306 by bpsdemak3321@gmail.com</t>
  </si>
  <si>
    <t>✔️  [Form Responses 1] Processed form row #1305 by bpsdemak3321@gmail.com</t>
  </si>
  <si>
    <t>✔️  [Form Responses 1] Processed form row #1304 by bpsdemak3321@gmail.com</t>
  </si>
  <si>
    <t>✔️  [Form Responses 1] Processed form row #1303 by bpsdemak3321@gmail.com</t>
  </si>
  <si>
    <t>✔️  [Form Responses 1] Processed form row #1302 by bpsdemak3321@gmail.com</t>
  </si>
  <si>
    <t>✔️  [Form Responses 1] Processed form row #1301 by bpsdemak3321@gmail.com</t>
  </si>
  <si>
    <t>✔️  [Form Responses 1] Processed form row #1300 by bpsdemak3321@gmail.com</t>
  </si>
  <si>
    <t>✔️  [Form Responses 1] Processed form row #1299 by bpsdemak3321@gmail.com</t>
  </si>
  <si>
    <t>✔️  [Form Responses 1] Processed form row #1298 by bpsdemak3321@gmail.com</t>
  </si>
  <si>
    <t>✔️  [Form Responses 1] Processed form row #1297 by bpsdemak3321@gmail.com</t>
  </si>
  <si>
    <t>✔️  [Form Responses 1] Processed form row #1296 by bpsdemak3321@gmail.com</t>
  </si>
  <si>
    <t>✔️  [Form Responses 1] Processed form row #1295 by bpsdemak3321@gmail.com</t>
  </si>
  <si>
    <t>✔️  [Form Responses 1] Processed form row #1293 by bpsdemak3321@gmail.com</t>
  </si>
  <si>
    <t>✔️  [Form Responses 1] Processed form row #1292 by bpsdemak3321@gmail.com</t>
  </si>
  <si>
    <t>✔️  [Form Responses 1] Processed form row #1291 by bpsdemak3321@gmail.com</t>
  </si>
  <si>
    <t>✔️  [Form Responses 1] Processed form row #1290 by bpsdemak3321@gmail.com</t>
  </si>
  <si>
    <t>✔️  [Form Responses 1] Processed form row #1289 by bpsdemak3321@gmail.com</t>
  </si>
  <si>
    <t>✔️  [Form Responses 1] Processed form row #1288 by bpsdemak3321@gmail.com</t>
  </si>
  <si>
    <t>✔️  [Form Responses 1] Processed form row #1287 by bpsdemak3321@gmail.com</t>
  </si>
  <si>
    <t>✔️  [Form Responses 1] Processed form row #1286 by bpsdemak3321@gmail.com</t>
  </si>
  <si>
    <t>✔️  [Form Responses 1] Processed form row #1285 by bpsdemak3321@gmail.com</t>
  </si>
  <si>
    <t>✔️  [Form Responses 1] Processed form row #1284 by bpsdemak3321@gmail.com</t>
  </si>
  <si>
    <t>✔️  [Form Responses 1] Processed form row #1283 by bpsdemak3321@gmail.com</t>
  </si>
  <si>
    <t>✔️  [Form Responses 1] Processed form row #1282 by bpsdemak3321@gmail.com</t>
  </si>
  <si>
    <t>✔️  [Form Responses 1] Processed form row #1281 by bpsdemak3321@gmail.com</t>
  </si>
  <si>
    <t>✔️  [Form Responses 1] Processed form row #1280 by bpsdemak3321@gmail.com</t>
  </si>
  <si>
    <t>✔️  [Form Responses 1] Processed form row #1279 by bpsdemak3321@gmail.com</t>
  </si>
  <si>
    <t>✔️  [Form Responses 1] Processed form row #1278 by bpsdemak3321@gmail.com</t>
  </si>
  <si>
    <t>✔️  [Form Responses 1] Processed form row #1277 by bpsdemak3321@gmail.com</t>
  </si>
  <si>
    <t>✔️  [Form Responses 1] Processed form row #1276 by bpsdemak3321@gmail.com</t>
  </si>
  <si>
    <t>✔️  [Form Responses 1] Processed form row #1275 by bpsdemak3321@gmail.com</t>
  </si>
  <si>
    <t>✔️  [Form Responses 1] Processed form row #1274 by bpsdemak3321@gmail.com</t>
  </si>
  <si>
    <t>✔️  [Form Responses 1] Processed form row #1273 by bpsdemak3321@gmail.com</t>
  </si>
  <si>
    <t>✔️  [Form Responses 1] Processed form row #1272 by bpsdemak3321@gmail.com</t>
  </si>
  <si>
    <t>✔️  [Form Responses 1] Processed form row #1271 by bpsdemak3321@gmail.com</t>
  </si>
  <si>
    <t>✔️  [Form Responses 1] Processed form row #1270 by bpsdemak3321@gmail.com</t>
  </si>
  <si>
    <t>✔️  [Form Responses 1] Processed form row #1269 by bpsdemak3321@gmail.com</t>
  </si>
  <si>
    <t>✔️  [Form Responses 1] Processed form row #1268 by bpsdemak3321@gmail.com</t>
  </si>
  <si>
    <t>✔️  [Form Responses 1] Processed form row #1267 by bpsdemak3321@gmail.com</t>
  </si>
  <si>
    <t>✔️  [Form Responses 1] Processed form row #1266 by bpsdemak3321@gmail.com</t>
  </si>
  <si>
    <t>✔️  [Form Responses 1] Processed form row #1265 by bpsdemak3321@gmail.com</t>
  </si>
  <si>
    <t>✔️  [Form Responses 1] Processed form row #1264 by bpsdemak3321@gmail.com</t>
  </si>
  <si>
    <t>✔️  [Form Responses 1] Processed form row #1263 by bpsdemak3321@gmail.com</t>
  </si>
  <si>
    <t>✔️  [Form Responses 1] Processed form row #1262 by bpsdemak3321@gmail.com</t>
  </si>
  <si>
    <t>✔️  [Form Responses 1] Processed form row #1261 by bpsdemak3321@gmail.com</t>
  </si>
  <si>
    <t>✔️  [Form Responses 1] Processed form row #1260 by bpsdemak3321@gmail.com</t>
  </si>
  <si>
    <t>✔️  [Form Responses 1] Processed form row #1259 by bpsdemak3321@gmail.com</t>
  </si>
  <si>
    <t>✔️  [Form Responses 1] Processed form row #1258 by bpsdemak3321@gmail.com</t>
  </si>
  <si>
    <t>✔️  [Form Responses 1] Processed form row #1257 by bpsdemak3321@gmail.com</t>
  </si>
  <si>
    <t>✔️  [Form Responses 1] Processed form row #1256 by bpsdemak3321@gmail.com</t>
  </si>
  <si>
    <t>✔️  [Form Responses 1] Processed form row #1255 by bpsdemak3321@gmail.com</t>
  </si>
  <si>
    <t>✔️  [Form Responses 1] Processed form row #1254 by bpsdemak3321@gmail.com</t>
  </si>
  <si>
    <t>✔️  [Form Responses 1] Processed form row #1253 by bpsdemak3321@gmail.com</t>
  </si>
  <si>
    <t>✔️  [Form Responses 1] Processed form row #1252 by bpsdemak3321@gmail.com</t>
  </si>
  <si>
    <t>✔️  [Form Responses 1] Processed form row #1251 by bpsdemak3321@gmail.com</t>
  </si>
  <si>
    <t>✔️  [Form Responses 1] Processed form row #1250 by bpsdemak3321@gmail.com</t>
  </si>
  <si>
    <t>✔️  [Form Responses 1] Processed form row #1249 by bpsdemak3321@gmail.com</t>
  </si>
  <si>
    <t>✔️  [Form Responses 1] Processed form row #1248 by bpsdemak3321@gmail.com</t>
  </si>
  <si>
    <t>✔️  [Form Responses 1] Processed form row #1247 by bpsdemak3321@gmail.com</t>
  </si>
  <si>
    <t>✔️  [Form Responses 1] Processed form row #1246 by bpsdemak3321@gmail.com</t>
  </si>
  <si>
    <t>✔️  [Form Responses 1] Processed form row #1245 by bpsdemak3321@gmail.com</t>
  </si>
  <si>
    <t>⚠️  NO_QUOTA FormRow #1244 Sorry, your free limit  per week is exhausted.</t>
  </si>
  <si>
    <t>⚠️  NO_QUOTA FormRow #1243 Sorry, your free limit  per week is exhausted.</t>
  </si>
  <si>
    <t>⚠️  NO_QUOTA FormRow #1242 Sorry, your free limit  per week is exhausted.</t>
  </si>
  <si>
    <t>⚠️  NO_QUOTA FormRow #1241 Sorry, your free limit  per week is exhausted.</t>
  </si>
  <si>
    <t>⚠️  NO_QUOTA FormRow #1240 Sorry, your free limit  per week is exhausted.</t>
  </si>
  <si>
    <t>⚠️  NO_QUOTA FormRow #1239 Sorry, your free limit  per week is exhausted.</t>
  </si>
  <si>
    <t>⚠️  NO_QUOTA FormRow #1238 Sorry, your free limit  per week is exhausted.</t>
  </si>
  <si>
    <t>⚠️  NO_QUOTA FormRow #1237 Sorry, your free limit  per week is exhausted.</t>
  </si>
  <si>
    <t>⚠️  NO_QUOTA FormRow #1236 Sorry, your free limit  per week is exhausted.</t>
  </si>
  <si>
    <t>✔️  Processed 71 rows in 270 seconds</t>
  </si>
  <si>
    <t>649, 650, 651, 652, 653, 654, 655, 656, 657, 658, 659, 660, 661, 662, 663, 664, 665, 666, 667, 693, 694, 695, 696, 697, 698, 699, 700, 701, 702, 732, 733, 734, 735, 736, 737, 738, 739, 740, 741, 742, 743, 744, 745, 746, 747, 748, 749, 750, 751, 752, 753, 754, 755, 756, 783, 784, 785, 786, 787, 788, 789, 790, 791, 822, 994, 995, 996, 997, 998, 999, 1000</t>
  </si>
  <si>
    <t>✔️  [Form Responses 1] Processed form row #1235 by bpsdemak3321@gmail.com</t>
  </si>
  <si>
    <t>✔️  [Form Responses 1] Processed form row #1234 by bpsdemak3321@gmail.com</t>
  </si>
  <si>
    <t>✔️  [Form Responses 1] Processed form row #1233 by bpsdemak3321@gmail.com</t>
  </si>
  <si>
    <t>✔️  [Form Responses 1] Processed form row #1232 by bpsdemak3321@gmail.com</t>
  </si>
  <si>
    <t>✔️  Task #lvxiskze - Move Files for {{Upload File Lapkin}}</t>
  </si>
  <si>
    <t>{"fileUploadQuestion":"{{Upload File Lapkin}}","subfolderPath":"/ {{Tahun}} {{Bulan}}","parentFolderId":"1gw0T6DyqDNhDMbl2LNMXhkunAGn89q5-","fileName":" {{NAMA PEGAWAI}}{{Bulan}} {{Tahun}}.{{File Extension}}","parentFolderName":"CKP KipApp"}</t>
  </si>
  <si>
    <t>✔️  Workflow #lvxirc71 - CKP KipApp</t>
  </si>
  <si>
    <t>{"timeZone":"Asia/Bangkok","formId":"1IgQRtD68_ovyK-L0WEjC5bJMETH5CaKBF9k5sQbds-o","ssId":"1v8CqM4fGDZjBvn8noFSMD1pL-H-1P9ruopFfnlWRx-k","triggerHourly":false,"timeDelay":false,"skipHidden":true,"owner":"bpsdemak3321@gmail.com","sheetId":"1149435039","triggerFormSubmit":true}</t>
  </si>
  <si>
    <t>⚠️  NO_QUOTA FormRow #1231 Sorry, your free limit  per week is exhausted.</t>
  </si>
  <si>
    <t>⚠️  NO_QUOTA FormRow #1230 Sorry, your free limit  per week is exhausted.</t>
  </si>
  <si>
    <t>⚠️  NO_QUOTA FormRow #1229 Sorry, your free limit  per week is exhausted.</t>
  </si>
  <si>
    <t>⚠️  NO_QUOTA FormRow #1228 Sorry, your free limit  per week is exhausted.</t>
  </si>
  <si>
    <t>⚠️  NO_QUOTA FormRow #1227 Sorry, your free limit  per week is exhausted.</t>
  </si>
  <si>
    <t>⚠️  NO_QUOTA FormRow #1226 Sorry, your free limit  per week is exhausted.</t>
  </si>
  <si>
    <t>⚠️  NO_QUOTA FormRow #1225 Sorry, your free limit  per week is exhausted.</t>
  </si>
  <si>
    <t>⚠️  NO_QUOTA FormRow #1224 Sorry, your free limit  per week is exhausted.</t>
  </si>
  <si>
    <t>⚠️  NO_QUOTA FormRow #1223 Sorry, your free limit  per week is exhausted.</t>
  </si>
  <si>
    <t>⚠️  NO_QUOTA FormRow #1222 Sorry, your free limit  per week is exhausted.</t>
  </si>
  <si>
    <t>⚠️  NO_QUOTA FormRow #1221 Sorry, your free limit  per week is exhausted.</t>
  </si>
  <si>
    <t>⚠️  NO_QUOTA FormRow #1220 Sorry, your free limit  per week is exhausted.</t>
  </si>
  <si>
    <t>⚠️  NO_QUOTA FormRow #1219 Sorry, your free limit  per week is exhausted.</t>
  </si>
  <si>
    <t>⚠️  NO_QUOTA FormRow #1218 Sorry, your free limit  per week is exhausted.</t>
  </si>
  <si>
    <t>⚠️  NO_QUOTA FormRow #1217 Sorry, your free limit  per week is exhausted.</t>
  </si>
  <si>
    <t>⚠️  NO_QUOTA FormRow #1216 Sorry, your free limit  per week is exhausted.</t>
  </si>
  <si>
    <t>⚠️  NO_QUOTA FormRow #1215 Sorry, your free limit  per week is exhausted.</t>
  </si>
  <si>
    <t>⚠️  NO_QUOTA FormRow #1214 Sorry, your free limit  per week is exhausted.</t>
  </si>
  <si>
    <t>⚠️  NO_QUOTA FormRow #1213 Sorry, your free limit  per week is exhausted.</t>
  </si>
  <si>
    <t>⚠️  NO_QUOTA FormRow #1212 Sorry, your free limit  per week is exhausted.</t>
  </si>
  <si>
    <t>⚠️  NO_QUOTA FormRow #1211 Sorry, your free limit  per week is exhausted.</t>
  </si>
  <si>
    <t>⚠️  NO_QUOTA FormRow #1210 Sorry, your free limit  per week is exhausted.</t>
  </si>
  <si>
    <t>⚠️  NO_QUOTA FormRow #1209 Sorry, your free limit  per week is exhausted.</t>
  </si>
  <si>
    <t>⚠️  NO_QUOTA FormRow #1208 Sorry, your free limit  per week is exhausted.</t>
  </si>
  <si>
    <t>⚠️  NO_QUOTA FormRow #1207 Sorry, your free limit  per week is exhausted.</t>
  </si>
  <si>
    <t>⚠️  NO_QUOTA FormRow #1206 Sorry, your free limit  per week is exhausted.</t>
  </si>
  <si>
    <t>⚠️  NO_QUOTA FormRow #1205 Sorry, your free limit  per week is exhausted.</t>
  </si>
  <si>
    <t>⚠️  NO_QUOTA FormRow #1204 Sorry, your free limit  per week is exhausted.</t>
  </si>
  <si>
    <t>✔️  [Form Responses 1] Processed form row #1203 by bpsdemak3321@gmail.com</t>
  </si>
  <si>
    <t>✔️  [Form Responses 1] Processed form row #1202 by bpsdemak3321@gmail.com</t>
  </si>
  <si>
    <t>✔️  [Form Responses 1] Processed form row #1201 by bpsdemak3321@gmail.com</t>
  </si>
  <si>
    <t>✔️  [Form Responses 1] Processed form row #1200 by bpsdemak3321@gmail.com</t>
  </si>
  <si>
    <t>✔️  [Form Responses 1] Processed form row #1199 by bpsdemak3321@gmail.com</t>
  </si>
  <si>
    <t>✔️  [Form Responses 1] Processed form row #1198 by bpsdemak3321@gmail.com</t>
  </si>
  <si>
    <t>✔️  [Form Responses 1] Processed form row #1197 by bpsdemak3321@gmail.com</t>
  </si>
  <si>
    <t>✔️  [Form Responses 1] Processed form row #1196 by bpsdemak3321@gmail.com</t>
  </si>
  <si>
    <t>✔️  [Form Responses 1] Processed form row #1195 by bpsdemak3321@gmail.com</t>
  </si>
  <si>
    <t>✔️  [Form Responses 1] Processed form row #1193 by bpsdemak3321@gmail.com</t>
  </si>
  <si>
    <t>✔️  [Form Responses 1] Processed form row #1194 by bpsdemak3321@gmail.com</t>
  </si>
  <si>
    <t>✔️  [Form Responses 1] Processed form row #1192 by bpsdemak3321@gmail.com</t>
  </si>
  <si>
    <t>✔️  [Form Responses 1] Processed form row #1191 by bpsdemak3321@gmail.com</t>
  </si>
  <si>
    <t>✔️  [Form Responses 1] Processed form row #1190 by bpsdemak3321@gmail.com</t>
  </si>
  <si>
    <t>✔️  [Form Responses 1] Processed form row #1189 by bpsdemak3321@gmail.com</t>
  </si>
  <si>
    <t>✔️  [Form Responses 1] Processed form row #1188 by bpsdemak3321@gmail.com</t>
  </si>
  <si>
    <t>✔️  [Form Responses 1] Processed form row #1187 by bpsdemak3321@gmail.com</t>
  </si>
  <si>
    <t>✔️  [Form Responses 1] Processed form row #1186 by bpsdemak3321@gmail.com</t>
  </si>
  <si>
    <t>✔️  [Form Responses 1] Processed form row #1185 by bpsdemak3321@gmail.com</t>
  </si>
  <si>
    <t>✔️  [Form Responses 1] Processed form row #1184 by bpsdemak3321@gmail.com</t>
  </si>
  <si>
    <t>✔️  [Form Responses 1] Processed form row #1183 by bpsdemak3321@gmail.com</t>
  </si>
  <si>
    <t>✔️  [Form Responses 1] Processed form row #1182 by bpsdemak3321@gmail.com</t>
  </si>
  <si>
    <t>✔️  [Form Responses 1] Processed form row #1181 by bpsdemak3321@gmail.com</t>
  </si>
  <si>
    <t>✔️  [Form Responses 1] Processed form row #1180 by bpsdemak3321@gmail.com</t>
  </si>
  <si>
    <t>✔️  [Form Responses 1] Processed form row #1179 by bpsdemak3321@gmail.com</t>
  </si>
  <si>
    <t>✔️  [Form Responses 1] Processed form row #1178 by bpsdemak3321@gmail.com</t>
  </si>
  <si>
    <t>✔️  [Form Responses 1] Processed form row #1177 by bpsdemak3321@gmail.com</t>
  </si>
  <si>
    <t>⚠️  NO_QUOTA FormRow #1176 Sorry, your free limit  per week is exhausted.</t>
  </si>
  <si>
    <t>⚠️  NO_QUOTA FormRow #1175 Sorry, your free limit  per week is exhausted.</t>
  </si>
  <si>
    <t>⚠️  NO_QUOTA FormRow #1174 Sorry, your free limit  per week is exhausted.</t>
  </si>
  <si>
    <t>⚠️  NO_QUOTA FormRow #1173 Sorry, your free limit  per week is exhausted.</t>
  </si>
  <si>
    <t>⚠️  NO_QUOTA FormRow #1172 Sorry, your free limit  per week is exhausted.</t>
  </si>
  <si>
    <t>⚠️  NO_QUOTA FormRow #1171 Sorry, your free limit  per week is exhausted.</t>
  </si>
  <si>
    <t>⚠️  NO_QUOTA FormRow #1170 Sorry, your free limit  per week is exhausted.</t>
  </si>
  <si>
    <t>⚠️  NO_QUOTA FormRow #1169 Sorry, your free limit  per week is exhausted.</t>
  </si>
  <si>
    <t>⚠️  NO_QUOTA FormRow #1168 Sorry, your free limit  per week is exhausted.</t>
  </si>
  <si>
    <t>⚠️  NO_QUOTA FormRow #1167 Sorry, your free limit  per week is exhausted.</t>
  </si>
  <si>
    <t>⚠️  NO_QUOTA FormRow #1166 Sorry, your free limit  per week is exhausted.</t>
  </si>
  <si>
    <t>⚠️  NO_QUOTA FormRow #1165 Sorry, your free limit  per week is exhausted.</t>
  </si>
  <si>
    <t>⚠️  NO_QUOTA FormRow #1164 Sorry, your free limit  per week is exhausted.</t>
  </si>
  <si>
    <t>⚠️  NO_QUOTA FormRow #1163 Sorry, your free limit  per week is exhausted.</t>
  </si>
  <si>
    <t>⚠️  NO_QUOTA FormRow #1162 Sorry, your free limit  per week is exhausted.</t>
  </si>
  <si>
    <t>⚠️  NO_QUOTA FormRow #1161 Sorry, your free limit  per week is exhausted.</t>
  </si>
  <si>
    <t>⚠️  NO_QUOTA FormRow #1160 Sorry, your free limit  per week is exhausted.</t>
  </si>
  <si>
    <t>⚠️  NO_QUOTA FormRow #1159 Sorry, your free limit  per week is exhausted.</t>
  </si>
  <si>
    <t>⚠️  NO_QUOTA FormRow #1158 Sorry, your free limit  per week is exhausted.</t>
  </si>
  <si>
    <t>⚠️  NO_QUOTA FormRow #1157 Sorry, your free limit  per week is exhausted.</t>
  </si>
  <si>
    <t>⚠️  NO_QUOTA FormRow #1156 Sorry, your free limit  per week is exhausted.</t>
  </si>
  <si>
    <t>⚠️  NO_QUOTA FormRow #1155 Sorry, your free limit  per week is exhausted.</t>
  </si>
  <si>
    <t>⚠️  NO_QUOTA FormRow #1154 Sorry, your free limit  per week is exhausted.</t>
  </si>
  <si>
    <t>⚠️  NO_QUOTA FormRow #1153 Sorry, your free limit  per week is exhausted.</t>
  </si>
  <si>
    <t>⚠️  NO_QUOTA FormRow #1152 Sorry, your free limit  per week is exhausted.</t>
  </si>
  <si>
    <t>⚠️  NO_QUOTA FormRow #1151 Sorry, your free limit  per week is exhausted.</t>
  </si>
  <si>
    <t>⚠️  NO_QUOTA FormRow #1150 Sorry, your free limit  per week is exhausted.</t>
  </si>
  <si>
    <t>⚠️  NO_QUOTA FormRow #1149 Sorry, your free limit  per week is exhausted.</t>
  </si>
  <si>
    <t>⚠️  NO_QUOTA FormRow #1148 Sorry, your free limit  per week is exhausted.</t>
  </si>
  <si>
    <t>⚠️  NO_QUOTA FormRow #1147 Sorry, your free limit  per week is exhausted.</t>
  </si>
  <si>
    <t>⚠️  NO_QUOTA FormRow #1146 Sorry, your free limit  per week is exhausted.</t>
  </si>
  <si>
    <t>⚠️  NO_QUOTA FormRow #1145 Sorry, your free limit  per week is exhausted.</t>
  </si>
  <si>
    <t>⚠️  NO_QUOTA FormRow #1144 Sorry, your free limit  per week is exhausted.</t>
  </si>
  <si>
    <t>⚠️  NO_QUOTA FormRow #1143 Sorry, your free limit  per week is exhausted.</t>
  </si>
  <si>
    <t>⚠️  NO_QUOTA FormRow #1142 Sorry, your free limit  per week is exhausted.</t>
  </si>
  <si>
    <t>⚠️  NO_QUOTA FormRow #1141 Sorry, your free limit  per week is exhausted.</t>
  </si>
  <si>
    <t>✔️  [Form Responses 1] Processed form row #1140 by bpsdemak3321@gmail.com</t>
  </si>
  <si>
    <t>✔️  [Form Responses 1] Processed form row #1139 by bpsdemak3321@gmail.com</t>
  </si>
  <si>
    <t>✔️  [Form Responses 1] Processed form row #1138 by bpsdemak3321@gmail.com</t>
  </si>
  <si>
    <t>✔️  [Form Responses 1] Processed form row #1137 by bpsdemak3321@gmail.com</t>
  </si>
  <si>
    <t>✔️  [Form Responses 1] Processed form row #1136 by bpsdemak3321@gmail.com</t>
  </si>
  <si>
    <t>✔️  [Form Responses 1] Processed form row #1135 by bpsdemak3321@gmail.com</t>
  </si>
  <si>
    <t>✔️  [Form Responses 1] Processed form row #1134 by bpsdemak3321@gmail.com</t>
  </si>
  <si>
    <t>✔️  [Form Responses 1] Processed form row #1133 by bpsdemak3321@gmail.com</t>
  </si>
  <si>
    <t>✔️  [Form Responses 1] Processed form row #1132 by bpsdemak3321@gmail.com</t>
  </si>
  <si>
    <t>✔️  [Form Responses 1] Processed form row #1131 by bpsdemak3321@gmail.com</t>
  </si>
  <si>
    <t>✔️  [Form Responses 1] Processed form row #1130 by bpsdemak3321@gmail.com</t>
  </si>
  <si>
    <t>✔️  [Form Responses 1] Processed form row #1129 by bpsdemak3321@gmail.com</t>
  </si>
  <si>
    <t>✔️  [Form Responses 1] Processed form row #1128 by bpsdemak3321@gmail.com</t>
  </si>
  <si>
    <t>✔️  [Form Responses 1] Processed form row #1127 by bpsdemak3321@gmail.com</t>
  </si>
  <si>
    <t>✔️  [Form Responses 1] Processed form row #1126 by bpsdemak3321@gmail.com</t>
  </si>
  <si>
    <t>✔️  [Form Responses 1] Processed form row #1125 by bpsdemak3321@gmail.com</t>
  </si>
  <si>
    <t>✔️  [Form Responses 1] Processed form row #1124 by bpsdemak3321@gmail.com</t>
  </si>
  <si>
    <t>✔️  [Form Responses 1] Processed form row #1123 by bpsdemak3321@gmail.com</t>
  </si>
  <si>
    <t>✔️  [Form Responses 1] Processed form row #1122 by bpsdemak3321@gmail.com</t>
  </si>
  <si>
    <t>✔️  [Form Responses 1] Processed form row #1121 by bpsdemak3321@gmail.com</t>
  </si>
  <si>
    <t>✔️  [Form Responses 1] Processed form row #1120 by bpsdemak3321@gmail.com</t>
  </si>
  <si>
    <t>✔️  [Form Responses 1] Processed form row #1119 by bpsdemak3321@gmail.com</t>
  </si>
  <si>
    <t>✔️  [Form Responses 1] Processed form row #1118 by bpsdemak3321@gmail.com</t>
  </si>
  <si>
    <t>✔️  [Form Responses 1] Processed form row #1117 by bpsdemak3321@gmail.com</t>
  </si>
  <si>
    <t>✔️  [Form Responses 1] Processed form row #1116 by bpsdemak3321@gmail.com</t>
  </si>
  <si>
    <t>✔️  [Form Responses 1] Processed form row #1115 by bpsdemak3321@gmail.com</t>
  </si>
  <si>
    <t>⚠️  NO_QUOTA FormRow #1114 Sorry, your free limit  per week is exhausted.</t>
  </si>
  <si>
    <t>⚠️  NO_QUOTA FormRow #1113 Sorry, your free limit  per week is exhausted.</t>
  </si>
  <si>
    <t>⚠️  NO_QUOTA FormRow #1112 Sorry, your free limit  per week is exhausted.</t>
  </si>
  <si>
    <t>⚠️  NO_QUOTA FormRow #1111 Sorry, your free limit  per week is exhausted.</t>
  </si>
  <si>
    <t>⚠️  NO_QUOTA FormRow #1110 Sorry, your free limit  per week is exhausted.</t>
  </si>
  <si>
    <t>⚠️  NO_QUOTA FormRow #1109 Sorry, your free limit  per week is exhausted.</t>
  </si>
  <si>
    <t>⚠️  NO_QUOTA FormRow #1108 Sorry, your free limit  per week is exhausted.</t>
  </si>
  <si>
    <t>⚠️  NO_QUOTA FormRow #1106 Sorry, your free limit  per week is exhausted.</t>
  </si>
  <si>
    <t>⚠️  NO_QUOTA FormRow #1107 Sorry, your free limit  per week is exhausted.</t>
  </si>
  <si>
    <t>⚠️  NO_QUOTA FormRow #1105 Sorry, your free limit  per week is exhausted.</t>
  </si>
  <si>
    <t>⚠️  NO_QUOTA FormRow #1104 Sorry, your free limit  per week is exhausted.</t>
  </si>
  <si>
    <t>⚠️  NO_QUOTA FormRow #1103 Sorry, your free limit  per week is exhausted.</t>
  </si>
  <si>
    <t>⚠️  NO_QUOTA FormRow #1102 Sorry, your free limit  per week is exhausted.</t>
  </si>
  <si>
    <t>⚠️  NO_QUOTA FormRow #1101 Sorry, your free limit  per week is exhausted.</t>
  </si>
  <si>
    <t>⚠️  NO_QUOTA FormRow #1100 Sorry, your free limit  per week is exhausted.</t>
  </si>
  <si>
    <t>⚠️  NO_QUOTA FormRow #1099 Sorry, your free limit  per week is exhausted.</t>
  </si>
  <si>
    <t>⚠️  NO_QUOTA FormRow #1098 Sorry, your free limit  per week is exhausted.</t>
  </si>
  <si>
    <t>⚠️  NO_QUOTA FormRow #1097 Sorry, your free limit  per week is exhausted.</t>
  </si>
  <si>
    <t>⚠️  NO_QUOTA FormRow #1096 Sorry, your free limit  per week is exhausted.</t>
  </si>
  <si>
    <t>⚠️  NO_QUOTA FormRow #1095 Sorry, your free limit  per week is exhausted.</t>
  </si>
  <si>
    <t>⚠️  NO_QUOTA FormRow #1094 Sorry, your free limit  per week is exhausted.</t>
  </si>
  <si>
    <t>⚠️  NO_QUOTA FormRow #1093 Sorry, your free limit  per week is exhausted.</t>
  </si>
  <si>
    <t>⚠️  NO_QUOTA FormRow #1092 Sorry, your free limit  per week is exhausted.</t>
  </si>
  <si>
    <t>⚠️  NO_QUOTA FormRow #1091 Sorry, your free limit  per week is exhausted.</t>
  </si>
  <si>
    <t>⚠️  NO_QUOTA FormRow #1090 Sorry, your free limit  per week is exhausted.</t>
  </si>
  <si>
    <t>⚠️  NO_QUOTA FormRow #1089 Sorry, your free limit  per week is exhausted.</t>
  </si>
  <si>
    <t>⚠️  NO_QUOTA FormRow #1088 Sorry, your free limit  per week is exhausted.</t>
  </si>
  <si>
    <t>⚠️  NO_QUOTA FormRow #1087 Sorry, your free limit  per week is exhausted.</t>
  </si>
  <si>
    <t>⚠️  NO_QUOTA FormRow #1086 Sorry, your free limit  per week is exhausted.</t>
  </si>
  <si>
    <t>⚠️  NO_QUOTA FormRow #1085 Sorry, your free limit  per week is exhausted.</t>
  </si>
  <si>
    <t>⚠️  NO_QUOTA FormRow #1084 Sorry, your free limit  per week is exhausted.</t>
  </si>
  <si>
    <t>⚠️  NO_QUOTA FormRow #1083 Sorry, your free limit  per week is exhausted.</t>
  </si>
  <si>
    <t>⚠️  NO_QUOTA FormRow #1082 Sorry, your free limit  per week is exhausted.</t>
  </si>
  <si>
    <t>⚠️  NO_QUOTA FormRow #1081 Sorry, your free limit  per week is exhausted.</t>
  </si>
  <si>
    <t>⚠️  NO_QUOTA FormRow #1080 Sorry, your free limit  per week is exhausted.</t>
  </si>
  <si>
    <t>✔️  [Form Responses 1] Processed form row #1079 by bpsdemak3321@gmail.com</t>
  </si>
  <si>
    <t>✔️  [Form Responses 1] Processed form row #1078 by bpsdemak3321@gmail.com</t>
  </si>
  <si>
    <t>✔️  [Form Responses 1] Processed form row #1077 by bpsdemak3321@gmail.com</t>
  </si>
  <si>
    <t>✔️  [Form Responses 1] Processed form row #1076 by bpsdemak3321@gmail.com</t>
  </si>
  <si>
    <t>✔️  [Form Responses 1] Processed form row #1075 by bpsdemak3321@gmail.com</t>
  </si>
  <si>
    <t>✔️  [Form Responses 1] Processed form row #1074 by bpsdemak3321@gmail.com</t>
  </si>
  <si>
    <t>✔️  [Form Responses 1] Processed form row #1073 by bpsdemak3321@gmail.com</t>
  </si>
  <si>
    <t>✔️  [Form Responses 1] Processed form row #1072 by bpsdemak3321@gmail.com</t>
  </si>
  <si>
    <t>✔️  [Form Responses 1] Processed form row #1071 by bpsdemak3321@gmail.com</t>
  </si>
  <si>
    <t>✔️  [Form Responses 1] Processed form row #1070 by bpsdemak3321@gmail.com</t>
  </si>
  <si>
    <t>✔️  [Form Responses 1] Processed form row #1069 by bpsdemak3321@gmail.com</t>
  </si>
  <si>
    <t>✔️  [Form Responses 1] Processed form row #1068 by bpsdemak3321@gmail.com</t>
  </si>
  <si>
    <t>✔️  [Form Responses 1] Processed form row #1067 by bpsdemak3321@gmail.com</t>
  </si>
  <si>
    <t>✔️  [Form Responses 1] Processed form row #1066 by bpsdemak3321@gmail.com</t>
  </si>
  <si>
    <t>✔️  [Form Responses 1] Processed form row #1065 by bpsdemak3321@gmail.com</t>
  </si>
  <si>
    <t>✔️  [Form Responses 1] Processed form row #1064 by bpsdemak3321@gmail.com</t>
  </si>
  <si>
    <t>✔️  [Form Responses 1] Processed form row #1063 by bpsdemak3321@gmail.com</t>
  </si>
  <si>
    <t>✔️  [Form Responses 1] Processed form row #1062 by bpsdemak3321@gmail.com</t>
  </si>
  <si>
    <t>✔️  [Form Responses 1] Processed form row #1061 by bpsdemak3321@gmail.com</t>
  </si>
  <si>
    <t>✔️  [Form Responses 1] Processed form row #1060 by bpsdemak3321@gmail.com</t>
  </si>
  <si>
    <t>✔️  [Form Responses 1] Processed form row #1059 by bpsdemak3321@gmail.com</t>
  </si>
  <si>
    <t>✔️  [Form Responses 1] Processed form row #1058 by bpsdemak3321@gmail.com</t>
  </si>
  <si>
    <t>✔️  [Form Responses 1] Processed form row #1057 by bpsdemak3321@gmail.com</t>
  </si>
  <si>
    <t>✔️  [Form Responses 1] Processed form row #1056 by bpsdemak3321@gmail.com</t>
  </si>
  <si>
    <t>✔️  [Form Responses 1] Processed form row #1055 by bpsdemak3321@gmail.com</t>
  </si>
  <si>
    <t>✔️  [Form Responses 1] Processed form row #1054 by bpsdemak3321@gmail.com</t>
  </si>
  <si>
    <t>✔️  [Form Responses 1] Processed form row #1053 by bpsdemak3321@gmail.com</t>
  </si>
  <si>
    <t>✔️  [Form Responses 1] Processed form row #1052 by bpsdemak3321@gmail.com</t>
  </si>
  <si>
    <t>⚠️  NO_QUOTA FormRow #1051 Sorry, your free limit  per week is exhausted.</t>
  </si>
  <si>
    <t>⚠️  NO_QUOTA FormRow #1050 Sorry, your free limit  per week is exhausted.</t>
  </si>
  <si>
    <t>⚠️  NO_QUOTA FormRow #1049 Sorry, your free limit  per week is exhausted.</t>
  </si>
  <si>
    <t>⚠️  NO_QUOTA FormRow #1048 Sorry, your free limit  per week is exhausted.</t>
  </si>
  <si>
    <t>⚠️  NO_QUOTA FormRow #1047 Sorry, your free limit  per week is exhausted.</t>
  </si>
  <si>
    <t>⚠️  NO_QUOTA FormRow #1046 Sorry, your free limit  per week is exhausted.</t>
  </si>
  <si>
    <t>⚠️  NO_QUOTA FormRow #1045 Sorry, your free limit  per week is exhausted.</t>
  </si>
  <si>
    <t>⚠️  NO_QUOTA FormRow #1044 Sorry, your free limit  per week is exhausted.</t>
  </si>
  <si>
    <t>⚠️  NO_QUOTA FormRow #1043 Sorry, your free limit  per week is exhausted.</t>
  </si>
  <si>
    <t>⚠️  NO_QUOTA FormRow #1042 Sorry, your free limit  per week is exhausted.</t>
  </si>
  <si>
    <t>⚠️  NO_QUOTA FormRow #1041 Sorry, your free limit  per week is exhausted.</t>
  </si>
  <si>
    <t>⚠️  NO_QUOTA FormRow #1040 Sorry, your free limit  per week is exhausted.</t>
  </si>
  <si>
    <t>⚠️  NO_QUOTA FormRow #1039 Sorry, your free limit  per week is exhausted.</t>
  </si>
  <si>
    <t>⚠️  NO_QUOTA FormRow #1038 Sorry, your free limit  per week is exhausted.</t>
  </si>
  <si>
    <t>⚠️  NO_QUOTA FormRow #1037 Sorry, your free limit  per week is exhausted.</t>
  </si>
  <si>
    <t>⚠️  NO_QUOTA FormRow #1036 Sorry, your free limit  per week is exhausted.</t>
  </si>
  <si>
    <t>⚠️  NO_QUOTA FormRow #1035 Sorry, your free limit  per week is exhausted.</t>
  </si>
  <si>
    <t>⚠️  NO_QUOTA FormRow #1034 Sorry, your free limit  per week is exhausted.</t>
  </si>
  <si>
    <t>⚠️  NO_QUOTA FormRow #1033 Sorry, your free limit  per week is exhausted.</t>
  </si>
  <si>
    <t>⚠️  NO_QUOTA FormRow #1032 Sorry, your free limit  per week is exhausted.</t>
  </si>
  <si>
    <t>⚠️  NO_QUOTA FormRow #1031 Sorry, your free limit  per week is exhausted.</t>
  </si>
  <si>
    <t>✔️  [Form Responses 1] Processed form row #1030 by bpsdemak3321@gmail.com</t>
  </si>
  <si>
    <t>✔️  [Form Responses 1] Processed form row #1029 by bpsdemak3321@gmail.com</t>
  </si>
  <si>
    <t>✔️  [Form Responses 1] Processed form row #1028 by bpsdemak3321@gmail.com</t>
  </si>
  <si>
    <t>✔️  [Form Responses 1] Processed form row #1027 by bpsdemak3321@gmail.com</t>
  </si>
  <si>
    <t>✔️  [Form Responses 1] Processed form row #1026 by bpsdemak3321@gmail.com</t>
  </si>
  <si>
    <t>✔️  [Form Responses 1] Processed form row #1025 by bpsdemak3321@gmail.com</t>
  </si>
  <si>
    <t>✔️  [Form Responses 1] Processed form row #1024 by bpsdemak3321@gmail.com</t>
  </si>
  <si>
    <t>✔️  [Form Responses 1] Processed form row #1023 by bpsdemak3321@gmail.com</t>
  </si>
  <si>
    <t>✔️  [Form Responses 1] Processed form row #1022 by bpsdemak3321@gmail.com</t>
  </si>
  <si>
    <t>✔️  [Form Responses 1] Processed form row #1021 by bpsdemak3321@gmail.com</t>
  </si>
  <si>
    <t>✔️  [Form Responses 1] Processed form row #1020 by bpsdemak3321@gmail.com</t>
  </si>
  <si>
    <t>✔️  [Form Responses 1] Processed form row #1019 by bpsdemak3321@gmail.com</t>
  </si>
  <si>
    <t>✔️  [Form Responses 1] Processed form row #1018 by bpsdemak3321@gmail.com</t>
  </si>
  <si>
    <t>✔️  [Form Responses 1] Processed form row #1016 by bpsdemak3321@gmail.com</t>
  </si>
  <si>
    <t>✔️  [Form Responses 1] Processed form row #1017 by bpsdemak3321@gmail.com</t>
  </si>
  <si>
    <t>✔️  [Form Responses 1] Processed form row #1015 by bpsdemak3321@gmail.com</t>
  </si>
  <si>
    <t>✔️  [Form Responses 1] Processed form row #1014 by bpsdemak3321@gmail.com</t>
  </si>
  <si>
    <t>✔️  [Form Responses 1] Processed form row #1013 by bpsdemak3321@gmail.com</t>
  </si>
  <si>
    <t>✔️  [Form Responses 1] Processed form row #1012 by bpsdemak3321@gmail.com</t>
  </si>
  <si>
    <t>✔️  [Form Responses 1] Processed form row #1011 by bpsdemak3321@gmail.com</t>
  </si>
  <si>
    <t>✔️  [Form Responses 1] Processed form row #1010 by bpsdemak3321@gmail.com</t>
  </si>
  <si>
    <t>✔️  [Form Responses 1] Processed form row #1009 by bpsdemak3321@gmail.com</t>
  </si>
  <si>
    <t>✔️  [Form Responses 1] Processed form row #1008 by bpsdemak3321@gmail.com</t>
  </si>
  <si>
    <t>✔️  [Form Responses 1] Processed form row #1007 by bpsdemak3321@gmail.com</t>
  </si>
  <si>
    <t>✔️  [Form Responses 1] Processed form row #1006 by bpsdemak3321@gmail.com</t>
  </si>
  <si>
    <t>✔️  [Form Responses 1] Processed form row #1005 by bpsdemak3321@gmail.com</t>
  </si>
  <si>
    <t>✔️  [Form Responses 1] Processed form row #1004 by bpsdemak3321@gmail.com</t>
  </si>
  <si>
    <t>✔️  [Form Responses 1] Processed form row #1003 by bpsdemak3321@gmail.com</t>
  </si>
  <si>
    <t>✔️  [Form Responses 1] Processed form row #1002 by bpsdemak3321@gmail.com</t>
  </si>
  <si>
    <t>⚠️  NO_QUOTA FormRow #1001 Sorry, your free limit  per week is exhausted.</t>
  </si>
  <si>
    <t>⚠️  NO_QUOTA FormRow #1000 Sorry, your free limit  per week is exhausted.</t>
  </si>
  <si>
    <t>⚠️  NO_QUOTA FormRow #999 Sorry, your free limit  per week is exhausted.</t>
  </si>
  <si>
    <t>⚠️  NO_QUOTA FormRow #998 Sorry, your free limit  per week is exhausted.</t>
  </si>
  <si>
    <t>⚠️  NO_QUOTA FormRow #997 Sorry, your free limit  per week is exhausted.</t>
  </si>
  <si>
    <t>⚠️  NO_QUOTA FormRow #996 Sorry, your free limit  per week is exhausted.</t>
  </si>
  <si>
    <t>⚠️  NO_QUOTA FormRow #995 Sorry, your free limit  per week is exhausted.</t>
  </si>
  <si>
    <t>⚠️  NO_QUOTA FormRow #994 Sorry, your free limit  per week is exhausted.</t>
  </si>
  <si>
    <t>✔️  [Form Responses 1] Processed form row #993 by bpsdemak3321@gmail.com</t>
  </si>
  <si>
    <t>✔️  [Form Responses 1] Processed form row #992 by bpsdemak3321@gmail.com</t>
  </si>
  <si>
    <t>✔️  [Form Responses 1] Processed form row #991 by bpsdemak3321@gmail.com</t>
  </si>
  <si>
    <t>✔️  [Form Responses 1] Processed form row #990 by bpsdemak3321@gmail.com</t>
  </si>
  <si>
    <t>✔️  [Form Responses 1] Processed form row #989 by bpsdemak3321@gmail.com</t>
  </si>
  <si>
    <t>✔️  [Form Responses 1] Processed form row #988 by bpsdemak3321@gmail.com</t>
  </si>
  <si>
    <t>✔️  [Form Responses 1] Processed form row #987 by bpsdemak3321@gmail.com</t>
  </si>
  <si>
    <t>✔️  [Form Responses 1] Processed form row #986 by bpsdemak3321@gmail.com</t>
  </si>
  <si>
    <t>✔️  [Form Responses 1] Processed form row #985 by bpsdemak3321@gmail.com</t>
  </si>
  <si>
    <t>✔️  [Form Responses 1] Processed form row #984 by bpsdemak3321@gmail.com</t>
  </si>
  <si>
    <t>✔️  [Form Responses 1] Processed form row #983 by bpsdemak3321@gmail.com</t>
  </si>
  <si>
    <t>✔️  [Form Responses 1] Processed form row #982 by bpsdemak3321@gmail.com</t>
  </si>
  <si>
    <t>✔️  [Form Responses 1] Processed form row #981 by bpsdemak3321@gmail.com</t>
  </si>
  <si>
    <t>✔️  [Form Responses 1] Processed form row #980 by bpsdemak3321@gmail.com</t>
  </si>
  <si>
    <t>✔️  [Form Responses 1] Processed form row #979 by bpsdemak3321@gmail.com</t>
  </si>
  <si>
    <t>✔️  [Form Responses 1] Processed form row #978 by bpsdemak3321@gmail.com</t>
  </si>
  <si>
    <t>✔️  [Form Responses 1] Processed form row #977 by bpsdemak3321@gmail.com</t>
  </si>
  <si>
    <t>✔️  [Form Responses 1] Processed form row #976 by bpsdemak3321@gmail.com</t>
  </si>
  <si>
    <t>✔️  [Form Responses 1] Processed form row #975 by bpsdemak3321@gmail.com</t>
  </si>
  <si>
    <t>✔️  [Form Responses 1] Processed form row #974 by bpsdemak3321@gmail.com</t>
  </si>
  <si>
    <t>✔️  [Form Responses 1] Processed form row #973 by bpsdemak3321@gmail.com</t>
  </si>
  <si>
    <t>✔️  [Form Responses 1] Processed form row #972 by bpsdemak3321@gmail.com</t>
  </si>
  <si>
    <t>✔️  [Form Responses 1] Processed form row #971 by bpsdemak3321@gmail.com</t>
  </si>
  <si>
    <t>✔️  [Form Responses 1] Processed form row #970 by bpsdemak3321@gmail.com</t>
  </si>
  <si>
    <t>✔️  [Form Responses 1] Processed form row #969 by bpsdemak3321@gmail.com</t>
  </si>
  <si>
    <t>✔️  [Form Responses 1] Processed form row #968 by bpsdemak3321@gmail.com</t>
  </si>
  <si>
    <t>✔️  [Form Responses 1] Processed form row #967 by bpsdemak3321@gmail.com</t>
  </si>
  <si>
    <t>✔️  [Form Responses 1] Processed form row #966 by bpsdemak3321@gmail.com</t>
  </si>
  <si>
    <t>✔️  [Form Responses 1] Processed form row #965 by bpsdemak3321@gmail.com</t>
  </si>
  <si>
    <t>✔️  [Form Responses 1] Processed form row #964 by bpsdemak3321@gmail.com</t>
  </si>
  <si>
    <t>✔️  [Form Responses 1] Processed form row #963 by bpsdemak3321@gmail.com</t>
  </si>
  <si>
    <t>✔️  [Form Responses 1] Processed form row #962 by bpsdemak3321@gmail.com</t>
  </si>
  <si>
    <t>✔️  [Form Responses 1] Processed form row #961 by bpsdemak3321@gmail.com</t>
  </si>
  <si>
    <t>✔️  [Form Responses 1] Processed form row #960 by bpsdemak3321@gmail.com</t>
  </si>
  <si>
    <t>✔️  [Form Responses 1] Processed form row #959 by bpsdemak3321@gmail.com</t>
  </si>
  <si>
    <t>✔️  [Form Responses 1] Processed form row #958 by bpsdemak3321@gmail.com</t>
  </si>
  <si>
    <t>✔️  [Form Responses 1] Processed form row #957 by bpsdemak3321@gmail.com</t>
  </si>
  <si>
    <t>✔️  [Form Responses 1] Processed form row #956 by bpsdemak3321@gmail.com</t>
  </si>
  <si>
    <t>✔️  [Form Responses 1] Processed form row #955 by bpsdemak3321@gmail.com</t>
  </si>
  <si>
    <t>✔️  [Form Responses 1] Processed form row #954 by bpsdemak3321@gmail.com</t>
  </si>
  <si>
    <t>✔️  [Form Responses 1] Processed form row #953 by bpsdemak3321@gmail.com</t>
  </si>
  <si>
    <t>✔️  [Form Responses 1] Processed form row #952 by bpsdemak3321@gmail.com</t>
  </si>
  <si>
    <t>✔️  [Form Responses 1] Processed form row #951 by bpsdemak3321@gmail.com</t>
  </si>
  <si>
    <t>✔️  [Form Responses 1] Processed form row #950 by bpsdemak3321@gmail.com</t>
  </si>
  <si>
    <t>✔️  [Form Responses 1] Processed form row #949 by bpsdemak3321@gmail.com</t>
  </si>
  <si>
    <t>✔️  [Form Responses 1] Processed form row #948 by bpsdemak3321@gmail.com</t>
  </si>
  <si>
    <t>✔️  [Form Responses 1] Processed form row #947 by bpsdemak3321@gmail.com</t>
  </si>
  <si>
    <t>✔️  [Form Responses 1] Processed form row #946 by bpsdemak3321@gmail.com</t>
  </si>
  <si>
    <t>✔️  [Form Responses 1] Processed form row #945 by bpsdemak3321@gmail.com</t>
  </si>
  <si>
    <t>✔️  [Form Responses 1] Processed form row #944 by bpsdemak3321@gmail.com</t>
  </si>
  <si>
    <t>✔️  [Form Responses 1] Processed form row #943 by bpsdemak3321@gmail.com</t>
  </si>
  <si>
    <t>✔️  [Form Responses 1] Processed form row #942 by bpsdemak3321@gmail.com</t>
  </si>
  <si>
    <t>✔️  [Form Responses 1] Processed form row #941 by bpsdemak3321@gmail.com</t>
  </si>
  <si>
    <t>✔️  [Form Responses 1] Processed form row #940 by bpsdemak3321@gmail.com</t>
  </si>
  <si>
    <t>✔️  [Form Responses 1] Processed form row #939 by bpsdemak3321@gmail.com</t>
  </si>
  <si>
    <t>✔️  [Form Responses 1] Processed form row #938 by bpsdemak3321@gmail.com</t>
  </si>
  <si>
    <t>✔️  [Form Responses 1] Processed form row #937 by bpsdemak3321@gmail.com</t>
  </si>
  <si>
    <t>✔️  [Form Responses 1] Processed form row #936 by bpsdemak3321@gmail.com</t>
  </si>
  <si>
    <t>✔️  [Form Responses 1] Processed form row #935 by bpsdemak3321@gmail.com</t>
  </si>
  <si>
    <t>✔️  [Form Responses 1] Processed form row #934 by bpsdemak3321@gmail.com</t>
  </si>
  <si>
    <t>✔️  [Form Responses 1] Processed form row #933 by bpsdemak3321@gmail.com</t>
  </si>
  <si>
    <t>✔️  [Form Responses 1] Processed form row #932 by bpsdemak3321@gmail.com</t>
  </si>
  <si>
    <t>✔️  [Form Responses 1] Processed form row #931 by bpsdemak3321@gmail.com</t>
  </si>
  <si>
    <t>✔️  [Form Responses 1] Processed form row #930 by bpsdemak3321@gmail.com</t>
  </si>
  <si>
    <t>✔️  [Form Responses 1] Processed form row #929 by bpsdemak3321@gmail.com</t>
  </si>
  <si>
    <t>✔️  [Form Responses 1] Processed form row #928 by bpsdemak3321@gmail.com</t>
  </si>
  <si>
    <t>✔️  [Form Responses 1] Processed form row #927 by bpsdemak3321@gmail.com</t>
  </si>
  <si>
    <t>✔️  [Form Responses 1] Processed form row #926 by bpsdemak3321@gmail.com</t>
  </si>
  <si>
    <t>✔️  [Form Responses 1] Processed form row #925 by bpsdemak3321@gmail.com</t>
  </si>
  <si>
    <t>✔️  [Form Responses 1] Processed form row #924 by bpsdemak3321@gmail.com</t>
  </si>
  <si>
    <t>✔️  [Form Responses 1] Processed form row #923 by bpsdemak3321@gmail.com</t>
  </si>
  <si>
    <t>✔️  [Form Responses 1] Processed form row #922 by bpsdemak3321@gmail.com</t>
  </si>
  <si>
    <t>✔️  [Form Responses 1] Processed form row #921 by bpsdemak3321@gmail.com</t>
  </si>
  <si>
    <t>✔️  [Form Responses 1] Processed form row #920 by bpsdemak3321@gmail.com</t>
  </si>
  <si>
    <t>✔️  [Form Responses 1] Processed form row #919 by bpsdemak3321@gmail.com</t>
  </si>
  <si>
    <t>✔️  [Form Responses 1] Processed form row #918 by bpsdemak3321@gmail.com</t>
  </si>
  <si>
    <t>✔️  [Form Responses 1] Processed form row #917 by bpsdemak3321@gmail.com</t>
  </si>
  <si>
    <t>✔️  [Form Responses 1] Processed form row #916 by bpsdemak3321@gmail.com</t>
  </si>
  <si>
    <t>✔️  [Form Responses 1] Processed form row #915 by bpsdemak3321@gmail.com</t>
  </si>
  <si>
    <t>✔️  [Form Responses 1] Processed form row #914 by bpsdemak3321@gmail.com</t>
  </si>
  <si>
    <t>✔️  [Form Responses 1] Processed form row #913 by bpsdemak3321@gmail.com</t>
  </si>
  <si>
    <t>✔️  [Form Responses 1] Processed form row #912 by bpsdemak3321@gmail.com</t>
  </si>
  <si>
    <t>✔️  [Form Responses 1] Processed form row #911 by bpsdemak3321@gmail.com</t>
  </si>
  <si>
    <t>✔️  [Form Responses 1] Processed form row #910 by bpsdemak3321@gmail.com</t>
  </si>
  <si>
    <t>✔️  [Form Responses 1] Processed form row #909 by bpsdemak3321@gmail.com</t>
  </si>
  <si>
    <t>✔️  [Form Responses 1] Processed form row #908 by bpsdemak3321@gmail.com</t>
  </si>
  <si>
    <t>✔️  [Form Responses 1] Processed form row #907 by bpsdemak3321@gmail.com</t>
  </si>
  <si>
    <t>✔️  [Form Responses 1] Processed form row #906 by bpsdemak3321@gmail.com</t>
  </si>
  <si>
    <t>✔️  [Form Responses 1] Processed form row #905 by bpsdemak3321@gmail.com</t>
  </si>
  <si>
    <t>✔️  [Form Responses 1] Processed form row #904 by bpsdemak3321@gmail.com</t>
  </si>
  <si>
    <t>✔️  [Form Responses 1] Processed form row #903 by bpsdemak3321@gmail.com</t>
  </si>
  <si>
    <t>✔️  [Form Responses 1] Processed form row #902 by bpsdemak3321@gmail.com</t>
  </si>
  <si>
    <t>✔️  [Form Responses 1] Processed form row #901 by bpsdemak3321@gmail.com</t>
  </si>
  <si>
    <t>✔️  [Form Responses 1] Processed form row #900 by bpsdemak3321@gmail.com</t>
  </si>
  <si>
    <t>✔️  [Form Responses 1] Processed form row #899 by bpsdemak3321@gmail.com</t>
  </si>
  <si>
    <t>✔️  [Form Responses 1] Processed form row #898 by bpsdemak3321@gmail.com</t>
  </si>
  <si>
    <t>✔️  [Form Responses 1] Processed form row #897 by bpsdemak3321@gmail.com</t>
  </si>
  <si>
    <t>✔️  [Form Responses 1] Processed form row #896 by bpsdemak3321@gmail.com</t>
  </si>
  <si>
    <t>✔️  [Form Responses 1] Processed form row #895 by bpsdemak3321@gmail.com</t>
  </si>
  <si>
    <t>✔️  [Form Responses 1] Processed form row #894 by bpsdemak3321@gmail.com</t>
  </si>
  <si>
    <t>✔️  [Form Responses 1] Processed form row #893 by bpsdemak3321@gmail.com</t>
  </si>
  <si>
    <t>✔️  [Form Responses 1] Processed form row #892 by bpsdemak3321@gmail.com</t>
  </si>
  <si>
    <t>✔️  [Form Responses 1] Processed form row #891 by bpsdemak3321@gmail.com</t>
  </si>
  <si>
    <t>✔️  [Form Responses 1] Processed form row #890 by bpsdemak3321@gmail.com</t>
  </si>
  <si>
    <t>✔️  [Form Responses 1] Processed form row #889 by bpsdemak3321@gmail.com</t>
  </si>
  <si>
    <t>✔️  [Form Responses 1] Processed form row #888 by bpsdemak3321@gmail.com</t>
  </si>
  <si>
    <t>✔️  [Form Responses 1] Processed form row #887 by bpsdemak3321@gmail.com</t>
  </si>
  <si>
    <t>✔️  [Form Responses 1] Processed form row #886 by bpsdemak3321@gmail.com</t>
  </si>
  <si>
    <t>✔️  [Form Responses 1] Processed form row #885 by bpsdemak3321@gmail.com</t>
  </si>
  <si>
    <t>✔️  [Form Responses 1] Processed form row #884 by bpsdemak3321@gmail.com</t>
  </si>
  <si>
    <t>✔️  [Form Responses 1] Processed form row #883 by bpsdemak3321@gmail.com</t>
  </si>
  <si>
    <t>✔️  [Form Responses 1] Processed form row #882 by bpsdemak3321@gmail.com</t>
  </si>
  <si>
    <t>✔️  [Form Responses 1] Processed form row #881 by bpsdemak3321@gmail.com</t>
  </si>
  <si>
    <t>✔️  [Form Responses 1] Processed form row #880 by bpsdemak3321@gmail.com</t>
  </si>
  <si>
    <t>✔️  [Form Responses 1] Processed form row #879 by bpsdemak3321@gmail.com</t>
  </si>
  <si>
    <t>✔️  [Form Responses 1] Processed form row #878 by bpsdemak3321@gmail.com</t>
  </si>
  <si>
    <t>✔️  [Form Responses 1] Processed form row #877 by bpsdemak3321@gmail.com</t>
  </si>
  <si>
    <t>✔️  [Form Responses 1] Processed form row #876 by bpsdemak3321@gmail.com</t>
  </si>
  <si>
    <t>✔️  [Form Responses 1] Processed form row #875 by bpsdemak3321@gmail.com</t>
  </si>
  <si>
    <t>✔️  [Form Responses 1] Processed form row #874 by bpsdemak3321@gmail.com</t>
  </si>
  <si>
    <t>✔️  [Form Responses 1] Processed form row #873 by bpsdemak3321@gmail.com</t>
  </si>
  <si>
    <t>✔️  [Form Responses 1] Processed form row #872 by bpsdemak3321@gmail.com</t>
  </si>
  <si>
    <t>✔️  [Form Responses 1] Processed form row #871 by bpsdemak3321@gmail.com</t>
  </si>
  <si>
    <t>✔️  [Form Responses 1] Processed form row #870 by bpsdemak3321@gmail.com</t>
  </si>
  <si>
    <t>✔️  [Form Responses 1] Processed form row #869 by bpsdemak3321@gmail.com</t>
  </si>
  <si>
    <t>✔️  [Form Responses 1] Processed form row #868 by bpsdemak3321@gmail.com</t>
  </si>
  <si>
    <t>✔️  [Form Responses 1] Processed form row #867 by bpsdemak3321@gmail.com</t>
  </si>
  <si>
    <t>✔️  [Form Responses 1] Processed form row #866 by bpsdemak3321@gmail.com</t>
  </si>
  <si>
    <t>✔️  [Form Responses 1] Processed form row #865 by bpsdemak3321@gmail.com</t>
  </si>
  <si>
    <t>✔️  [Form Responses 1] Processed form row #864 by bpsdemak3321@gmail.com</t>
  </si>
  <si>
    <t>✔️  [Form Responses 1] Processed form row #863 by bpsdemak3321@gmail.com</t>
  </si>
  <si>
    <t>✔️  [Form Responses 1] Processed form row #862 by bpsdemak3321@gmail.com</t>
  </si>
  <si>
    <t>✔️  [Form Responses 1] Processed form row #861 by bpsdemak3321@gmail.com</t>
  </si>
  <si>
    <t>✔️  [Form Responses 1] Processed form row #860 by bpsdemak3321@gmail.com</t>
  </si>
  <si>
    <t>✔️  [Form Responses 1] Processed form row #859 by bpsdemak3321@gmail.com</t>
  </si>
  <si>
    <t>✔️  [Form Responses 1] Processed form row #858 by bpsdemak3321@gmail.com</t>
  </si>
  <si>
    <t>✔️  [Form Responses 1] Processed form row #857 by bpsdemak3321@gmail.com</t>
  </si>
  <si>
    <t>✔️  [Form Responses 1] Processed form row #856 by bpsdemak3321@gmail.com</t>
  </si>
  <si>
    <t>✔️  [Form Responses 1] Processed form row #855 by bpsdemak3321@gmail.com</t>
  </si>
  <si>
    <t>✔️  [Form Responses 1] Processed form row #854 by bpsdemak3321@gmail.com</t>
  </si>
  <si>
    <t>✔️  [Form Responses 1] Processed form row #853 by bpsdemak3321@gmail.com</t>
  </si>
  <si>
    <t>✔️  [Form Responses 1] Processed form row #852 by bpsdemak3321@gmail.com</t>
  </si>
  <si>
    <t>✔️  [Form Responses 1] Processed form row #851 by bpsdemak3321@gmail.com</t>
  </si>
  <si>
    <t>✔️  [Form Responses 1] Processed form row #850 by bpsdemak3321@gmail.com</t>
  </si>
  <si>
    <t>✔️  [Form Responses 1] Processed form row #849 by bpsdemak3321@gmail.com</t>
  </si>
  <si>
    <t>✔️  [Form Responses 1] Processed form row #848 by bpsdemak3321@gmail.com</t>
  </si>
  <si>
    <t>✔️  [Form Responses 1] Processed form row #847 by bpsdemak3321@gmail.com</t>
  </si>
  <si>
    <t>✔️  [Form Responses 1] Processed form row #846 by bpsdemak3321@gmail.com</t>
  </si>
  <si>
    <t>✔️  [Form Responses 1] Processed form row #845 by bpsdemak3321@gmail.com</t>
  </si>
  <si>
    <t>✔️  [Form Responses 1] Processed form row #844 by bpsdemak3321@gmail.com</t>
  </si>
  <si>
    <t>✔️  [Form Responses 1] Processed form row #843 by bpsdemak3321@gmail.com</t>
  </si>
  <si>
    <t>✔️  [Form Responses 1] Processed form row #842 by bpsdemak3321@gmail.com</t>
  </si>
  <si>
    <t>✔️  [Form Responses 1] Processed form row #841 by bpsdemak3321@gmail.com</t>
  </si>
  <si>
    <t>✔️  [Form Responses 1] Processed form row #840 by bpsdemak3321@gmail.com</t>
  </si>
  <si>
    <t>✔️  [Form Responses 1] Processed form row #839 by bpsdemak3321@gmail.com</t>
  </si>
  <si>
    <t>✔️  [Form Responses 1] Processed form row #838 by bpsdemak3321@gmail.com</t>
  </si>
  <si>
    <t>✔️  [Form Responses 1] Processed form row #837 by bpsdemak3321@gmail.com</t>
  </si>
  <si>
    <t>✔️  [Form Responses 1] Processed form row #836 by bpsdemak3321@gmail.com</t>
  </si>
  <si>
    <t>✔️  [Form Responses 1] Processed form row #835 by bpsdemak3321@gmail.com</t>
  </si>
  <si>
    <t>✔️  [Form Responses 1] Processed form row #834 by bpsdemak3321@gmail.com</t>
  </si>
  <si>
    <t>✔️  [Form Responses 1] Processed form row #833 by bpsdemak3321@gmail.com</t>
  </si>
  <si>
    <t>✔️  [Form Responses 1] Processed form row #832 by bpsdemak3321@gmail.com</t>
  </si>
  <si>
    <t>✔️  [Form Responses 1] Processed form row #831 by bpsdemak3321@gmail.com</t>
  </si>
  <si>
    <t>✔️  [Form Responses 1] Processed form row #830 by bpsdemak3321@gmail.com</t>
  </si>
  <si>
    <t>✔️  [Form Responses 1] Processed form row #829 by bpsdemak3321@gmail.com</t>
  </si>
  <si>
    <t>✔️  [Form Responses 1] Processed form row #828 by bpsdemak3321@gmail.com</t>
  </si>
  <si>
    <t>✔️  [Form Responses 1] Processed form row #827 by bpsdemak3321@gmail.com</t>
  </si>
  <si>
    <t>✔️  [Form Responses 1] Processed form row #826 by bpsdemak3321@gmail.com</t>
  </si>
  <si>
    <t>✔️  [Form Responses 1] Processed form row #825 by bpsdemak3321@gmail.com</t>
  </si>
  <si>
    <t>✔️  [Form Responses 1] Processed form row #824 by bpsdemak3321@gmail.com</t>
  </si>
  <si>
    <t>✔️  [Form Responses 1] Processed form row #823 by bpsdemak3321@gmail.com</t>
  </si>
  <si>
    <t>⚠️  NO_QUOTA FormRow #822 Sorry, your free limit  per week is exhausted.</t>
  </si>
  <si>
    <t>✔️  [Form Responses 1] Processed form row #821 by bpsdemak3321@gmail.com</t>
  </si>
  <si>
    <t>✔️  [Form Responses 1] Processed form row #820 by bpsdemak3321@gmail.com</t>
  </si>
  <si>
    <t>✔️  [Form Responses 1] Processed form row #819 by bpsdemak3321@gmail.com</t>
  </si>
  <si>
    <t>✔️  [Form Responses 1] Processed form row #818 by bpsdemak3321@gmail.com</t>
  </si>
  <si>
    <t>✔️  [Form Responses 1] Processed form row #817 by bpsdemak3321@gmail.com</t>
  </si>
  <si>
    <t>✔️  [Form Responses 1] Processed form row #816 by bpsdemak3321@gmail.com</t>
  </si>
  <si>
    <t>✔️  [Form Responses 1] Processed form row #815 by bpsdemak3321@gmail.com</t>
  </si>
  <si>
    <t>✔️  [Form Responses 1] Processed form row #814 by bpsdemak3321@gmail.com</t>
  </si>
  <si>
    <t>✔️  [Form Responses 1] Processed form row #813 by bpsdemak3321@gmail.com</t>
  </si>
  <si>
    <t>✔️  [Form Responses 1] Processed form row #812 by bpsdemak3321@gmail.com</t>
  </si>
  <si>
    <t>✔️  [Form Responses 1] Processed form row #811 by bpsdemak3321@gmail.com</t>
  </si>
  <si>
    <t>✔️  [Form Responses 1] Processed form row #810 by bpsdemak3321@gmail.com</t>
  </si>
  <si>
    <t>✔️  [Form Responses 1] Processed form row #809 by bpsdemak3321@gmail.com</t>
  </si>
  <si>
    <t>✔️  [Form Responses 1] Processed form row #808 by bpsdemak3321@gmail.com</t>
  </si>
  <si>
    <t>✔️  [Form Responses 1] Processed form row #807 by bpsdemak3321@gmail.com</t>
  </si>
  <si>
    <t>✔️  [Form Responses 1] Processed form row #806 by bpsdemak3321@gmail.com</t>
  </si>
  <si>
    <t>✔️  [Form Responses 1] Processed form row #805 by bpsdemak3321@gmail.com</t>
  </si>
  <si>
    <t>✔️  [Form Responses 1] Processed form row #804 by bpsdemak3321@gmail.com</t>
  </si>
  <si>
    <t>✔️  [Form Responses 1] Processed form row #803 by bpsdemak3321@gmail.com</t>
  </si>
  <si>
    <t>✔️  [Form Responses 1] Processed form row #802 by bpsdemak3321@gmail.com</t>
  </si>
  <si>
    <t>✔️  [Form Responses 1] Processed form row #801 by bpsdemak3321@gmail.com</t>
  </si>
  <si>
    <t>✔️  [Form Responses 1] Processed form row #800 by bpsdemak3321@gmail.com</t>
  </si>
  <si>
    <t>✔️  [Form Responses 1] Processed form row #799 by bpsdemak3321@gmail.com</t>
  </si>
  <si>
    <t>✔️  [Form Responses 1] Processed form row #798 by bpsdemak3321@gmail.com</t>
  </si>
  <si>
    <t>✔️  [Form Responses 1] Processed form row #797 by bpsdemak3321@gmail.com</t>
  </si>
  <si>
    <t>✔️  [Form Responses 1] Processed form row #796 by bpsdemak3321@gmail.com</t>
  </si>
  <si>
    <t>✔️  [Form Responses 1] Processed form row #795 by bpsdemak3321@gmail.com</t>
  </si>
  <si>
    <t>✔️  [Form Responses 1] Processed form row #794 by bpsdemak3321@gmail.com</t>
  </si>
  <si>
    <t>✔️  [Form Responses 1] Processed form row #793 by bpsdemak3321@gmail.com</t>
  </si>
  <si>
    <t>✔️  [Form Responses 1] Processed form row #792 by bpsdemak3321@gmail.com</t>
  </si>
  <si>
    <t>⚠️  NO_QUOTA FormRow #791 Sorry, your free limit  per week is exhausted.</t>
  </si>
  <si>
    <t>⚠️  NO_QUOTA FormRow #790 Sorry, your free limit  per week is exhausted.</t>
  </si>
  <si>
    <t>⚠️  NO_QUOTA FormRow #789 Sorry, your free limit  per week is exhausted.</t>
  </si>
  <si>
    <t>⚠️  NO_QUOTA FormRow #788 Sorry, your free limit  per week is exhausted.</t>
  </si>
  <si>
    <t>⚠️  NO_QUOTA FormRow #787 Sorry, your free limit  per week is exhausted.</t>
  </si>
  <si>
    <t>⚠️  NO_QUOTA FormRow #786 Sorry, your free limit  per week is exhausted.</t>
  </si>
  <si>
    <t>⚠️  NO_QUOTA FormRow #785 Sorry, your free limit  per week is exhausted.</t>
  </si>
  <si>
    <t>⚠️  NO_QUOTA FormRow #784 Sorry, your free limit  per week is exhausted.</t>
  </si>
  <si>
    <t>⚠️  NO_QUOTA FormRow #783 Sorry, your free limit  per week is exhausted.</t>
  </si>
  <si>
    <t>✔️  [Form Responses 1] Processed form row #782 by bpsdemak3321@gmail.com</t>
  </si>
  <si>
    <t>✔️  [Form Responses 1] Processed form row #781 by bpsdemak3321@gmail.com</t>
  </si>
  <si>
    <t>✔️  [Form Responses 1] Processed form row #780 by bpsdemak3321@gmail.com</t>
  </si>
  <si>
    <t>✔️  [Form Responses 1] Processed form row #779 by bpsdemak3321@gmail.com</t>
  </si>
  <si>
    <t>✔️  [Form Responses 1] Processed form row #778 by bpsdemak3321@gmail.com</t>
  </si>
  <si>
    <t>✔️  [Form Responses 1] Processed form row #777 by bpsdemak3321@gmail.com</t>
  </si>
  <si>
    <t>✔️  [Form Responses 1] Processed form row #776 by bpsdemak3321@gmail.com</t>
  </si>
  <si>
    <t>✔️  [Form Responses 1] Processed form row #775 by bpsdemak3321@gmail.com</t>
  </si>
  <si>
    <t>✔️  [Form Responses 1] Processed form row #774 by bpsdemak3321@gmail.com</t>
  </si>
  <si>
    <t>✔️  [Form Responses 1] Processed form row #773 by bpsdemak3321@gmail.com</t>
  </si>
  <si>
    <t>✔️  [Form Responses 1] Processed form row #772 by bpsdemak3321@gmail.com</t>
  </si>
  <si>
    <t>✔️  [Form Responses 1] Processed form row #771 by bpsdemak3321@gmail.com</t>
  </si>
  <si>
    <t>✔️  [Form Responses 1] Processed form row #770 by bpsdemak3321@gmail.com</t>
  </si>
  <si>
    <t>✔️  [Form Responses 1] Processed form row #769 by bpsdemak3321@gmail.com</t>
  </si>
  <si>
    <t>✔️  [Form Responses 1] Processed form row #768 by bpsdemak3321@gmail.com</t>
  </si>
  <si>
    <t>✔️  [Form Responses 1] Processed form row #767 by bpsdemak3321@gmail.com</t>
  </si>
  <si>
    <t>✔️  [Form Responses 1] Processed form row #766 by bpsdemak3321@gmail.com</t>
  </si>
  <si>
    <t>✔️  [Form Responses 1] Processed form row #765 by bpsdemak3321@gmail.com</t>
  </si>
  <si>
    <t>✔️  [Form Responses 1] Processed form row #764 by bpsdemak3321@gmail.com</t>
  </si>
  <si>
    <t>✔️  [Form Responses 1] Processed form row #763 by bpsdemak3321@gmail.com</t>
  </si>
  <si>
    <t>✔️  [Form Responses 1] Processed form row #762 by bpsdemak3321@gmail.com</t>
  </si>
  <si>
    <t>✔️  [Form Responses 1] Processed form row #761 by bpsdemak3321@gmail.com</t>
  </si>
  <si>
    <t>✔️  [Form Responses 1] Processed form row #760 by bpsdemak3321@gmail.com</t>
  </si>
  <si>
    <t>✔️  [Form Responses 1] Processed form row #759 by bpsdemak3321@gmail.com</t>
  </si>
  <si>
    <t>✔️  [Form Responses 1] Processed form row #758 by bpsdemak3321@gmail.com</t>
  </si>
  <si>
    <t>✔️  [Form Responses 1] Processed form row #757 by bpsdemak3321@gmail.com</t>
  </si>
  <si>
    <t>⚠️  NO_QUOTA FormRow #756 Sorry, your free limit  per week is exhausted.</t>
  </si>
  <si>
    <t>⚠️  NO_QUOTA FormRow #755 Sorry, your free limit  per week is exhausted.</t>
  </si>
  <si>
    <t>⚠️  NO_QUOTA FormRow #754 Sorry, your free limit  per week is exhausted.</t>
  </si>
  <si>
    <t>⚠️  NO_QUOTA FormRow #753 Sorry, your free limit  per week is exhausted.</t>
  </si>
  <si>
    <t>⚠️  NO_QUOTA FormRow #752 Sorry, your free limit  per week is exhausted.</t>
  </si>
  <si>
    <t>⚠️  NO_QUOTA FormRow #751 Sorry, your free limit  per week is exhausted.</t>
  </si>
  <si>
    <t>⚠️  NO_QUOTA FormRow #750 Sorry, your free limit  per week is exhausted.</t>
  </si>
  <si>
    <t>⚠️  NO_QUOTA FormRow #749 Sorry, your free limit  per week is exhausted.</t>
  </si>
  <si>
    <t>⚠️  NO_QUOTA FormRow #748 Sorry, your free limit  per week is exhausted.</t>
  </si>
  <si>
    <t>⚠️  NO_QUOTA FormRow #747 Sorry, your free limit  per week is exhausted.</t>
  </si>
  <si>
    <t>⚠️  NO_QUOTA FormRow #746 Sorry, your free limit  per week is exhausted.</t>
  </si>
  <si>
    <t>⚠️  NO_QUOTA FormRow #745 Sorry, your free limit  per week is exhausted.</t>
  </si>
  <si>
    <t>⚠️  NO_QUOTA FormRow #744 Sorry, your free limit  per week is exhausted.</t>
  </si>
  <si>
    <t>⚠️  NO_QUOTA FormRow #743 Sorry, your free limit  per week is exhausted.</t>
  </si>
  <si>
    <t>⚠️  NO_QUOTA FormRow #742 Sorry, your free limit  per week is exhausted.</t>
  </si>
  <si>
    <t>⚠️  NO_QUOTA FormRow #741 Sorry, your free limit  per week is exhausted.</t>
  </si>
  <si>
    <t>⚠️  NO_QUOTA FormRow #740 Sorry, your free limit  per week is exhausted.</t>
  </si>
  <si>
    <t>⚠️  NO_QUOTA FormRow #739 Sorry, your free limit  per week is exhausted.</t>
  </si>
  <si>
    <t>⚠️  NO_QUOTA FormRow #738 Sorry, your free limit  per week is exhausted.</t>
  </si>
  <si>
    <t>⚠️  NO_QUOTA FormRow #737 Sorry, your free limit  per week is exhausted.</t>
  </si>
  <si>
    <t>⚠️  NO_QUOTA FormRow #736 Sorry, your free limit  per week is exhausted.</t>
  </si>
  <si>
    <t>⚠️  NO_QUOTA FormRow #735 Sorry, your free limit  per week is exhausted.</t>
  </si>
  <si>
    <t>⚠️  NO_QUOTA FormRow #734 Sorry, your free limit  per week is exhausted.</t>
  </si>
  <si>
    <t>⚠️  NO_QUOTA FormRow #733 Sorry, your free limit  per week is exhausted.</t>
  </si>
  <si>
    <t>⚠️  NO_QUOTA FormRow #732 Sorry, your free limit  per week is exhausted.</t>
  </si>
  <si>
    <t>✔️  [Form Responses 1] Processed form row #731 by bpsdemak3321@gmail.com</t>
  </si>
  <si>
    <t>✔️  [Form Responses 1] Processed form row #730 by bpsdemak3321@gmail.com</t>
  </si>
  <si>
    <t>✔️  [Form Responses 1] Processed form row #729 by bpsdemak3321@gmail.com</t>
  </si>
  <si>
    <t>✔️  [Form Responses 1] Processed form row #728 by bpsdemak3321@gmail.com</t>
  </si>
  <si>
    <t>✔️  [Form Responses 1] Processed form row #727 by bpsdemak3321@gmail.com</t>
  </si>
  <si>
    <t>✔️  [Form Responses 1] Processed form row #726 by bpsdemak3321@gmail.com</t>
  </si>
  <si>
    <t>✔️  [Form Responses 1] Processed form row #725 by bpsdemak3321@gmail.com</t>
  </si>
  <si>
    <t>✔️  [Form Responses 1] Processed form row #724 by bpsdemak3321@gmail.com</t>
  </si>
  <si>
    <t>✔️  [Form Responses 1] Processed form row #723 by bpsdemak3321@gmail.com</t>
  </si>
  <si>
    <t>✔️  [Form Responses 1] Processed form row #722 by bpsdemak3321@gmail.com</t>
  </si>
  <si>
    <t>✔️  [Form Responses 1] Processed form row #721 by bpsdemak3321@gmail.com</t>
  </si>
  <si>
    <t>✔️  [Form Responses 1] Processed form row #720 by bpsdemak3321@gmail.com</t>
  </si>
  <si>
    <t>✔️  [Form Responses 1] Processed form row #719 by bpsdemak3321@gmail.com</t>
  </si>
  <si>
    <t>✔️  [Form Responses 1] Processed form row #718 by bpsdemak3321@gmail.com</t>
  </si>
  <si>
    <t>✔️  [Form Responses 1] Processed form row #717 by bpsdemak3321@gmail.com</t>
  </si>
  <si>
    <t>✔️  [Form Responses 1] Processed form row #716 by bpsdemak3321@gmail.com</t>
  </si>
  <si>
    <t>✔️  [Form Responses 1] Processed form row #715 by bpsdemak3321@gmail.com</t>
  </si>
  <si>
    <t>✔️  [Form Responses 1] Processed form row #714 by bpsdemak3321@gmail.com</t>
  </si>
  <si>
    <t>✔️  [Form Responses 1] Processed form row #713 by bpsdemak3321@gmail.com</t>
  </si>
  <si>
    <t>✔️  [Form Responses 1] Processed form row #712 by bpsdemak3321@gmail.com</t>
  </si>
  <si>
    <t>✔️  [Form Responses 1] Processed form row #711 by bpsdemak3321@gmail.com</t>
  </si>
  <si>
    <t>✔️  [Form Responses 1] Processed form row #710 by bpsdemak3321@gmail.com</t>
  </si>
  <si>
    <t>✔️  [Form Responses 1] Processed form row #709 by bpsdemak3321@gmail.com</t>
  </si>
  <si>
    <t>✔️  [Form Responses 1] Processed form row #708 by bpsdemak3321@gmail.com</t>
  </si>
  <si>
    <t>✔️  [Form Responses 1] Processed form row #707 by bpsdemak3321@gmail.com</t>
  </si>
  <si>
    <t>✔️  [Form Responses 1] Processed form row #706 by bpsdemak3321@gmail.com</t>
  </si>
  <si>
    <t>✔️  [Form Responses 1] Processed form row #705 by bpsdemak3321@gmail.com</t>
  </si>
  <si>
    <t>✔️  [Form Responses 1] Processed form row #704 by bpsdemak3321@gmail.com</t>
  </si>
  <si>
    <t>✔️  [Form Responses 1] Processed form row #703 by bpsdemak3321@gmail.com</t>
  </si>
  <si>
    <t>⚠️  NO_QUOTA FormRow #702 Sorry, your free limit  per week is exhausted.</t>
  </si>
  <si>
    <t>⚠️  NO_QUOTA FormRow #701 Sorry, your free limit  per week is exhausted.</t>
  </si>
  <si>
    <t>⚠️  NO_QUOTA FormRow #700 Sorry, your free limit  per week is exhausted.</t>
  </si>
  <si>
    <t>⚠️  NO_QUOTA FormRow #699 Sorry, your free limit  per week is exhausted.</t>
  </si>
  <si>
    <t>⚠️  NO_QUOTA FormRow #698 Sorry, your free limit  per week is exhausted.</t>
  </si>
  <si>
    <t>⚠️  NO_QUOTA FormRow #697 Sorry, your free limit  per week is exhausted.</t>
  </si>
  <si>
    <t>⚠️  NO_QUOTA FormRow #696 Sorry, your free limit  per week is exhausted.</t>
  </si>
  <si>
    <t>⚠️  NO_QUOTA FormRow #695 Sorry, your free limit  per week is exhausted.</t>
  </si>
  <si>
    <t>⚠️  NO_QUOTA FormRow #694 Sorry, your free limit  per week is exhausted.</t>
  </si>
  <si>
    <t>⚠️  NO_QUOTA FormRow #693 Sorry, your free limit  per week is exhausted.</t>
  </si>
  <si>
    <t>✔️  [Form Responses 1] Processed form row #692 by bpsdemak3321@gmail.com</t>
  </si>
  <si>
    <t>✔️  [Form Responses 1] Processed form row #691 by bpsdemak3321@gmail.com</t>
  </si>
  <si>
    <t>✔️  [Form Responses 1] Processed form row #690 by bpsdemak3321@gmail.com</t>
  </si>
  <si>
    <t>✔️  [Form Responses 1] Processed form row #689 by bpsdemak3321@gmail.com</t>
  </si>
  <si>
    <t>✔️  [Form Responses 1] Processed form row #688 by bpsdemak3321@gmail.com</t>
  </si>
  <si>
    <t>✔️  [Form Responses 1] Processed form row #687 by bpsdemak3321@gmail.com</t>
  </si>
  <si>
    <t>✔️  [Form Responses 1] Processed form row #686 by bpsdemak3321@gmail.com</t>
  </si>
  <si>
    <t>✔️  [Form Responses 1] Processed form row #685 by bpsdemak3321@gmail.com</t>
  </si>
  <si>
    <t>✔️  [Form Responses 1] Processed form row #684 by bpsdemak3321@gmail.com</t>
  </si>
  <si>
    <t>✔️  [Form Responses 1] Processed form row #683 by bpsdemak3321@gmail.com</t>
  </si>
  <si>
    <t>✔️  [Form Responses 1] Processed form row #682 by bpsdemak3321@gmail.com</t>
  </si>
  <si>
    <t>✔️  [Form Responses 1] Processed form row #681 by bpsdemak3321@gmail.com</t>
  </si>
  <si>
    <t>✔️  [Form Responses 1] Processed form row #680 by bpsdemak3321@gmail.com</t>
  </si>
  <si>
    <t>✔️  [Form Responses 1] Processed form row #679 by bpsdemak3321@gmail.com</t>
  </si>
  <si>
    <t>✔️  [Form Responses 1] Processed form row #678 by bpsdemak3321@gmail.com</t>
  </si>
  <si>
    <t>✔️  [Form Responses 1] Processed form row #677 by bpsdemak3321@gmail.com</t>
  </si>
  <si>
    <t>✔️  [Form Responses 1] Processed form row #676 by bpsdemak3321@gmail.com</t>
  </si>
  <si>
    <t>✔️  [Form Responses 1] Processed form row #675 by bpsdemak3321@gmail.com</t>
  </si>
  <si>
    <t>✔️  [Form Responses 1] Processed form row #674 by bpsdemak3321@gmail.com</t>
  </si>
  <si>
    <t>✔️  [Form Responses 1] Processed form row #673 by bpsdemak3321@gmail.com</t>
  </si>
  <si>
    <t>✔️  [Form Responses 1] Processed form row #672 by bpsdemak3321@gmail.com</t>
  </si>
  <si>
    <t>✔️  [Form Responses 1] Processed form row #671 by bpsdemak3321@gmail.com</t>
  </si>
  <si>
    <t>✔️  [Form Responses 1] Processed form row #670 by bpsdemak3321@gmail.com</t>
  </si>
  <si>
    <t>✔️  [Form Responses 1] Processed form row #669 by bpsdemak3321@gmail.com</t>
  </si>
  <si>
    <t>✔️  [Form Responses 1] Processed form row #668 by bpsdemak3321@gmail.com</t>
  </si>
  <si>
    <t>⚠️  NO_QUOTA FormRow #667 Sorry, your free limit  per week is exhausted.</t>
  </si>
  <si>
    <t>⚠️  NO_QUOTA FormRow #666 Sorry, your free limit  per week is exhausted.</t>
  </si>
  <si>
    <t>⚠️  NO_QUOTA FormRow #665 Sorry, your free limit  per week is exhausted.</t>
  </si>
  <si>
    <t>⚠️  NO_QUOTA FormRow #664 Sorry, your free limit  per week is exhausted.</t>
  </si>
  <si>
    <t>⚠️  NO_QUOTA FormRow #662 Sorry, your free limit  per week is exhausted.</t>
  </si>
  <si>
    <t>⚠️  NO_QUOTA FormRow #663 Sorry, your free limit  per week is exhausted.</t>
  </si>
  <si>
    <t>⚠️  NO_QUOTA FormRow #661 Sorry, your free limit  per week is exhausted.</t>
  </si>
  <si>
    <t>⚠️  NO_QUOTA FormRow #660 Sorry, your free limit  per week is exhausted.</t>
  </si>
  <si>
    <t>⚠️  NO_QUOTA FormRow #659 Sorry, your free limit  per week is exhausted.</t>
  </si>
  <si>
    <t>⚠️  NO_QUOTA FormRow #658 Sorry, your free limit  per week is exhausted.</t>
  </si>
  <si>
    <t>⚠️  NO_QUOTA FormRow #657 Sorry, your free limit  per week is exhausted.</t>
  </si>
  <si>
    <t>⚠️  NO_QUOTA FormRow #656 Sorry, your free limit  per week is exhausted.</t>
  </si>
  <si>
    <t>⚠️  NO_QUOTA FormRow #655 Sorry, your free limit  per week is exhausted.</t>
  </si>
  <si>
    <t>⚠️  NO_QUOTA FormRow #654 Sorry, your free limit  per week is exhausted.</t>
  </si>
  <si>
    <t>⚠️  NO_QUOTA FormRow #653 Sorry, your free limit  per week is exhausted.</t>
  </si>
  <si>
    <t>⚠️  NO_QUOTA FormRow #652 Sorry, your free limit  per week is exhausted.</t>
  </si>
  <si>
    <t>⚠️  NO_QUOTA FormRow #651 Sorry, your free limit  per week is exhausted.</t>
  </si>
  <si>
    <t>⚠️  NO_QUOTA FormRow #650 Sorry, your free limit  per week is exhausted.</t>
  </si>
  <si>
    <t>✔️  [Form Responses 1] Processed form row #648 by bpsdemak3321@gmail.com</t>
  </si>
  <si>
    <t>✔️  [Form Responses 1] Processed form row #647 by bpsdemak3321@gmail.com</t>
  </si>
  <si>
    <t>✔️  [Form Responses 1] Processed form row #646 by bpsdemak3321@gmail.com</t>
  </si>
  <si>
    <t>✔️  [Form Responses 1] Processed form row #645 by bpsdemak3321@gmail.com</t>
  </si>
  <si>
    <t>✔️  [Form Responses 1] Processed form row #644 by bpsdemak3321@gmail.com</t>
  </si>
  <si>
    <t>✔️  [Form Responses 1] Processed form row #643 by bpsdemak3321@gmail.com</t>
  </si>
  <si>
    <t>✔️  [Form Responses 1] Processed form row #642 by bpsdemak3321@gmail.com</t>
  </si>
  <si>
    <t>✔️  [Form Responses 1] Processed form row #641 by bpsdemak3321@gmail.com</t>
  </si>
  <si>
    <t>✔️  [Form Responses 1] Processed form row #640 by bpsdemak3321@gmail.com</t>
  </si>
  <si>
    <t>✔️  [Form Responses 1] Processed form row #639 by bpsdemak3321@gmail.com</t>
  </si>
  <si>
    <t>✔️  [Form Responses 1] Processed form row #638 by bpsdemak3321@gmail.com</t>
  </si>
  <si>
    <t>✔️  [Form Responses 1] Processed form row #637 by bpsdemak3321@gmail.com</t>
  </si>
  <si>
    <t>✔️  [Form Responses 1] Processed form row #636 by bpsdemak3321@gmail.com</t>
  </si>
  <si>
    <t>✔️  [Form Responses 1] Processed form row #635 by bpsdemak3321@gmail.com</t>
  </si>
  <si>
    <t>✔️  [Form Responses 1] Processed form row #634 by bpsdemak3321@gmail.com</t>
  </si>
  <si>
    <t>✔️  [Form Responses 1] Processed form row #633 by bpsdemak3321@gmail.com</t>
  </si>
  <si>
    <t>✔️  [Form Responses 1] Processed form row #632 by bpsdemak3321@gmail.com</t>
  </si>
  <si>
    <t>✔️  [Form Responses 1] Processed form row #631 by bpsdemak3321@gmail.com</t>
  </si>
  <si>
    <t>✔️  [Form Responses 1] Processed form row #630 by bpsdemak3321@gmail.com</t>
  </si>
  <si>
    <t>✔️  [Form Responses 1] Processed form row #629 by bpsdemak3321@gmail.com</t>
  </si>
  <si>
    <t>✔️  [Form Responses 1] Processed form row #628 by bpsdemak3321@gmail.com</t>
  </si>
  <si>
    <t>✔️  [Form Responses 1] Processed form row #626 by bpsdemak3321@gmail.com</t>
  </si>
  <si>
    <t>✔️  [Form Responses 1] Processed form row #627 by bpsdemak3321@gmail.com</t>
  </si>
  <si>
    <t>✔️  [Form Responses 1] Processed form row #625 by bpsdemak3321@gmail.com</t>
  </si>
  <si>
    <t>✔️  [Form Responses 1] Processed form row #624 by bpsdemak3321@gmail.com</t>
  </si>
  <si>
    <t>✔️  [Form Responses 1] Processed form row #623 by bpsdemak3321@gmail.com</t>
  </si>
  <si>
    <t>✔️  [Form Responses 1] Processed form row #622 by bpsdemak3321@gmail.com</t>
  </si>
  <si>
    <t>✔️  [Form Responses 1] Processed form row #621 by bpsdemak3321@gmail.com</t>
  </si>
  <si>
    <t>✔️  [Form Responses 1] Processed form row #620 by bpsdemak3321@gmail.com</t>
  </si>
  <si>
    <t>✔️  [Form Responses 1] Processed form row #619 by bpsdemak3321@gmail.com</t>
  </si>
  <si>
    <t>✔️  [Form Responses 1] Processed form row #618 by bpsdemak3321@gmail.com</t>
  </si>
  <si>
    <t>✔️  [Form Responses 1] Processed form row #617 by bpsdemak3321@gmail.com</t>
  </si>
  <si>
    <t>✔️  [Form Responses 1] Processed form row #616 by bpsdemak3321@gmail.com</t>
  </si>
  <si>
    <t>✔️  [Form Responses 1] Processed form row #615 by bpsdemak3321@gmail.com</t>
  </si>
  <si>
    <t>✔️  [Form Responses 1] Processed form row #614 by bpsdemak3321@gmail.com</t>
  </si>
  <si>
    <t>✔️  [Form Responses 1] Processed form row #613 by bpsdemak3321@gmail.com</t>
  </si>
  <si>
    <t>✔️  [Form Responses 1] Processed form row #612 by bpsdemak3321@gmail.com</t>
  </si>
  <si>
    <t>✔️  [Form Responses 1] Processed form row #611 by bpsdemak3321@gmail.com</t>
  </si>
  <si>
    <t>✔️  Processed 17 rows in 62 seconds</t>
  </si>
  <si>
    <t>594, 595, 596, 597, 598, 599, 600, 601, 602, 603, 604, 605, 606, 607, 608, 609, 610</t>
  </si>
  <si>
    <t>✔️  Trigger 1906130799577579481 RUN_ONSUBMIT added by bpsdemak3321@gmail.com in form</t>
  </si>
  <si>
    <t xml:space="preserve">✔️  [#lvxiskze] Task Move Files for {{Upload File Lapkin}} </t>
  </si>
  <si>
    <t>{
  "fileName": " {{NAMA PEGAWAI}}{{Bulan}} {{Tahun}}.{{File Extension}}",
  "parentFolderName": "CKP KipApp",
  "fileUploadQuestion": "{{Upload File Lapkin}}",
  "parentFolderId": "1gw0T6DyqDNhDMbl2LNMXhkunAGn89q5-",
  "subfolderPath": "/{{NAMA PEGAWAI}}"
}</t>
  </si>
  <si>
    <t xml:space="preserve">✔️  [#lvxirc71] Workflow CKP KipApp </t>
  </si>
  <si>
    <t>{
  "timeZone": "Asia/Bangkok",
  "skipHidden": true,
  "owner": "bpsdemak3321@gmail.com",
  "triggerHourly": false,
  "formId": "1IgQRtD68_ovyK-L0WEjC5bJMETH5CaKBF9k5sQbds-o",
  "ssId": "1v8CqM4fGDZjBvn8noFSMD1pL-H-1P9ruopFfnlWRx-k",
  "sheetId": "1149435039",
  "triggerFormSubmit":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</si>
</sst>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9D174D"/>
      <name val="Arial"/>
      <scheme val="minor"/>
    </font>
    <font>
      <b/>
      <sz val="9"/>
      <color rgb="FF065F46"/>
      <name val="Arial"/>
      <scheme val="minor"/>
    </font>
    <font>
      <b/>
      <sz val="9"/>
      <color rgb="FF075985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DF2F8"/>
        <bgColor rgb="FFFDF2F8"/>
      </patternFill>
    </fill>
    <fill>
      <patternFill patternType="solid">
        <fgColor rgb="FFECFDF5"/>
        <bgColor rgb="FFECFDF5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9" fillId="5" borderId="0" xfId="0" applyFont="1" applyFill="1" applyAlignment="1">
      <alignment horizontal="left" wrapText="1"/>
    </xf>
    <xf numFmtId="0" fontId="9" fillId="5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8" fillId="5" borderId="0" xfId="0" applyFont="1" applyFill="1"/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 patternType="solid">
          <fgColor rgb="FFFDF2F8"/>
          <bgColor rgb="FFFDF2F8"/>
        </patternFill>
      </fill>
    </dxf>
    <dxf>
      <font>
        <color rgb="FF34A853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open?id=1_2ewmwv_jtAoL4VNZfTh5SQCA-rg3Qzb" TargetMode="External"/><Relationship Id="rId170" Type="http://schemas.openxmlformats.org/officeDocument/2006/relationships/hyperlink" Target="https://drive.google.com/open?id=1yJ5Wj4oRTP2HkNcf8BErJWWOxFRKZAYh" TargetMode="External"/><Relationship Id="rId987" Type="http://schemas.openxmlformats.org/officeDocument/2006/relationships/hyperlink" Target="https://docs.google.com/forms/d/e/1FAIpQLSeEYwFnViiqk1AbexVe1VDR73UApmeuvfn6Yr2vN8WXjwGu2Q/viewform?edit2=2_ABaOnufM5j6F-P7yncpUtcGCNLbJNeRcTjqyVpjT9eWscmEciEpKFnXYYunUkdWpE9s0JLc&amp;source=documentstudio&amp;timestamp=1723452704327" TargetMode="External"/><Relationship Id="rId2668" Type="http://schemas.openxmlformats.org/officeDocument/2006/relationships/hyperlink" Target="https://drive.google.com/open?id=1Oi_JXW87TKF_1uhSEKD4OH1xT7xCi97t" TargetMode="External"/><Relationship Id="rId2875" Type="http://schemas.openxmlformats.org/officeDocument/2006/relationships/hyperlink" Target="https://docs.google.com/forms/d/e/1FAIpQLSeEYwFnViiqk1AbexVe1VDR73UApmeuvfn6Yr2vN8WXjwGu2Q/viewform?edit2=2_ABaOnue2JYWdwD-1i51sxiaf6t0G8Dyc5nPLISB3kX24j7NLbJARS5CFJhVJySbUvLOP3zY&amp;source=documentstudio&amp;timestamp=1769416876986" TargetMode="External"/><Relationship Id="rId847" Type="http://schemas.openxmlformats.org/officeDocument/2006/relationships/hyperlink" Target="https://docs.google.com/forms/d/e/1FAIpQLSeEYwFnViiqk1AbexVe1VDR73UApmeuvfn6Yr2vN8WXjwGu2Q/viewform?edit2=2_ABaOnuelophNth74Xetlvl9HRuhs_7AFq8CieKEDAP-pG3LH6dT6NsBNd-h-2ePZxnY_dc8&amp;source=documentstudio&amp;timestamp=1720487794188" TargetMode="External"/><Relationship Id="rId1477" Type="http://schemas.openxmlformats.org/officeDocument/2006/relationships/hyperlink" Target="https://docs.google.com/forms/d/e/1FAIpQLSeEYwFnViiqk1AbexVe1VDR73UApmeuvfn6Yr2vN8WXjwGu2Q/viewform?edit2=2_ABaOnufYUExFu3tPjLKfbFsfGRhR8HWem0bE7qPPTOhtjT_VGibs24ZdzhUoPHSUf_NHSaY&amp;source=documentstudio&amp;timestamp=1737500509410" TargetMode="External"/><Relationship Id="rId1684" Type="http://schemas.openxmlformats.org/officeDocument/2006/relationships/hyperlink" Target="https://drive.google.com/open?id=1gOejaMMMYBZoyQ1Xj_nJu60v6bGZF0Lz" TargetMode="External"/><Relationship Id="rId1891" Type="http://schemas.openxmlformats.org/officeDocument/2006/relationships/hyperlink" Target="https://drive.google.com/open?id=1pWeaUBXadS8rN5w7eVXM3sd8br56dz8n" TargetMode="External"/><Relationship Id="rId2528" Type="http://schemas.openxmlformats.org/officeDocument/2006/relationships/hyperlink" Target="https://drive.google.com/open?id=1oMzYUXxLHtwYvu1OUQWbHANJMj2teCqN" TargetMode="External"/><Relationship Id="rId2735" Type="http://schemas.openxmlformats.org/officeDocument/2006/relationships/hyperlink" Target="https://docs.google.com/forms/d/e/1FAIpQLSeEYwFnViiqk1AbexVe1VDR73UApmeuvfn6Yr2vN8WXjwGu2Q/viewform?edit2=2_ABaOnuetOX8CmLN_zogYHhTJV1WM2b3vyHHIuW4SeztvhPZho_-f5Ihul7u3SKBz-lue_e0&amp;source=documentstudio&amp;timestamp=1768803924922" TargetMode="External"/><Relationship Id="rId2942" Type="http://schemas.openxmlformats.org/officeDocument/2006/relationships/hyperlink" Target="https://docs.google.com/forms/d/e/1FAIpQLSeEYwFnViiqk1AbexVe1VDR73UApmeuvfn6Yr2vN8WXjwGu2Q/viewform?edit2=2_ABaOnufDyop6f2-x6MDuoj95QyLjGAyTCnlzaeNFd3RYLHoBhHwQckSt64JpojgEoH9UjO4&amp;source=documentstudio&amp;timestamp=1769589560652" TargetMode="External"/><Relationship Id="rId707" Type="http://schemas.openxmlformats.org/officeDocument/2006/relationships/hyperlink" Target="https://docs.google.com/forms/d/e/1FAIpQLSeEYwFnViiqk1AbexVe1VDR73UApmeuvfn6Yr2vN8WXjwGu2Q/viewform?edit2=2_ABaOnucwcXutUnJf0_alrAUmgsq_WXxXYPPE-JBmdAcwlIGmckiJ_5eOwA3_WWbyreoHY9k&amp;source=documentstudio&amp;timestamp=1717558968655" TargetMode="External"/><Relationship Id="rId914" Type="http://schemas.openxmlformats.org/officeDocument/2006/relationships/hyperlink" Target="https://drive.google.com/open?id=14EhvJNZo9CU6-lbef4bmXeeUhAkzOtIr" TargetMode="External"/><Relationship Id="rId1337" Type="http://schemas.openxmlformats.org/officeDocument/2006/relationships/hyperlink" Target="https://docs.google.com/forms/d/e/1FAIpQLSeEYwFnViiqk1AbexVe1VDR73UApmeuvfn6Yr2vN8WXjwGu2Q/viewform?edit2=2_ABaOnueoYV8TpyLf6rclbNZLMoYuP4MGglUAkZtfvOH5F73bYLQITmuSfEZBZBXsJzp3BhI&amp;source=documentstudio&amp;timestamp=1736135417243" TargetMode="External"/><Relationship Id="rId1544" Type="http://schemas.openxmlformats.org/officeDocument/2006/relationships/hyperlink" Target="https://drive.google.com/open?id=1JFBMU9Taks5j2w7OPI7C_tZ1F52insKn" TargetMode="External"/><Relationship Id="rId1751" Type="http://schemas.openxmlformats.org/officeDocument/2006/relationships/hyperlink" Target="https://drive.google.com/open?id=1dZ8lVrQNCbXCltf7iDrbIEXVbJsu2IOa" TargetMode="External"/><Relationship Id="rId2802" Type="http://schemas.openxmlformats.org/officeDocument/2006/relationships/hyperlink" Target="https://drive.google.com/open?id=1psjaH4eE-Qc_GpvNwMO2MI8RW_fOehVm" TargetMode="External"/><Relationship Id="rId43" Type="http://schemas.openxmlformats.org/officeDocument/2006/relationships/hyperlink" Target="https://drive.google.com/open?id=1N62xUriWsAvGNgmmGFu6usm4IYikJOvE" TargetMode="External"/><Relationship Id="rId1404" Type="http://schemas.openxmlformats.org/officeDocument/2006/relationships/hyperlink" Target="https://drive.google.com/open?id=12pxr94ivMBPbpn0xR1hv5MIvd2uorMiq" TargetMode="External"/><Relationship Id="rId1611" Type="http://schemas.openxmlformats.org/officeDocument/2006/relationships/hyperlink" Target="https://docs.google.com/forms/d/e/1FAIpQLSeEYwFnViiqk1AbexVe1VDR73UApmeuvfn6Yr2vN8WXjwGu2Q/viewform?edit2=2_ABaOnuc4JjrmyoL_URDOeESzA34klnU5mQE5c8fghlMKdcwYsEk8GZSvb4HHMjjA4IKBW0E&amp;source=documentstudio&amp;timestamp=1739329679258" TargetMode="External"/><Relationship Id="rId497" Type="http://schemas.openxmlformats.org/officeDocument/2006/relationships/hyperlink" Target="https://drive.google.com/open?id=1USzJbV4hebViC8XChJcaN1q-1awo7tp3" TargetMode="External"/><Relationship Id="rId2178" Type="http://schemas.openxmlformats.org/officeDocument/2006/relationships/hyperlink" Target="https://drive.google.com/open?id=1T0D6yp3P-FtDxEpVFn_H9yyrOgwBQCgt" TargetMode="External"/><Relationship Id="rId2385" Type="http://schemas.openxmlformats.org/officeDocument/2006/relationships/hyperlink" Target="https://docs.google.com/forms/d/e/1FAIpQLSeEYwFnViiqk1AbexVe1VDR73UApmeuvfn6Yr2vN8WXjwGu2Q/viewform?edit2=2_ABaOnufODNQolpwgA1bp9IV1mcXazlWsBejSXJIsg72sgk6xg7gl3IMfuI2ezWEARuJwp5o&amp;source=documentstudio&amp;timestamp=1768437678930" TargetMode="External"/><Relationship Id="rId357" Type="http://schemas.openxmlformats.org/officeDocument/2006/relationships/hyperlink" Target="https://drive.google.com/open?id=1Iz4yomgUgLhaVNCBShipvTPxwmq31IMg" TargetMode="External"/><Relationship Id="rId1194" Type="http://schemas.openxmlformats.org/officeDocument/2006/relationships/hyperlink" Target="https://drive.google.com/open?id=1kG3Ym2BBi6j2PgZOya8HVIXZOK5zLeeL" TargetMode="External"/><Relationship Id="rId2038" Type="http://schemas.openxmlformats.org/officeDocument/2006/relationships/hyperlink" Target="https://drive.google.com/open?id=1QhJhPOxtmc51ICHrdEJ2BQ0FaQmtU9xo" TargetMode="External"/><Relationship Id="rId2592" Type="http://schemas.openxmlformats.org/officeDocument/2006/relationships/hyperlink" Target="https://drive.google.com/open?id=19bFSkRm98fZBw9KJxz5giUbw5ESZ_7Lc" TargetMode="External"/><Relationship Id="rId217" Type="http://schemas.openxmlformats.org/officeDocument/2006/relationships/hyperlink" Target="https://drive.google.com/open?id=12wTRydd9B81RRkkvpiEbAt3dl45GFqnH" TargetMode="External"/><Relationship Id="rId564" Type="http://schemas.openxmlformats.org/officeDocument/2006/relationships/hyperlink" Target="https://drive.google.com/open?id=13Qm4HvUwu6_45I8LswFp2T8U2GN16fMW" TargetMode="External"/><Relationship Id="rId771" Type="http://schemas.openxmlformats.org/officeDocument/2006/relationships/hyperlink" Target="https://docs.google.com/forms/d/e/1FAIpQLSeEYwFnViiqk1AbexVe1VDR73UApmeuvfn6Yr2vN8WXjwGu2Q/viewform?edit2=2_ABaOnuceX7_Y7cSY1biWzJ6ymk3UqAZLlxeJjRZYcPA7457xECH9stuRuMj2bd4V23tlQds&amp;source=documentstudio&amp;timestamp=1718176569560" TargetMode="External"/><Relationship Id="rId2245" Type="http://schemas.openxmlformats.org/officeDocument/2006/relationships/hyperlink" Target="https://docs.google.com/forms/d/e/1FAIpQLSeEYwFnViiqk1AbexVe1VDR73UApmeuvfn6Yr2vN8WXjwGu2Q/viewform?edit2=2_ABaOnueLKFMbripTghdHM0HVbKiHH9j-2OMliOmOku0o1OHGnFfmLzyhrhRejmspyNic2UE&amp;source=documentstudio&amp;timestamp=1756456641801" TargetMode="External"/><Relationship Id="rId2452" Type="http://schemas.openxmlformats.org/officeDocument/2006/relationships/hyperlink" Target="https://drive.google.com/open?id=1UzDVRXVG2536eO0e-t3v_8yPO1sdAjwi" TargetMode="External"/><Relationship Id="rId424" Type="http://schemas.openxmlformats.org/officeDocument/2006/relationships/hyperlink" Target="https://drive.google.com/open?id=1BYqP0jmu6yrRiSeehlw-jasOd7t9JgbK" TargetMode="External"/><Relationship Id="rId631" Type="http://schemas.openxmlformats.org/officeDocument/2006/relationships/hyperlink" Target="https://docs.google.com/forms/d/e/1FAIpQLSeEYwFnViiqk1AbexVe1VDR73UApmeuvfn6Yr2vN8WXjwGu2Q/viewform?edit2=2_ABaOnueTfygorPpI6twd8LiXwI-7Y1AxKWIVBjqduoHxltpdrYTCD19wo12Kotc_fljbBEA&amp;source=documentstudio&amp;timestamp=1716864920237" TargetMode="External"/><Relationship Id="rId1054" Type="http://schemas.openxmlformats.org/officeDocument/2006/relationships/hyperlink" Target="https://drive.google.com/open?id=1lYm7SxedkEA7B9vZDwytQ3JVoWcS2UKj" TargetMode="External"/><Relationship Id="rId1261" Type="http://schemas.openxmlformats.org/officeDocument/2006/relationships/hyperlink" Target="https://docs.google.com/forms/d/e/1FAIpQLSeEYwFnViiqk1AbexVe1VDR73UApmeuvfn6Yr2vN8WXjwGu2Q/viewform?edit2=2_ABaOnuefIaJ4rN3kogly1NVjviwMFwgtdUkoYoabXN0fHopZM14GCgqwss_GXO-Vn1sVYEM&amp;source=documentstudio&amp;timestamp=1733446143507" TargetMode="External"/><Relationship Id="rId2105" Type="http://schemas.openxmlformats.org/officeDocument/2006/relationships/hyperlink" Target="https://docs.google.com/forms/d/e/1FAIpQLSeEYwFnViiqk1AbexVe1VDR73UApmeuvfn6Yr2vN8WXjwGu2Q/viewform?edit2=2_ABaOnufRXJjKdZZzZjgiGBAiN7FosurkEGEpgxKwJlUf_r90KO3eh4iDwjTzy_f8x7xyc8I&amp;source=documentstudio&amp;timestamp=1748917295011" TargetMode="External"/><Relationship Id="rId2312" Type="http://schemas.openxmlformats.org/officeDocument/2006/relationships/hyperlink" Target="https://drive.google.com/open?id=1vOIlt7XYSUx9EMBs-heiL5JBSm1HK4ZV" TargetMode="External"/><Relationship Id="rId1121" Type="http://schemas.openxmlformats.org/officeDocument/2006/relationships/hyperlink" Target="https://docs.google.com/forms/d/e/1FAIpQLSeEYwFnViiqk1AbexVe1VDR73UApmeuvfn6Yr2vN8WXjwGu2Q/viewform?edit2=2_ABaOnue4YUc3poQC6p4NqYV2AUZ9mpFYqJN3K1vur9nbXc-UWcWqXyUvAsoX8MWg60-5R1U&amp;source=documentstudio&amp;timestamp=1727846101875" TargetMode="External"/><Relationship Id="rId1938" Type="http://schemas.openxmlformats.org/officeDocument/2006/relationships/hyperlink" Target="https://docs.google.com/forms/d/e/1FAIpQLSeEYwFnViiqk1AbexVe1VDR73UApmeuvfn6Yr2vN8WXjwGu2Q/viewform?edit2=2_ABaOnuePFRHbYtDjjqMlFyC9_vhRlZRL-M2RI8a8q8sKHYS8YXnIPKI-D9fwAPr0VxInf5w&amp;source=documentstudio&amp;timestamp=1745807499657" TargetMode="External"/><Relationship Id="rId281" Type="http://schemas.openxmlformats.org/officeDocument/2006/relationships/hyperlink" Target="https://drive.google.com/open?id=1MjGSKXKie3m4llu7kJWjVqQZJ8NtCki6" TargetMode="External"/><Relationship Id="rId141" Type="http://schemas.openxmlformats.org/officeDocument/2006/relationships/hyperlink" Target="https://drive.google.com/open?id=1g3EkLpSgZudaRqC5kGW--Ym8-iZ-z5N4" TargetMode="External"/><Relationship Id="rId7" Type="http://schemas.openxmlformats.org/officeDocument/2006/relationships/hyperlink" Target="https://drive.google.com/open?id=14QjYM5H_0bIZbScESIpU5zPr9X0_AZrp" TargetMode="External"/><Relationship Id="rId2779" Type="http://schemas.openxmlformats.org/officeDocument/2006/relationships/hyperlink" Target="https://docs.google.com/forms/d/e/1FAIpQLSeEYwFnViiqk1AbexVe1VDR73UApmeuvfn6Yr2vN8WXjwGu2Q/viewform?edit2=2_ABaOnudLlj_LPBUKDZ8wR0gE3VfYM-Al75HbwOa_62RxHon5OQYhaEDr4tG5CFQO0tqi4gk&amp;source=documentstudio&amp;timestamp=1768960523012" TargetMode="External"/><Relationship Id="rId958" Type="http://schemas.openxmlformats.org/officeDocument/2006/relationships/hyperlink" Target="https://drive.google.com/open?id=1qCvPndtjpRkLPo64EhmZy47Zh1EadVpj" TargetMode="External"/><Relationship Id="rId1588" Type="http://schemas.openxmlformats.org/officeDocument/2006/relationships/hyperlink" Target="https://drive.google.com/open?id=1Und2E0k_GX-6_8Y32IGXAoqItQ-u2hH-" TargetMode="External"/><Relationship Id="rId1795" Type="http://schemas.openxmlformats.org/officeDocument/2006/relationships/hyperlink" Target="https://drive.google.com/open?id=1BQm3La1FQpdVxQ_IUOYJ8wJfSrZWqfzS" TargetMode="External"/><Relationship Id="rId2639" Type="http://schemas.openxmlformats.org/officeDocument/2006/relationships/hyperlink" Target="https://docs.google.com/forms/d/e/1FAIpQLSeEYwFnViiqk1AbexVe1VDR73UApmeuvfn6Yr2vN8WXjwGu2Q/viewform?edit2=2_ABaOnucKYY4TuuJlT_KNFtcw4jRuNXuQ50jQbbmykS-G3949WZ097CCK93x0ugtbsU9nW0k&amp;source=documentstudio&amp;timestamp=1768787850521" TargetMode="External"/><Relationship Id="rId2846" Type="http://schemas.openxmlformats.org/officeDocument/2006/relationships/hyperlink" Target="https://drive.google.com/open?id=1XahBEBwzIp_tKyeIoO6gTEfB9knHek1h" TargetMode="External"/><Relationship Id="rId87" Type="http://schemas.openxmlformats.org/officeDocument/2006/relationships/hyperlink" Target="https://drive.google.com/open?id=1cXB8ozWcoC5PZylQf0-O8wIzEEY29bsv" TargetMode="External"/><Relationship Id="rId818" Type="http://schemas.openxmlformats.org/officeDocument/2006/relationships/hyperlink" Target="https://drive.google.com/open?id=1CLlbF5MIFu-7ZcmG892u3WD4yeR8CAUu" TargetMode="External"/><Relationship Id="rId1448" Type="http://schemas.openxmlformats.org/officeDocument/2006/relationships/hyperlink" Target="https://drive.google.com/open?id=1h_EGDYw2A5f1YbcpLd_m6nNb6UhPGOk3" TargetMode="External"/><Relationship Id="rId1655" Type="http://schemas.openxmlformats.org/officeDocument/2006/relationships/hyperlink" Target="https://docs.google.com/forms/d/e/1FAIpQLSeEYwFnViiqk1AbexVe1VDR73UApmeuvfn6Yr2vN8WXjwGu2Q/viewform?edit2=2_ABaOnueXiSAqfuAL78PNIeWrUOAUevwoqglFmUPliBL_0ZSt0VrpbEh3gURaBvJZy26AndU&amp;source=documentstudio&amp;timestamp=1741333648001" TargetMode="External"/><Relationship Id="rId2706" Type="http://schemas.openxmlformats.org/officeDocument/2006/relationships/hyperlink" Target="https://drive.google.com/open?id=1yQE-O7VzS1QBlvx01kEdUtSjzFo-D0_D" TargetMode="External"/><Relationship Id="rId1308" Type="http://schemas.openxmlformats.org/officeDocument/2006/relationships/hyperlink" Target="https://drive.google.com/open?id=1InbDHMyX7rO3USlTOQ7I-SMujPtVINVS" TargetMode="External"/><Relationship Id="rId1862" Type="http://schemas.openxmlformats.org/officeDocument/2006/relationships/hyperlink" Target="https://docs.google.com/forms/d/e/1FAIpQLSeEYwFnViiqk1AbexVe1VDR73UApmeuvfn6Yr2vN8WXjwGu2Q/viewform?edit2=2_ABaOnudR4Zo3DH8htkHcn_ox5E1DF_8Ln_lr2T0P2ayjny9DzZRJDbS3iRG3vV0PX9Omg_s&amp;source=documentstudio&amp;timestamp=1742183407722" TargetMode="External"/><Relationship Id="rId2913" Type="http://schemas.openxmlformats.org/officeDocument/2006/relationships/hyperlink" Target="https://drive.google.com/open?id=1ZKP9xAWFNJJ2Et8Cw9b2V0tHKvAXJn_P" TargetMode="External"/><Relationship Id="rId1515" Type="http://schemas.openxmlformats.org/officeDocument/2006/relationships/hyperlink" Target="https://docs.google.com/forms/d/e/1FAIpQLSeEYwFnViiqk1AbexVe1VDR73UApmeuvfn6Yr2vN8WXjwGu2Q/viewform?edit2=2_ABaOnud7lcMVThSRO_5AXAkF2rDuz0Izkkcpwysay76VSX_ppXHFAsUJGrHEazVt0vtek7c&amp;source=documentstudio&amp;timestamp=1739327743653" TargetMode="External"/><Relationship Id="rId1722" Type="http://schemas.openxmlformats.org/officeDocument/2006/relationships/hyperlink" Target="https://drive.google.com/open?id=1Av5pG7vZ5R-SUJ1_9aN-SbPhia6ujxo0" TargetMode="External"/><Relationship Id="rId14" Type="http://schemas.openxmlformats.org/officeDocument/2006/relationships/hyperlink" Target="https://drive.google.com/open?id=1TvUf8_2_SGn9NgeDNGR7lilY8oojVcQ8" TargetMode="External"/><Relationship Id="rId2289" Type="http://schemas.openxmlformats.org/officeDocument/2006/relationships/hyperlink" Target="https://docs.google.com/forms/d/e/1FAIpQLSeEYwFnViiqk1AbexVe1VDR73UApmeuvfn6Yr2vN8WXjwGu2Q/viewform?edit2=2_ABaOnucnQr61Mky0xrfBjWe4dRIToOp0W4DCpkHHB1hJlAhFEJiffydqI3ODTJHagUKQVXM&amp;source=documentstudio&amp;timestamp=1757666090599" TargetMode="External"/><Relationship Id="rId2496" Type="http://schemas.openxmlformats.org/officeDocument/2006/relationships/hyperlink" Target="https://drive.google.com/open?id=1bR_M75ROLZzIfRAD2HMeggE4kFMiAQN0" TargetMode="External"/><Relationship Id="rId468" Type="http://schemas.openxmlformats.org/officeDocument/2006/relationships/hyperlink" Target="https://drive.google.com/open?id=1p7QatSI7gDP1cvbw5TUjwTCsOzKY5G-r" TargetMode="External"/><Relationship Id="rId675" Type="http://schemas.openxmlformats.org/officeDocument/2006/relationships/hyperlink" Target="https://docs.google.com/forms/d/e/1FAIpQLSeEYwFnViiqk1AbexVe1VDR73UApmeuvfn6Yr2vN8WXjwGu2Q/viewform?edit2=2_ABaOnud4Z8dtigNPKr9k80Xt8znkzwWDsYSn_Fitbnrd9yxZOP9VRrjPn_bdAWnDopIBeTk&amp;source=documentstudio&amp;timestamp=1717389830939" TargetMode="External"/><Relationship Id="rId882" Type="http://schemas.openxmlformats.org/officeDocument/2006/relationships/hyperlink" Target="https://drive.google.com/open?id=1g19OaoyZ4pyyuB-9Uo2AwqcYj64banfs" TargetMode="External"/><Relationship Id="rId1098" Type="http://schemas.openxmlformats.org/officeDocument/2006/relationships/hyperlink" Target="https://drive.google.com/open?id=16wBpfqucM2ECqjs7vhl50BFsILzvlkIr" TargetMode="External"/><Relationship Id="rId2149" Type="http://schemas.openxmlformats.org/officeDocument/2006/relationships/hyperlink" Target="https://docs.google.com/forms/d/e/1FAIpQLSeEYwFnViiqk1AbexVe1VDR73UApmeuvfn6Yr2vN8WXjwGu2Q/viewform?edit2=2_ABaOnudTCM0h4H7tfQrlA_ArAy8w03BpG31GOywmoYdZBNiP9K05hY7E0TIt22VOaj2yLbA&amp;source=documentstudio&amp;timestamp=1749519172178" TargetMode="External"/><Relationship Id="rId2356" Type="http://schemas.openxmlformats.org/officeDocument/2006/relationships/hyperlink" Target="https://drive.google.com/open?id=11fxDPOELdYhiz-DdrhetvRCFeWmtk-hu" TargetMode="External"/><Relationship Id="rId2563" Type="http://schemas.openxmlformats.org/officeDocument/2006/relationships/hyperlink" Target="https://docs.google.com/forms/d/e/1FAIpQLSeEYwFnViiqk1AbexVe1VDR73UApmeuvfn6Yr2vN8WXjwGu2Q/viewform?edit2=2_ABaOnuc1Y9mtTAUf0AEVpacuraH07mAUnw-QhWEr_ZdWZETrL09Nlygc8nKXlsbTDm8YvYI&amp;source=documentstudio&amp;timestamp=1768461402309" TargetMode="External"/><Relationship Id="rId2770" Type="http://schemas.openxmlformats.org/officeDocument/2006/relationships/hyperlink" Target="https://drive.google.com/open?id=1nYAvBiaye2VPQFrZAiufFJdcoiF-SOMt" TargetMode="External"/><Relationship Id="rId328" Type="http://schemas.openxmlformats.org/officeDocument/2006/relationships/hyperlink" Target="https://drive.google.com/open?id=1q4vi7YTMa_orIoEoqg4udQp-6XVRIbXt" TargetMode="External"/><Relationship Id="rId535" Type="http://schemas.openxmlformats.org/officeDocument/2006/relationships/hyperlink" Target="https://drive.google.com/open?id=17T90ypNan-Cto-I3ZWMtLQcxBPT7eYau" TargetMode="External"/><Relationship Id="rId742" Type="http://schemas.openxmlformats.org/officeDocument/2006/relationships/hyperlink" Target="https://drive.google.com/open?id=1mboy7eiGZ5qFN57BrumORla4QQDtPM1U" TargetMode="External"/><Relationship Id="rId1165" Type="http://schemas.openxmlformats.org/officeDocument/2006/relationships/hyperlink" Target="https://docs.google.com/forms/d/e/1FAIpQLSeEYwFnViiqk1AbexVe1VDR73UApmeuvfn6Yr2vN8WXjwGu2Q/viewform?edit2=2_ABaOnuc_hbucRrnDaM6CVKoQKuLkwvGm4_Xo0wNeuE5vDc62bdgXn4cDRQ7FdgHdvmO5v2s&amp;source=documentstudio&amp;timestamp=1728265854393" TargetMode="External"/><Relationship Id="rId1372" Type="http://schemas.openxmlformats.org/officeDocument/2006/relationships/hyperlink" Target="https://drive.google.com/open?id=1dxx_J1mFmyX0DKUCMbzyztwDDFul7kQP" TargetMode="External"/><Relationship Id="rId2009" Type="http://schemas.openxmlformats.org/officeDocument/2006/relationships/hyperlink" Target="https://docs.google.com/forms/d/e/1FAIpQLSeEYwFnViiqk1AbexVe1VDR73UApmeuvfn6Yr2vN8WXjwGu2Q/viewform?edit2=2_ABaOnueR_lk-AXvEtl4o2AQklnl5oLzTV2fSqSvTFBBX8vzimBmtb2xjzDo9Y37D7QIzXGU&amp;source=documentstudio&amp;timestamp=1748831381553" TargetMode="External"/><Relationship Id="rId2216" Type="http://schemas.openxmlformats.org/officeDocument/2006/relationships/hyperlink" Target="https://drive.google.com/open?id=1S9rynib7InT3-ffrQSkMB1He3jyS4XQ3" TargetMode="External"/><Relationship Id="rId2423" Type="http://schemas.openxmlformats.org/officeDocument/2006/relationships/hyperlink" Target="https://docs.google.com/forms/d/e/1FAIpQLSeEYwFnViiqk1AbexVe1VDR73UApmeuvfn6Yr2vN8WXjwGu2Q/viewform?edit2=2_ABaOnufvmazpfcxWBwlv7b9Ja4ZjfShebAk2ix3FOVTPO6Xb0difmoEpNVpTnf3-kPfzaCg&amp;source=documentstudio&amp;timestamp=1768439612447" TargetMode="External"/><Relationship Id="rId2630" Type="http://schemas.openxmlformats.org/officeDocument/2006/relationships/hyperlink" Target="https://drive.google.com/open?id=1mi_R88WSSK2EusgPESB4VMLPnEj8XDKX" TargetMode="External"/><Relationship Id="rId602" Type="http://schemas.openxmlformats.org/officeDocument/2006/relationships/hyperlink" Target="https://drive.google.com/open?id=1EEbBOm1H6pv0BIyvJeVWJYq2dmkru_Qb" TargetMode="External"/><Relationship Id="rId1025" Type="http://schemas.openxmlformats.org/officeDocument/2006/relationships/hyperlink" Target="https://docs.google.com/forms/d/e/1FAIpQLSeEYwFnViiqk1AbexVe1VDR73UApmeuvfn6Yr2vN8WXjwGu2Q/viewform?edit2=2_ABaOnufmJQmBDeO9EfC-HdqvIPz4s3fqi5NPMprIvijxjwEsiIUACOAF87S82Jw_novrxxw&amp;source=documentstudio&amp;timestamp=1723684968363" TargetMode="External"/><Relationship Id="rId1232" Type="http://schemas.openxmlformats.org/officeDocument/2006/relationships/hyperlink" Target="https://drive.google.com/open?id=1o2i_52t8HymWX547PQf8YAkFWZ-LTqcr" TargetMode="External"/><Relationship Id="rId185" Type="http://schemas.openxmlformats.org/officeDocument/2006/relationships/hyperlink" Target="https://drive.google.com/open?id=1JPjBZx_eD6dI-qTJaCE9Rii789Qn-eEh" TargetMode="External"/><Relationship Id="rId1909" Type="http://schemas.openxmlformats.org/officeDocument/2006/relationships/hyperlink" Target="https://drive.google.com/open?id=1O4Pye0JlSdLnWfMbEAPSHLl9LGrMtKTH" TargetMode="External"/><Relationship Id="rId392" Type="http://schemas.openxmlformats.org/officeDocument/2006/relationships/hyperlink" Target="https://drive.google.com/open?id=1CQVSfe9M0o23G_gpzfej4OG2Al_ui13E" TargetMode="External"/><Relationship Id="rId2073" Type="http://schemas.openxmlformats.org/officeDocument/2006/relationships/hyperlink" Target="https://docs.google.com/forms/d/e/1FAIpQLSeEYwFnViiqk1AbexVe1VDR73UApmeuvfn6Yr2vN8WXjwGu2Q/viewform?edit2=2_ABaOnucfTSWbfI2JU3ocnxLT3275ZWG_-XB5Mow1qH7W_aK_njh6HubyeB7jl4mWU5gxOtw&amp;source=documentstudio&amp;timestamp=1748846275334" TargetMode="External"/><Relationship Id="rId2280" Type="http://schemas.openxmlformats.org/officeDocument/2006/relationships/hyperlink" Target="https://drive.google.com/open?id=1R9yk-2Fo5bC12VLgBbQnWcCfLFVuiQJx" TargetMode="External"/><Relationship Id="rId252" Type="http://schemas.openxmlformats.org/officeDocument/2006/relationships/hyperlink" Target="https://drive.google.com/open?id=1U_nrjGHkMNStng-vkwJKkQW7askc_WsR" TargetMode="External"/><Relationship Id="rId2140" Type="http://schemas.openxmlformats.org/officeDocument/2006/relationships/hyperlink" Target="https://drive.google.com/open?id=1r7uu8YoMfAVbdKK3B-J6z9e18KQtVzuY" TargetMode="External"/><Relationship Id="rId112" Type="http://schemas.openxmlformats.org/officeDocument/2006/relationships/hyperlink" Target="https://drive.google.com/open?id=1RM1lE-0hj8MlxtGtt-zJW_T9caO13Tua" TargetMode="External"/><Relationship Id="rId1699" Type="http://schemas.openxmlformats.org/officeDocument/2006/relationships/hyperlink" Target="https://drive.google.com/open?id=1Dj7FIVF8O3TWv286ao5JZ2nIaj3h2mSm" TargetMode="External"/><Relationship Id="rId2000" Type="http://schemas.openxmlformats.org/officeDocument/2006/relationships/hyperlink" Target="https://drive.google.com/open?id=1bXUIzba9JabejzGTrD8fANIOn_lMrwmL" TargetMode="External"/><Relationship Id="rId2957" Type="http://schemas.openxmlformats.org/officeDocument/2006/relationships/hyperlink" Target="https://drive.google.com/open?id=1Di1F3P9DxMcPb0FvCOyP5jzYZLL5rCh6" TargetMode="External"/><Relationship Id="rId929" Type="http://schemas.openxmlformats.org/officeDocument/2006/relationships/hyperlink" Target="https://docs.google.com/forms/d/e/1FAIpQLSeEYwFnViiqk1AbexVe1VDR73UApmeuvfn6Yr2vN8WXjwGu2Q/viewform?edit2=2_ABaOnue0Ag8HobwGh3qWCDOvQrxh4Ln9PqxEMUdJxjBVokV-JFTfOegfz840zdeTMWfa7FA&amp;source=documentstudio&amp;timestamp=1721620373352" TargetMode="External"/><Relationship Id="rId1559" Type="http://schemas.openxmlformats.org/officeDocument/2006/relationships/hyperlink" Target="https://docs.google.com/forms/d/e/1FAIpQLSeEYwFnViiqk1AbexVe1VDR73UApmeuvfn6Yr2vN8WXjwGu2Q/viewform?edit2=2_ABaOnuf2JzE5ZzMrO314uiYXrJODI9pN0ULaoBu1SrPCOt9uyyQUAfFNfkxlDO8SeRm1bBU&amp;source=documentstudio&amp;timestamp=1739328927931" TargetMode="External"/><Relationship Id="rId1766" Type="http://schemas.openxmlformats.org/officeDocument/2006/relationships/hyperlink" Target="https://docs.google.com/forms/d/e/1FAIpQLSeEYwFnViiqk1AbexVe1VDR73UApmeuvfn6Yr2vN8WXjwGu2Q/viewform?edit2=2_ABaOnuew42yvSFl-kdzuewx_P2PM29DYE8nc54axGOrN-qnUydrE7WlfqTqPp1SoAS5UuAk&amp;source=documentstudio&amp;timestamp=1741573662614" TargetMode="External"/><Relationship Id="rId1973" Type="http://schemas.openxmlformats.org/officeDocument/2006/relationships/hyperlink" Target="https://docs.google.com/forms/d/e/1FAIpQLSeEYwFnViiqk1AbexVe1VDR73UApmeuvfn6Yr2vN8WXjwGu2Q/viewform?edit2=2_ABaOnudcwndrtj_BhnGcKX_U_yQj4fL1vlqBj69oNppHukTk0brI5D196fJ0Llx1UKe0-yY&amp;source=documentstudio&amp;timestamp=1747882922186" TargetMode="External"/><Relationship Id="rId2817" Type="http://schemas.openxmlformats.org/officeDocument/2006/relationships/hyperlink" Target="https://docs.google.com/forms/d/e/1FAIpQLSeEYwFnViiqk1AbexVe1VDR73UApmeuvfn6Yr2vN8WXjwGu2Q/viewform?edit2=2_ABaOnueblj7wb830qR6mo038VKj1q_dQtuO1crwl_dtTV2Zj4SFbsetBq4u0PM-jtXq0KCw&amp;source=documentstudio&amp;timestamp=1769394239663" TargetMode="External"/><Relationship Id="rId58" Type="http://schemas.openxmlformats.org/officeDocument/2006/relationships/hyperlink" Target="https://drive.google.com/open?id=1N747ev0yos3BS0J7xUpbBaEUoHdcrvLo" TargetMode="External"/><Relationship Id="rId1419" Type="http://schemas.openxmlformats.org/officeDocument/2006/relationships/hyperlink" Target="https://docs.google.com/forms/d/e/1FAIpQLSeEYwFnViiqk1AbexVe1VDR73UApmeuvfn6Yr2vN8WXjwGu2Q/viewform?edit2=2_ABaOnudArQTpJyVeO7WFL1cmVjrb5EF7qDBgXsuYGN49ZjeWESaiLa8FBgL-o3-tN98wUIk&amp;source=documentstudio&amp;timestamp=1737446294747" TargetMode="External"/><Relationship Id="rId1626" Type="http://schemas.openxmlformats.org/officeDocument/2006/relationships/hyperlink" Target="https://drive.google.com/open?id=15jwwx3Z3GMFl4gEvWrPs3Gmka04wbHXz" TargetMode="External"/><Relationship Id="rId1833" Type="http://schemas.openxmlformats.org/officeDocument/2006/relationships/hyperlink" Target="https://drive.google.com/open?id=1erK9GNUninfqPgDpqL_DbjflmNd9vTUV" TargetMode="External"/><Relationship Id="rId1900" Type="http://schemas.openxmlformats.org/officeDocument/2006/relationships/hyperlink" Target="https://docs.google.com/forms/d/e/1FAIpQLSeEYwFnViiqk1AbexVe1VDR73UApmeuvfn6Yr2vN8WXjwGu2Q/viewform?edit2=2_ABaOnudTVqU_RvphTJLavhgivPopiF0S6qLiaIbR3t3OzAebefcHxxtcvGxJqWkmP0VaGSw&amp;source=documentstudio&amp;timestamp=1745310082832" TargetMode="External"/><Relationship Id="rId579" Type="http://schemas.openxmlformats.org/officeDocument/2006/relationships/hyperlink" Target="https://drive.google.com/open?id=1HiaTVHpVjiG3StQsNBAkTpYXkpbmmzNE" TargetMode="External"/><Relationship Id="rId786" Type="http://schemas.openxmlformats.org/officeDocument/2006/relationships/hyperlink" Target="https://drive.google.com/open?id=1hrB_glmrbMaZOTH00CWBdXPyFn_D3VY0" TargetMode="External"/><Relationship Id="rId993" Type="http://schemas.openxmlformats.org/officeDocument/2006/relationships/hyperlink" Target="https://docs.google.com/forms/d/e/1FAIpQLSeEYwFnViiqk1AbexVe1VDR73UApmeuvfn6Yr2vN8WXjwGu2Q/viewform?edit2=2_ABaOnueefQSxCQRV-O6lCuYMDl4MDZtPgwyk-bJgbv8rO0wnObSQBkG3f2OgkxmanRs5Bdo&amp;source=documentstudio&amp;timestamp=1723508690518" TargetMode="External"/><Relationship Id="rId2467" Type="http://schemas.openxmlformats.org/officeDocument/2006/relationships/hyperlink" Target="https://docs.google.com/forms/d/e/1FAIpQLSeEYwFnViiqk1AbexVe1VDR73UApmeuvfn6Yr2vN8WXjwGu2Q/viewform?edit2=2_ABaOnucFKsNk75U_ztlXwY4Pxrjy6BtbLwjKknIL_FgyP5UXF5WEys8Ku49mhbG0BtDGeRc&amp;source=documentstudio&amp;timestamp=1768442618941" TargetMode="External"/><Relationship Id="rId2674" Type="http://schemas.openxmlformats.org/officeDocument/2006/relationships/hyperlink" Target="https://drive.google.com/open?id=1IBKxRYuKKnWiTa1MLLeUR09OEqDa1_mz" TargetMode="External"/><Relationship Id="rId439" Type="http://schemas.openxmlformats.org/officeDocument/2006/relationships/hyperlink" Target="https://drive.google.com/open?id=16T7CEKkTdZUHyRhrSlpDbjXL8TQT_DF5" TargetMode="External"/><Relationship Id="rId646" Type="http://schemas.openxmlformats.org/officeDocument/2006/relationships/hyperlink" Target="https://drive.google.com/open?id=1a4CUdgLLo3lf9AqaDAYyx_cUV4jpiK6F" TargetMode="External"/><Relationship Id="rId1069" Type="http://schemas.openxmlformats.org/officeDocument/2006/relationships/hyperlink" Target="https://docs.google.com/forms/d/e/1FAIpQLSeEYwFnViiqk1AbexVe1VDR73UApmeuvfn6Yr2vN8WXjwGu2Q/viewform?edit2=2_ABaOnufsC07tBtFHsmSJbtVtNADOwCfQgzVmlTWMpZnvjTbABN0awpXamGMmwDJ7k3r7bL8&amp;source=documentstudio&amp;timestamp=1725852319836" TargetMode="External"/><Relationship Id="rId1276" Type="http://schemas.openxmlformats.org/officeDocument/2006/relationships/hyperlink" Target="https://drive.google.com/open?id=1zxOxtutdpoFnv4EajQdb3BuuzZ_eIX3U" TargetMode="External"/><Relationship Id="rId1483" Type="http://schemas.openxmlformats.org/officeDocument/2006/relationships/hyperlink" Target="https://docs.google.com/forms/d/e/1FAIpQLSeEYwFnViiqk1AbexVe1VDR73UApmeuvfn6Yr2vN8WXjwGu2Q/viewform?edit2=2_ABaOnudihk5SX0YJxupyzwep3gY4WbM2Y3svNh-jE48XANi6kYE-ta2P1c4-CXu4MA4QesA&amp;source=documentstudio&amp;timestamp=1737509338635" TargetMode="External"/><Relationship Id="rId2327" Type="http://schemas.openxmlformats.org/officeDocument/2006/relationships/hyperlink" Target="https://docs.google.com/forms/d/e/1FAIpQLSeEYwFnViiqk1AbexVe1VDR73UApmeuvfn6Yr2vN8WXjwGu2Q/viewform?edit2=2_ABaOnue2Hb_CcoOl4lcfYVvrcMPKnvyTuQhrjzo2pIi8x2Je3LEF4yG3pAV2EdbBiq-_0Uk&amp;source=documentstudio&amp;timestamp=1762136673171" TargetMode="External"/><Relationship Id="rId2881" Type="http://schemas.openxmlformats.org/officeDocument/2006/relationships/hyperlink" Target="https://drive.google.com/open?id=15qpELBhlboebcLg6buDlAUZOyU_qfKFP" TargetMode="External"/><Relationship Id="rId506" Type="http://schemas.openxmlformats.org/officeDocument/2006/relationships/hyperlink" Target="https://drive.google.com/open?id=13r2N8dBcXW-U8zUL2mjKCc6mbJKE4zu7" TargetMode="External"/><Relationship Id="rId853" Type="http://schemas.openxmlformats.org/officeDocument/2006/relationships/hyperlink" Target="https://docs.google.com/forms/d/e/1FAIpQLSeEYwFnViiqk1AbexVe1VDR73UApmeuvfn6Yr2vN8WXjwGu2Q/viewform?edit2=2_ABaOnueFL7xhJdAj0DyiNMXP15pgieIjzZXkCm0P4VZQm6H_vTJh3BJAS84Kbvqsi63DB_U&amp;source=documentstudio&amp;timestamp=1720487973296" TargetMode="External"/><Relationship Id="rId1136" Type="http://schemas.openxmlformats.org/officeDocument/2006/relationships/hyperlink" Target="https://drive.google.com/open?id=1-vuX4BzU-8G1aCvxPNE7xaGV_iznYJye" TargetMode="External"/><Relationship Id="rId1690" Type="http://schemas.openxmlformats.org/officeDocument/2006/relationships/hyperlink" Target="https://docs.google.com/forms/d/e/1FAIpQLSeEYwFnViiqk1AbexVe1VDR73UApmeuvfn6Yr2vN8WXjwGu2Q/viewform?edit2=2_ABaOnuexDeZocM7_P5jjSwqtdLEIHkyhbqEPYYgKg9Ij4YZjV4KdjgGIKdw5Q66Oo7MKBUQ&amp;source=documentstudio&amp;timestamp=1741334760350" TargetMode="External"/><Relationship Id="rId2534" Type="http://schemas.openxmlformats.org/officeDocument/2006/relationships/hyperlink" Target="https://drive.google.com/open?id=1MTxXNEuHc2nAi85M8F4q3kiyCFMsf2uh" TargetMode="External"/><Relationship Id="rId2741" Type="http://schemas.openxmlformats.org/officeDocument/2006/relationships/hyperlink" Target="https://docs.google.com/forms/d/e/1FAIpQLSeEYwFnViiqk1AbexVe1VDR73UApmeuvfn6Yr2vN8WXjwGu2Q/viewform?edit2=2_ABaOnuetjajGwj97eHN2IcowzXIyugpssS34Pj_QzTq3_1Uk2qK6aj2i2ZLvAIAf83WDAoE&amp;source=documentstudio&amp;timestamp=1768813831548" TargetMode="External"/><Relationship Id="rId713" Type="http://schemas.openxmlformats.org/officeDocument/2006/relationships/hyperlink" Target="https://docs.google.com/forms/d/e/1FAIpQLSeEYwFnViiqk1AbexVe1VDR73UApmeuvfn6Yr2vN8WXjwGu2Q/viewform?edit2=2_ABaOnud8mV6nQb3y8gyj_s6-rRyzTVNXy4n0ZVP4plRiWvvnctPvdaac0dG01kYJv1Lsjnc&amp;source=documentstudio&amp;timestamp=1717559667546" TargetMode="External"/><Relationship Id="rId920" Type="http://schemas.openxmlformats.org/officeDocument/2006/relationships/hyperlink" Target="https://drive.google.com/open?id=16ePfijsBgkSRzygMFswX6ZcAvmOjVMCF" TargetMode="External"/><Relationship Id="rId1343" Type="http://schemas.openxmlformats.org/officeDocument/2006/relationships/hyperlink" Target="https://docs.google.com/forms/d/e/1FAIpQLSeEYwFnViiqk1AbexVe1VDR73UApmeuvfn6Yr2vN8WXjwGu2Q/viewform?edit2=2_ABaOnudCsV1RosDqed2SAkJQCsjUCeEE8Rh2RQvnZkc3EyXz9sTN2B3A0cwcZ_CcUO1mnfw&amp;source=documentstudio&amp;timestamp=1736136297089" TargetMode="External"/><Relationship Id="rId1550" Type="http://schemas.openxmlformats.org/officeDocument/2006/relationships/hyperlink" Target="https://drive.google.com/open?id=1Xj7XlMtL-rx2OlG4XBkMK_1EkgHW3edq" TargetMode="External"/><Relationship Id="rId2601" Type="http://schemas.openxmlformats.org/officeDocument/2006/relationships/hyperlink" Target="https://docs.google.com/forms/d/e/1FAIpQLSeEYwFnViiqk1AbexVe1VDR73UApmeuvfn6Yr2vN8WXjwGu2Q/viewform?edit2=2_ABaOnuen7xB7TAHYy2l503m4XHRCdZ5rs0tG7njhcig6zBjNhsdgEYZwHQ7fiSiCz5TihMk&amp;source=documentstudio&amp;timestamp=1768464460496" TargetMode="External"/><Relationship Id="rId1203" Type="http://schemas.openxmlformats.org/officeDocument/2006/relationships/hyperlink" Target="https://docs.google.com/forms/d/e/1FAIpQLSeEYwFnViiqk1AbexVe1VDR73UApmeuvfn6Yr2vN8WXjwGu2Q/viewform?edit2=2_ABaOnudKc0Z6thuzE5YJ2G7zLDKba0SCqiPsxfGosqvQtZb4ewBod7_dJsz0EEs7nb3__TQ&amp;source=documentstudio&amp;timestamp=1730950759056" TargetMode="External"/><Relationship Id="rId1410" Type="http://schemas.openxmlformats.org/officeDocument/2006/relationships/hyperlink" Target="https://drive.google.com/open?id=1FTHpm3KCTrfMZ2RqWtdNMSK4-uv9GYlW" TargetMode="External"/><Relationship Id="rId296" Type="http://schemas.openxmlformats.org/officeDocument/2006/relationships/hyperlink" Target="https://drive.google.com/open?id=1P66G-lqH30LP5vmm2o2Qdr7nSuEqUjwY" TargetMode="External"/><Relationship Id="rId2184" Type="http://schemas.openxmlformats.org/officeDocument/2006/relationships/hyperlink" Target="https://drive.google.com/open?id=1ZmpQ3f1mSfaQjoSQlAKQCinQF51NEWJl" TargetMode="External"/><Relationship Id="rId2391" Type="http://schemas.openxmlformats.org/officeDocument/2006/relationships/hyperlink" Target="https://docs.google.com/forms/d/e/1FAIpQLSeEYwFnViiqk1AbexVe1VDR73UApmeuvfn6Yr2vN8WXjwGu2Q/viewform?edit2=2_ABaOnudE3mdc45ApthJ_XTuJQV7MGJItKoB7NDEjYFLJVJW-R67RMVW90KxuceVRp9sdxQw&amp;source=documentstudio&amp;timestamp=1768437775415" TargetMode="External"/><Relationship Id="rId156" Type="http://schemas.openxmlformats.org/officeDocument/2006/relationships/hyperlink" Target="https://drive.google.com/open?id=1qLMi9zdd9vNC4Nk2YVc0KynXKO1bxMVN" TargetMode="External"/><Relationship Id="rId363" Type="http://schemas.openxmlformats.org/officeDocument/2006/relationships/hyperlink" Target="https://drive.google.com/open?id=1brTyWIUWTzYDa6OP9b-p2cMbjB0V3eQ5" TargetMode="External"/><Relationship Id="rId570" Type="http://schemas.openxmlformats.org/officeDocument/2006/relationships/hyperlink" Target="https://drive.google.com/open?id=1DZSMi_vJMQupq37_fgBNYdN3rAIYKQfG" TargetMode="External"/><Relationship Id="rId2044" Type="http://schemas.openxmlformats.org/officeDocument/2006/relationships/hyperlink" Target="https://drive.google.com/open?id=1XPx03H0BfmHRXeRMHgp36q_2a7oLvkgf" TargetMode="External"/><Relationship Id="rId2251" Type="http://schemas.openxmlformats.org/officeDocument/2006/relationships/hyperlink" Target="https://docs.google.com/forms/d/e/1FAIpQLSeEYwFnViiqk1AbexVe1VDR73UApmeuvfn6Yr2vN8WXjwGu2Q/viewform?edit2=2_ABaOnufZLhK6OjecGztD2ayMRwO91TzbAgqm9BxA40fk_fk54Sce3F6WsME5yMftliWlj1U&amp;source=documentstudio&amp;timestamp=1756951452150" TargetMode="External"/><Relationship Id="rId223" Type="http://schemas.openxmlformats.org/officeDocument/2006/relationships/hyperlink" Target="https://drive.google.com/open?id=1nRgRUcV1LKe7sMpYcht8hVdwM6nbh3Pj" TargetMode="External"/><Relationship Id="rId430" Type="http://schemas.openxmlformats.org/officeDocument/2006/relationships/hyperlink" Target="https://drive.google.com/open?id=1nnT-c22Cl7UQau7xTCxF-CzUcm_JuCqp" TargetMode="External"/><Relationship Id="rId1060" Type="http://schemas.openxmlformats.org/officeDocument/2006/relationships/hyperlink" Target="https://drive.google.com/open?id=1Jg5IwbLJH0gG3wRi-T4w51p0_UM9MX9n" TargetMode="External"/><Relationship Id="rId2111" Type="http://schemas.openxmlformats.org/officeDocument/2006/relationships/hyperlink" Target="https://docs.google.com/forms/d/e/1FAIpQLSeEYwFnViiqk1AbexVe1VDR73UApmeuvfn6Yr2vN8WXjwGu2Q/viewform?edit2=2_ABaOnuc6PiY16_HQ4Pm8HUyGWL2KJSXvwfe7ylBZJbxZ8CJWZ6EbPQ_lrQlRxxYwZ8WHwts&amp;source=documentstudio&amp;timestamp=1748917613592" TargetMode="External"/><Relationship Id="rId1877" Type="http://schemas.openxmlformats.org/officeDocument/2006/relationships/hyperlink" Target="https://drive.google.com/open?id=1aD89Kal7Bs1buxy6dqfGJ-N3JoMf0yj0" TargetMode="External"/><Relationship Id="rId2928" Type="http://schemas.openxmlformats.org/officeDocument/2006/relationships/hyperlink" Target="https://docs.google.com/forms/d/e/1FAIpQLSeEYwFnViiqk1AbexVe1VDR73UApmeuvfn6Yr2vN8WXjwGu2Q/viewform?edit2=2_ABaOnudQHeqlUVE5thIBUe2A4Upfem-SXl37f17js2deGyD2O1vObMRRk9OiQgxSWF5wx5g&amp;source=documentstudio&amp;timestamp=1769588182570" TargetMode="External"/><Relationship Id="rId1737" Type="http://schemas.openxmlformats.org/officeDocument/2006/relationships/hyperlink" Target="https://docs.google.com/forms/d/e/1FAIpQLSeEYwFnViiqk1AbexVe1VDR73UApmeuvfn6Yr2vN8WXjwGu2Q/viewform?edit2=2_ABaOnudrHJAltzcLxBBMCY_-eZBMF_EETr6b6ZMFCcRClD_lmvXQhLdltxoAj05xaINGxLk&amp;source=documentstudio&amp;timestamp=1741418048772" TargetMode="External"/><Relationship Id="rId1944" Type="http://schemas.openxmlformats.org/officeDocument/2006/relationships/hyperlink" Target="https://docs.google.com/forms/d/e/1FAIpQLSeEYwFnViiqk1AbexVe1VDR73UApmeuvfn6Yr2vN8WXjwGu2Q/viewform?edit2=2_ABaOnue1JAJR0Gq0NBjqJb65bTHgvRI-i1z6T0Ka3aiE7flygXlQXh1DtHRjTNb6B-bye3E&amp;source=documentstudio&amp;timestamp=1746428710159" TargetMode="External"/><Relationship Id="rId29" Type="http://schemas.openxmlformats.org/officeDocument/2006/relationships/hyperlink" Target="https://drive.google.com/open?id=1dTr9Sx27EAw4W_HQIr4BYecoltszoUpN" TargetMode="External"/><Relationship Id="rId1804" Type="http://schemas.openxmlformats.org/officeDocument/2006/relationships/hyperlink" Target="https://docs.google.com/forms/d/e/1FAIpQLSeEYwFnViiqk1AbexVe1VDR73UApmeuvfn6Yr2vN8WXjwGu2Q/viewform?edit2=2_ABaOnudCZWamQt38710QldH5gFnvPUcBp7IyqsSeQoh-8OQnZAP_hfsBysZui0jieVsXe9M&amp;source=documentstudio&amp;timestamp=1741747459010" TargetMode="External"/><Relationship Id="rId897" Type="http://schemas.openxmlformats.org/officeDocument/2006/relationships/hyperlink" Target="https://docs.google.com/forms/d/e/1FAIpQLSeEYwFnViiqk1AbexVe1VDR73UApmeuvfn6Yr2vN8WXjwGu2Q/viewform?edit2=2_ABaOnufercI-eix_oNKDMvcZjIuaYP1__lP12O8-XGZrS_Chzuv_jn7YOGVczjyKxFqx67s&amp;source=documentstudio&amp;timestamp=1720571438390" TargetMode="External"/><Relationship Id="rId2578" Type="http://schemas.openxmlformats.org/officeDocument/2006/relationships/hyperlink" Target="https://drive.google.com/open?id=1RoFxR8DvQ0nQNUkH6jYkV2DdcWh0xbWk" TargetMode="External"/><Relationship Id="rId2785" Type="http://schemas.openxmlformats.org/officeDocument/2006/relationships/hyperlink" Target="https://docs.google.com/forms/d/e/1FAIpQLSeEYwFnViiqk1AbexVe1VDR73UApmeuvfn6Yr2vN8WXjwGu2Q/viewform?edit2=2_ABaOnucvpalci9W6GWh9Mn4WneGGp3tFrKm0B-PXzE75AuuulOC1rU85DfDyFTFl1QMs_tE&amp;source=documentstudio&amp;timestamp=1768960600866" TargetMode="External"/><Relationship Id="rId757" Type="http://schemas.openxmlformats.org/officeDocument/2006/relationships/hyperlink" Target="https://docs.google.com/forms/d/e/1FAIpQLSeEYwFnViiqk1AbexVe1VDR73UApmeuvfn6Yr2vN8WXjwGu2Q/viewform?edit2=2_ABaOnuc8SYTqw6-8lCEnKW0uoE26RwgBe_lQFw0cJUJSAbGPNbbLszT_itjoS-gUdaasZdY&amp;source=documentstudio&amp;timestamp=1718176245586" TargetMode="External"/><Relationship Id="rId964" Type="http://schemas.openxmlformats.org/officeDocument/2006/relationships/hyperlink" Target="https://drive.google.com/open?id=1dNPQzWHb1u7OzQikiSCTZ9FD7nzc89Tb" TargetMode="External"/><Relationship Id="rId1387" Type="http://schemas.openxmlformats.org/officeDocument/2006/relationships/hyperlink" Target="https://docs.google.com/forms/d/e/1FAIpQLSeEYwFnViiqk1AbexVe1VDR73UApmeuvfn6Yr2vN8WXjwGu2Q/viewform?edit2=2_ABaOnud7mq0SqZUnAf5OKmLycwoIglOyDG_C75SIRawalgRRfv6Kw1GktXP-0NusnTZTvU0&amp;source=documentstudio&amp;timestamp=1736474710866" TargetMode="External"/><Relationship Id="rId1594" Type="http://schemas.openxmlformats.org/officeDocument/2006/relationships/hyperlink" Target="https://drive.google.com/open?id=1CJpvyuUUPL7LELpbjpBJiL9PHmSgFzSM" TargetMode="External"/><Relationship Id="rId2438" Type="http://schemas.openxmlformats.org/officeDocument/2006/relationships/hyperlink" Target="https://drive.google.com/open?id=1IhNrWo3g9lnzdTWX4E8tcz7cDgVC58MF" TargetMode="External"/><Relationship Id="rId2645" Type="http://schemas.openxmlformats.org/officeDocument/2006/relationships/hyperlink" Target="https://docs.google.com/forms/d/e/1FAIpQLSeEYwFnViiqk1AbexVe1VDR73UApmeuvfn6Yr2vN8WXjwGu2Q/viewform?edit2=2_ABaOnuf2hEqEcBDPUIK7OMG4rfLSWSqfk7bYCFQ7lI4kpsot0l3luAbhvCL9HzFQ7Sxpbvc&amp;source=documentstudio&amp;timestamp=1768787881512" TargetMode="External"/><Relationship Id="rId2852" Type="http://schemas.openxmlformats.org/officeDocument/2006/relationships/hyperlink" Target="https://drive.google.com/open?id=1lsKeM033qQPRdSXEPmSHgYXPgKl78-Pr" TargetMode="External"/><Relationship Id="rId93" Type="http://schemas.openxmlformats.org/officeDocument/2006/relationships/hyperlink" Target="https://drive.google.com/open?id=1vPf6cmo2n3XwYI0HH_ezdLTjTDR3TQoY" TargetMode="External"/><Relationship Id="rId617" Type="http://schemas.openxmlformats.org/officeDocument/2006/relationships/hyperlink" Target="https://docs.google.com/forms/d/e/1FAIpQLSeEYwFnViiqk1AbexVe1VDR73UApmeuvfn6Yr2vN8WXjwGu2Q/viewform?edit2=2_ABaOnufFuUljUfVMlDA9uICkOb6JqE5YnPiYWbkLxOcYIe_ysYIZGwP034XD6_0POHhPzD4&amp;source=documentstudio&amp;timestamp=1715652473302" TargetMode="External"/><Relationship Id="rId824" Type="http://schemas.openxmlformats.org/officeDocument/2006/relationships/hyperlink" Target="https://drive.google.com/open?id=1_FIyswOJ8moM_VMVcEYSvQN17rV906QI" TargetMode="External"/><Relationship Id="rId1247" Type="http://schemas.openxmlformats.org/officeDocument/2006/relationships/hyperlink" Target="https://docs.google.com/forms/d/e/1FAIpQLSeEYwFnViiqk1AbexVe1VDR73UApmeuvfn6Yr2vN8WXjwGu2Q/viewform?edit2=2_ABaOnuf3rCO9Ns9WR23L3jpSP3NAR8w545Vt3xQmmto-dEha1qzBAGqRfAHISNyLP8Ro-jQ&amp;source=documentstudio&amp;timestamp=1733359118990" TargetMode="External"/><Relationship Id="rId1454" Type="http://schemas.openxmlformats.org/officeDocument/2006/relationships/hyperlink" Target="https://drive.google.com/open?id=1zlKaBRV4B8DGYpJzA9gLex8TFMQW8Rvl" TargetMode="External"/><Relationship Id="rId1661" Type="http://schemas.openxmlformats.org/officeDocument/2006/relationships/hyperlink" Target="https://docs.google.com/forms/d/e/1FAIpQLSeEYwFnViiqk1AbexVe1VDR73UApmeuvfn6Yr2vN8WXjwGu2Q/viewform?edit2=2_ABaOnuewHPDp2hm3v5mFgD9u9OGP_y5JoMfNZMl-9ZKz_aPc0aSJZxpx2Rqha-x52Jblpt0&amp;source=documentstudio&amp;timestamp=1741333887273" TargetMode="External"/><Relationship Id="rId2505" Type="http://schemas.openxmlformats.org/officeDocument/2006/relationships/hyperlink" Target="https://docs.google.com/forms/d/e/1FAIpQLSeEYwFnViiqk1AbexVe1VDR73UApmeuvfn6Yr2vN8WXjwGu2Q/viewform?edit2=2_ABaOnueN8zAyO3BxMPBIYO4bLrPxqq-3d7PZv_AJcGxQ8NznvCKysUYHfH9w-h1PvLMyDcM&amp;source=documentstudio&amp;timestamp=1768443518980" TargetMode="External"/><Relationship Id="rId2712" Type="http://schemas.openxmlformats.org/officeDocument/2006/relationships/hyperlink" Target="https://drive.google.com/open?id=1gZS32EDGKLs4Ee9eT04f1pohfikaU1dS" TargetMode="External"/><Relationship Id="rId1107" Type="http://schemas.openxmlformats.org/officeDocument/2006/relationships/hyperlink" Target="https://docs.google.com/forms/d/e/1FAIpQLSeEYwFnViiqk1AbexVe1VDR73UApmeuvfn6Yr2vN8WXjwGu2Q/viewform?edit2=2_ABaOnueB5KAcsU-Qmvae_5e38m_GPZEAyoEJyYWUOfHo8bU6awGwSazPInO8TY489wPXE3M&amp;source=documentstudio&amp;timestamp=1726621639964" TargetMode="External"/><Relationship Id="rId1314" Type="http://schemas.openxmlformats.org/officeDocument/2006/relationships/hyperlink" Target="https://drive.google.com/open?id=1lY_kdLtpVWCRjxyOvUl84wqrKc-Lyjm7" TargetMode="External"/><Relationship Id="rId1521" Type="http://schemas.openxmlformats.org/officeDocument/2006/relationships/hyperlink" Target="https://docs.google.com/forms/d/e/1FAIpQLSeEYwFnViiqk1AbexVe1VDR73UApmeuvfn6Yr2vN8WXjwGu2Q/viewform?edit2=2_ABaOnud-SiFi8o7eyLn55rsAMwW0HCucB2o5fuWWKn1U2zXFdnAZOTQ6PuBmhpKrwj5bREY&amp;source=documentstudio&amp;timestamp=1739327977094" TargetMode="External"/><Relationship Id="rId20" Type="http://schemas.openxmlformats.org/officeDocument/2006/relationships/hyperlink" Target="https://drive.google.com/open?id=1pBBsmxFrSZ6h42cTb7uNls1Ncedby_RI" TargetMode="External"/><Relationship Id="rId2088" Type="http://schemas.openxmlformats.org/officeDocument/2006/relationships/hyperlink" Target="https://drive.google.com/open?id=1CmuPTvwwv0lOv2W0btdLp0m6PX_3nJPz" TargetMode="External"/><Relationship Id="rId2295" Type="http://schemas.openxmlformats.org/officeDocument/2006/relationships/hyperlink" Target="https://docs.google.com/forms/d/e/1FAIpQLSeEYwFnViiqk1AbexVe1VDR73UApmeuvfn6Yr2vN8WXjwGu2Q/viewform?edit2=2_ABaOnufgJz2ARs6JXwAwRZ6R1khZa-Vij9PKv-s0DqDttbRmzZ53NSwNl3erHIDQj3O57kU&amp;source=documentstudio&amp;timestamp=1759809423447" TargetMode="External"/><Relationship Id="rId267" Type="http://schemas.openxmlformats.org/officeDocument/2006/relationships/hyperlink" Target="https://drive.google.com/open?id=1ifEbg-2f9hn7pEn5s_onjbcGtOC2C2U_" TargetMode="External"/><Relationship Id="rId474" Type="http://schemas.openxmlformats.org/officeDocument/2006/relationships/hyperlink" Target="https://drive.google.com/open?id=1SpTtTkcbfH2CDGgPAfOaUko03jG4FQa8" TargetMode="External"/><Relationship Id="rId2155" Type="http://schemas.openxmlformats.org/officeDocument/2006/relationships/hyperlink" Target="https://docs.google.com/forms/d/e/1FAIpQLSeEYwFnViiqk1AbexVe1VDR73UApmeuvfn6Yr2vN8WXjwGu2Q/viewform?edit2=2_ABaOnudEJaLSXrBPIhShpLa-BCCMX9tgRJdKe7npd0jY000zm-GyWs4ys32zdEuvXZanhaY&amp;source=documentstudio&amp;timestamp=1749528866570" TargetMode="External"/><Relationship Id="rId127" Type="http://schemas.openxmlformats.org/officeDocument/2006/relationships/hyperlink" Target="https://drive.google.com/open?id=1P1ACfUX92bYOZb9Z0fiKf-zNg--dDTRh" TargetMode="External"/><Relationship Id="rId681" Type="http://schemas.openxmlformats.org/officeDocument/2006/relationships/hyperlink" Target="https://docs.google.com/forms/d/e/1FAIpQLSeEYwFnViiqk1AbexVe1VDR73UApmeuvfn6Yr2vN8WXjwGu2Q/viewform?edit2=2_ABaOnue5KC_kLFH-PaYIv2--SWD43nPvoRvEFk2alN1r96lcbeapsrdK8dIunLl_-hwba2c&amp;source=documentstudio&amp;timestamp=1717394866305" TargetMode="External"/><Relationship Id="rId2362" Type="http://schemas.openxmlformats.org/officeDocument/2006/relationships/hyperlink" Target="https://drive.google.com/open?id=100dC1zMEHITcpP50w0OzrK9-b7ftYL7w" TargetMode="External"/><Relationship Id="rId334" Type="http://schemas.openxmlformats.org/officeDocument/2006/relationships/hyperlink" Target="https://drive.google.com/open?id=1m00iQVGbB1-SStQDMzPjc7L54wyCq15D" TargetMode="External"/><Relationship Id="rId541" Type="http://schemas.openxmlformats.org/officeDocument/2006/relationships/hyperlink" Target="https://drive.google.com/open?id=1Ms0hdKnO99mF4-MxpA10ec9w_pBgZ8lG" TargetMode="External"/><Relationship Id="rId1171" Type="http://schemas.openxmlformats.org/officeDocument/2006/relationships/hyperlink" Target="https://docs.google.com/forms/d/e/1FAIpQLSeEYwFnViiqk1AbexVe1VDR73UApmeuvfn6Yr2vN8WXjwGu2Q/viewform?edit2=2_ABaOnucJpqGDbgyP4zZI6Mwpyx4dG5le5x9isSp0deCCRfpXKwqirYk3qcTk3101jGjlBqk&amp;source=documentstudio&amp;timestamp=1728373736262" TargetMode="External"/><Relationship Id="rId2015" Type="http://schemas.openxmlformats.org/officeDocument/2006/relationships/hyperlink" Target="https://docs.google.com/forms/d/e/1FAIpQLSeEYwFnViiqk1AbexVe1VDR73UApmeuvfn6Yr2vN8WXjwGu2Q/viewform?edit2=2_ABaOnudZqnir46AuvCWaPpExYhZmphnPFAlTVlMDFs3v-5fCx4MbTQNsR1i_MzmW0lqH-mo&amp;source=documentstudio&amp;timestamp=1748831486715" TargetMode="External"/><Relationship Id="rId2222" Type="http://schemas.openxmlformats.org/officeDocument/2006/relationships/hyperlink" Target="https://drive.google.com/open?id=1LcYA38gXuASs9Db2Y1EnTVU_m9hNJqQL" TargetMode="External"/><Relationship Id="rId401" Type="http://schemas.openxmlformats.org/officeDocument/2006/relationships/hyperlink" Target="https://drive.google.com/open?id=17L8pCXsa-pABsS_1kgJmKvblFZBISGeC" TargetMode="External"/><Relationship Id="rId1031" Type="http://schemas.openxmlformats.org/officeDocument/2006/relationships/hyperlink" Target="https://docs.google.com/forms/d/e/1FAIpQLSeEYwFnViiqk1AbexVe1VDR73UApmeuvfn6Yr2vN8WXjwGu2Q/viewform?edit2=2_ABaOnue3XVkZE9dlZcQkgWjSZjt55Xpp-NFaUXgPy1XyRZPjqXgzbOq3UX_KlmT0WEw_RDU&amp;source=documentstudio&amp;timestamp=1723768875441" TargetMode="External"/><Relationship Id="rId1988" Type="http://schemas.openxmlformats.org/officeDocument/2006/relationships/hyperlink" Target="https://drive.google.com/open?id=1zVZo3R6yO5HkUAjbCg0OS-HH75jxMrQ_" TargetMode="External"/><Relationship Id="rId1848" Type="http://schemas.openxmlformats.org/officeDocument/2006/relationships/hyperlink" Target="https://docs.google.com/forms/d/e/1FAIpQLSeEYwFnViiqk1AbexVe1VDR73UApmeuvfn6Yr2vN8WXjwGu2Q/viewform?edit2=2_ABaOnueBywkD9yDooYZTOQT1h7yMORGhlRWxiJqRbRiNO2HqsapBObcfDG97IiAJ9WNFNbM&amp;source=documentstudio&amp;timestamp=1742176873460" TargetMode="External"/><Relationship Id="rId191" Type="http://schemas.openxmlformats.org/officeDocument/2006/relationships/hyperlink" Target="https://drive.google.com/open?id=1dd1Yv_HdLbMYgiSv0wIZ0dL9py1xLJrK" TargetMode="External"/><Relationship Id="rId1708" Type="http://schemas.openxmlformats.org/officeDocument/2006/relationships/hyperlink" Target="https://drive.google.com/open?id=1raPdO9dUxYdcbxj7qkKuESSSYLcb5-4K" TargetMode="External"/><Relationship Id="rId1915" Type="http://schemas.openxmlformats.org/officeDocument/2006/relationships/hyperlink" Target="https://drive.google.com/open?id=1p2y7TWpmyuexWynTjwRsWNfoqH4dTT6p" TargetMode="External"/><Relationship Id="rId2689" Type="http://schemas.openxmlformats.org/officeDocument/2006/relationships/hyperlink" Target="https://docs.google.com/forms/d/e/1FAIpQLSeEYwFnViiqk1AbexVe1VDR73UApmeuvfn6Yr2vN8WXjwGu2Q/viewform?edit2=2_ABaOnufl12Q_KYsHBwWOw1p94T8WWbU2SK7_0ssjAtYR8VxIrMocBFUjUK6hfbEA_f0yB1E&amp;source=documentstudio&amp;timestamp=1768793144723" TargetMode="External"/><Relationship Id="rId2896" Type="http://schemas.openxmlformats.org/officeDocument/2006/relationships/hyperlink" Target="https://docs.google.com/forms/d/e/1FAIpQLSeEYwFnViiqk1AbexVe1VDR73UApmeuvfn6Yr2vN8WXjwGu2Q/viewform?edit2=2_ABaOnueQP41mUOhlOLm86Nbp6Z5ObFizhDQm8Otsouy8ErIUsTH4QvD4ct_8HHlzCuJiW9g&amp;source=documentstudio&amp;timestamp=1769486449782" TargetMode="External"/><Relationship Id="rId868" Type="http://schemas.openxmlformats.org/officeDocument/2006/relationships/hyperlink" Target="https://drive.google.com/open?id=1fB9qiSOEFb_1qKrN3sxTRFdbBJqv6oEm" TargetMode="External"/><Relationship Id="rId1498" Type="http://schemas.openxmlformats.org/officeDocument/2006/relationships/hyperlink" Target="https://drive.google.com/open?id=18OkwcUz2RybHH0Oe0R8yT78xtzQSN5K_" TargetMode="External"/><Relationship Id="rId2549" Type="http://schemas.openxmlformats.org/officeDocument/2006/relationships/hyperlink" Target="https://docs.google.com/forms/d/e/1FAIpQLSeEYwFnViiqk1AbexVe1VDR73UApmeuvfn6Yr2vN8WXjwGu2Q/viewform?edit2=2_ABaOnueBfv4X64Q8yT0kRNREBn1_DtRZL2sGvHyGBgVRJykclm1zAOl9yGfplgEDryakAQw&amp;source=documentstudio&amp;timestamp=1768460431403" TargetMode="External"/><Relationship Id="rId2756" Type="http://schemas.openxmlformats.org/officeDocument/2006/relationships/hyperlink" Target="https://drive.google.com/open?id=1L7vr4ASrpVCRD0AP61YdO4Nei6H2YGDd" TargetMode="External"/><Relationship Id="rId2963" Type="http://schemas.openxmlformats.org/officeDocument/2006/relationships/hyperlink" Target="https://drive.google.com/open?id=1ELILTorrQh7J259BC1UNVCK2Eu_zSv3n" TargetMode="External"/><Relationship Id="rId728" Type="http://schemas.openxmlformats.org/officeDocument/2006/relationships/hyperlink" Target="https://drive.google.com/open?id=1eP3L3M6g16rkrGuxWxboL0xEa4M-LhUq" TargetMode="External"/><Relationship Id="rId935" Type="http://schemas.openxmlformats.org/officeDocument/2006/relationships/hyperlink" Target="https://docs.google.com/forms/d/e/1FAIpQLSeEYwFnViiqk1AbexVe1VDR73UApmeuvfn6Yr2vN8WXjwGu2Q/viewform?edit2=2_ABaOnucgvApB0dW4FVKRR4t8grTKQZfDFftcecIlwOGJXDI-lAyYpkcc7mpVzVx4Xv3gkrM&amp;source=documentstudio&amp;timestamp=1721620658652" TargetMode="External"/><Relationship Id="rId1358" Type="http://schemas.openxmlformats.org/officeDocument/2006/relationships/hyperlink" Target="https://drive.google.com/open?id=1epyqOtjA0PHFN9mxqLzfpiWPRjZY4al7" TargetMode="External"/><Relationship Id="rId1565" Type="http://schemas.openxmlformats.org/officeDocument/2006/relationships/hyperlink" Target="https://docs.google.com/forms/d/e/1FAIpQLSeEYwFnViiqk1AbexVe1VDR73UApmeuvfn6Yr2vN8WXjwGu2Q/viewform?edit2=2_ABaOnuc0Ye9lGFilx0Npu3QoQAI5T2gTOQ9oigVbLDdzGEYg8swBrcDbLob_9SP2iJX_GnY&amp;source=documentstudio&amp;timestamp=1739328974016" TargetMode="External"/><Relationship Id="rId1772" Type="http://schemas.openxmlformats.org/officeDocument/2006/relationships/hyperlink" Target="https://docs.google.com/forms/d/e/1FAIpQLSeEYwFnViiqk1AbexVe1VDR73UApmeuvfn6Yr2vN8WXjwGu2Q/viewform?edit2=2_ABaOnueIpB-kET34_oy_36OFmE7i8G_EB17Sy7JjZhG2GxlFQYTR_KP3AI2Ps97uH0DiMpQ&amp;source=documentstudio&amp;timestamp=1741573748107" TargetMode="External"/><Relationship Id="rId2409" Type="http://schemas.openxmlformats.org/officeDocument/2006/relationships/hyperlink" Target="https://docs.google.com/forms/d/e/1FAIpQLSeEYwFnViiqk1AbexVe1VDR73UApmeuvfn6Yr2vN8WXjwGu2Q/viewform?edit2=2_ABaOnufVDDgjBTV7OwaZQHwvBuu0rSPkXxpNA5U1r2FXAzib9ZlNjDekQjkFtmbsT1x_d3Q&amp;source=documentstudio&amp;timestamp=1768439376387" TargetMode="External"/><Relationship Id="rId2616" Type="http://schemas.openxmlformats.org/officeDocument/2006/relationships/hyperlink" Target="https://drive.google.com/open?id=151CF1xABkgl6uJc5ehveNCyLBWvIcvPG" TargetMode="External"/><Relationship Id="rId64" Type="http://schemas.openxmlformats.org/officeDocument/2006/relationships/hyperlink" Target="https://drive.google.com/open?id=1rruF7cDYkAZh9u250gVSYl7_paTsHp-s" TargetMode="External"/><Relationship Id="rId1218" Type="http://schemas.openxmlformats.org/officeDocument/2006/relationships/hyperlink" Target="https://drive.google.com/open?id=1QpaMBI8O-yLJtpHiRGZimVvIUCS7W6on" TargetMode="External"/><Relationship Id="rId1425" Type="http://schemas.openxmlformats.org/officeDocument/2006/relationships/hyperlink" Target="https://docs.google.com/forms/d/e/1FAIpQLSeEYwFnViiqk1AbexVe1VDR73UApmeuvfn6Yr2vN8WXjwGu2Q/viewform?edit2=2_ABaOnudcB3z5AV4DlYgvjdypBYF5TW9SImjbjPGbw9rzZ4ltqETDnmTFuFI_o2J5SwYa5-g&amp;source=documentstudio&amp;timestamp=1737446480279" TargetMode="External"/><Relationship Id="rId2823" Type="http://schemas.openxmlformats.org/officeDocument/2006/relationships/hyperlink" Target="https://docs.google.com/forms/d/e/1FAIpQLSeEYwFnViiqk1AbexVe1VDR73UApmeuvfn6Yr2vN8WXjwGu2Q/viewform?edit2=2_ABaOnuc2C5RwmpC3bFlKmdnOfBSSNbOifo7lPnBddG-_vzmkY-bZlDXoF4FsKYRBThcn1_s&amp;source=documentstudio&amp;timestamp=1769395823141" TargetMode="External"/><Relationship Id="rId1632" Type="http://schemas.openxmlformats.org/officeDocument/2006/relationships/hyperlink" Target="https://drive.google.com/open?id=1C0InqWINkkfNzueS4CMevZGKTCzMHuHI" TargetMode="External"/><Relationship Id="rId2199" Type="http://schemas.openxmlformats.org/officeDocument/2006/relationships/hyperlink" Target="https://docs.google.com/forms/d/e/1FAIpQLSeEYwFnViiqk1AbexVe1VDR73UApmeuvfn6Yr2vN8WXjwGu2Q/viewform?edit2=2_ABaOnucuxUG9PYJzUHIVpCiabBjNkreRZ0600bmucQr0lhrSRCx7ixCYwP2ls7egTCuIW0I&amp;source=documentstudio&amp;timestamp=1751197964179" TargetMode="External"/><Relationship Id="rId378" Type="http://schemas.openxmlformats.org/officeDocument/2006/relationships/hyperlink" Target="https://drive.google.com/open?id=1JvEVoHYbj_ITRLlbkLKY58tV5Y65IZBX" TargetMode="External"/><Relationship Id="rId585" Type="http://schemas.openxmlformats.org/officeDocument/2006/relationships/hyperlink" Target="https://drive.google.com/open?id=1XIU05p5moTyGmPpSrcrFS_geq01QrJNo" TargetMode="External"/><Relationship Id="rId792" Type="http://schemas.openxmlformats.org/officeDocument/2006/relationships/hyperlink" Target="https://drive.google.com/open?id=1pqU9GImHMsgxyDs2DcV2D3ibmwyHza08" TargetMode="External"/><Relationship Id="rId2059" Type="http://schemas.openxmlformats.org/officeDocument/2006/relationships/hyperlink" Target="https://docs.google.com/forms/d/e/1FAIpQLSeEYwFnViiqk1AbexVe1VDR73UApmeuvfn6Yr2vN8WXjwGu2Q/viewform?edit2=2_ABaOnufg3UaMJ7x739JpMPyOoq-ltb-oMiggoz05BKQBXvoDoSnyRnc2GJ7tJzlU1i7_YmI&amp;source=documentstudio&amp;timestamp=1748844113760" TargetMode="External"/><Relationship Id="rId2266" Type="http://schemas.openxmlformats.org/officeDocument/2006/relationships/hyperlink" Target="https://drive.google.com/open?id=1QyNKgPlfBF2a4Sv3S6NYviWa_gtMYb0e" TargetMode="External"/><Relationship Id="rId2473" Type="http://schemas.openxmlformats.org/officeDocument/2006/relationships/hyperlink" Target="https://docs.google.com/forms/d/e/1FAIpQLSeEYwFnViiqk1AbexVe1VDR73UApmeuvfn6Yr2vN8WXjwGu2Q/viewform?edit2=2_ABaOnufOzIQCNFYxAVku4CMfsS6TeZbAK5cyMns-02woVcDE45swO547psfHvxGMUzPb0Xs&amp;source=documentstudio&amp;timestamp=1768442961864" TargetMode="External"/><Relationship Id="rId2680" Type="http://schemas.openxmlformats.org/officeDocument/2006/relationships/hyperlink" Target="https://drive.google.com/open?id=1zYCK24X2JzV1Y5JS2-LWqc6UJQ-gDySY" TargetMode="External"/><Relationship Id="rId238" Type="http://schemas.openxmlformats.org/officeDocument/2006/relationships/hyperlink" Target="https://drive.google.com/open?id=1ByPK8T-eFrucrWwfCizWCXihaCJLUAmE" TargetMode="External"/><Relationship Id="rId445" Type="http://schemas.openxmlformats.org/officeDocument/2006/relationships/hyperlink" Target="https://drive.google.com/open?id=1xk36IEKmyUpNEjyqtgWa311O-_ApJzSy" TargetMode="External"/><Relationship Id="rId652" Type="http://schemas.openxmlformats.org/officeDocument/2006/relationships/hyperlink" Target="https://drive.google.com/open?id=1CR_PV_c1STlqDTXr4TJrka356z_AK2Cr" TargetMode="External"/><Relationship Id="rId1075" Type="http://schemas.openxmlformats.org/officeDocument/2006/relationships/hyperlink" Target="https://docs.google.com/forms/d/e/1FAIpQLSeEYwFnViiqk1AbexVe1VDR73UApmeuvfn6Yr2vN8WXjwGu2Q/viewform?edit2=2_ABaOnudSeOx1cGzT_jUf51qXqx1d4gFEAp9-Woh0PrOW10REFYuxggr2FWxicUEkCpMtFdU&amp;source=documentstudio&amp;timestamp=1725853378067" TargetMode="External"/><Relationship Id="rId1282" Type="http://schemas.openxmlformats.org/officeDocument/2006/relationships/hyperlink" Target="https://drive.google.com/open?id=1RDx1zAfaKdTXKIXcn7yA5GVBEfQJ-vIr" TargetMode="External"/><Relationship Id="rId2126" Type="http://schemas.openxmlformats.org/officeDocument/2006/relationships/hyperlink" Target="https://drive.google.com/open?id=1liO8jYHHRSUe1yCBXG73ypYg_aPi-tWp" TargetMode="External"/><Relationship Id="rId2333" Type="http://schemas.openxmlformats.org/officeDocument/2006/relationships/hyperlink" Target="https://docs.google.com/forms/d/e/1FAIpQLSeEYwFnViiqk1AbexVe1VDR73UApmeuvfn6Yr2vN8WXjwGu2Q/viewform?edit2=2_ABaOnuc7Vj8A2yYrZxhjcei418zgUkXTyI-qYRk1vXkoumiEBakOqa-yolg4S0BapQ0N1Ic&amp;source=documentstudio&amp;timestamp=1764557645197" TargetMode="External"/><Relationship Id="rId2540" Type="http://schemas.openxmlformats.org/officeDocument/2006/relationships/hyperlink" Target="https://drive.google.com/open?id=1_XbO7noIldIL3WBzRKS7AEvp19eg3pZp" TargetMode="External"/><Relationship Id="rId305" Type="http://schemas.openxmlformats.org/officeDocument/2006/relationships/hyperlink" Target="https://drive.google.com/open?id=19_WmQWCtRNSdnP_NMAUhpGs4IpQtGgU_" TargetMode="External"/><Relationship Id="rId512" Type="http://schemas.openxmlformats.org/officeDocument/2006/relationships/hyperlink" Target="https://drive.google.com/open?id=1Q4dQaX560qpHfcNrpeWcwWm6K6KnEVkk" TargetMode="External"/><Relationship Id="rId1142" Type="http://schemas.openxmlformats.org/officeDocument/2006/relationships/hyperlink" Target="https://drive.google.com/open?id=1DOyjCNjlxlPhMJNYL__hKXy_Uqy8IDoi" TargetMode="External"/><Relationship Id="rId2400" Type="http://schemas.openxmlformats.org/officeDocument/2006/relationships/hyperlink" Target="https://drive.google.com/open?id=1IpbN8Kd1IAFLw8GIA_6N07sDQXgZa7Vl" TargetMode="External"/><Relationship Id="rId1002" Type="http://schemas.openxmlformats.org/officeDocument/2006/relationships/hyperlink" Target="https://drive.google.com/open?id=12e07NcmdKB7TDnAJEbYShH8Bo9X6H5yY" TargetMode="External"/><Relationship Id="rId1959" Type="http://schemas.openxmlformats.org/officeDocument/2006/relationships/hyperlink" Target="https://drive.google.com/open?id=1rxSyAuOTbsc5CnZush2xM_Pw2XqeiIV6" TargetMode="External"/><Relationship Id="rId1819" Type="http://schemas.openxmlformats.org/officeDocument/2006/relationships/hyperlink" Target="https://drive.google.com/open?id=1ENhaWf6NV7VgtM-dOYOJEWh91qWjAn0W" TargetMode="External"/><Relationship Id="rId2190" Type="http://schemas.openxmlformats.org/officeDocument/2006/relationships/hyperlink" Target="https://drive.google.com/open?id=1oi1beRWx9Qz0CJk2uqNWfFISNKl4MfMV" TargetMode="External"/><Relationship Id="rId162" Type="http://schemas.openxmlformats.org/officeDocument/2006/relationships/hyperlink" Target="https://drive.google.com/open?id=1n69tQXB_83jN-TZpQ0FOWoSV1UaTOdug" TargetMode="External"/><Relationship Id="rId2050" Type="http://schemas.openxmlformats.org/officeDocument/2006/relationships/hyperlink" Target="https://drive.google.com/open?id=1g3hKvRPw3XqFj--GgasX7L19Hdl4qhvi" TargetMode="External"/><Relationship Id="rId979" Type="http://schemas.openxmlformats.org/officeDocument/2006/relationships/hyperlink" Target="https://docs.google.com/forms/d/e/1FAIpQLSeEYwFnViiqk1AbexVe1VDR73UApmeuvfn6Yr2vN8WXjwGu2Q/viewform?edit2=2_ABaOnueyhSSZBVQ47-T-uiwMgr9_CIXMJs64cM8ch3V_zLDTILBXf0gYOUT3-_gWJ8lO3vI&amp;source=documentstudio&amp;timestamp=1723164315990" TargetMode="External"/><Relationship Id="rId839" Type="http://schemas.openxmlformats.org/officeDocument/2006/relationships/hyperlink" Target="https://docs.google.com/forms/d/e/1FAIpQLSeEYwFnViiqk1AbexVe1VDR73UApmeuvfn6Yr2vN8WXjwGu2Q/viewform?edit2=2_ABaOnucM9lf6eEpaNx-tzKKr038fp2rf3p3j1AeHifd0010w_ABF8uvc2e_aNwdIusoaQPg&amp;source=documentstudio&amp;timestamp=1720487465261" TargetMode="External"/><Relationship Id="rId1469" Type="http://schemas.openxmlformats.org/officeDocument/2006/relationships/hyperlink" Target="https://docs.google.com/forms/d/e/1FAIpQLSeEYwFnViiqk1AbexVe1VDR73UApmeuvfn6Yr2vN8WXjwGu2Q/viewform?edit2=2_ABaOnuenb9iY8xcRI7pGg6LUtVDgeuckLMjLlpFt9TnrTuOBPtWojq8ygt7h3f_k5hY3p0o&amp;source=documentstudio&amp;timestamp=1737449113577" TargetMode="External"/><Relationship Id="rId2867" Type="http://schemas.openxmlformats.org/officeDocument/2006/relationships/hyperlink" Target="https://docs.google.com/forms/d/e/1FAIpQLSeEYwFnViiqk1AbexVe1VDR73UApmeuvfn6Yr2vN8WXjwGu2Q/viewform?edit2=2_ABaOnudwCKj1cY5sa1PfoTxZHEXyO3875hj6AJ7_JXtpydkkLbzf2HqrMqb_VIfxg79I9XM&amp;source=documentstudio&amp;timestamp=1769416414833" TargetMode="External"/><Relationship Id="rId1676" Type="http://schemas.openxmlformats.org/officeDocument/2006/relationships/hyperlink" Target="https://drive.google.com/open?id=1X51yVleE86_kicWaf0DfnzVl3tTmei3i" TargetMode="External"/><Relationship Id="rId1883" Type="http://schemas.openxmlformats.org/officeDocument/2006/relationships/hyperlink" Target="https://drive.google.com/open?id=1622nEmhW3NpKz0PFvR6d6AsUJWgGbj7o" TargetMode="External"/><Relationship Id="rId2727" Type="http://schemas.openxmlformats.org/officeDocument/2006/relationships/hyperlink" Target="https://docs.google.com/forms/d/e/1FAIpQLSeEYwFnViiqk1AbexVe1VDR73UApmeuvfn6Yr2vN8WXjwGu2Q/viewform?edit2=2_ABaOnufZZ2wVp1DzwIHd_LDk0ij_uha1Y_HO3O1m2yZttyjJ0G9q5JpAlZJ6a2vpXXewDZM&amp;source=documentstudio&amp;timestamp=1768797708111" TargetMode="External"/><Relationship Id="rId2934" Type="http://schemas.openxmlformats.org/officeDocument/2006/relationships/hyperlink" Target="https://docs.google.com/forms/d/e/1FAIpQLSeEYwFnViiqk1AbexVe1VDR73UApmeuvfn6Yr2vN8WXjwGu2Q/viewform?edit2=2_ABaOnucpyHsl_pzAdTIr9MEtmDF7d76OyBbNB6HovxpNWXcx9VaLyBOFgWcqOVHwCUHzvgA&amp;source=documentstudio&amp;timestamp=1769589429729" TargetMode="External"/><Relationship Id="rId906" Type="http://schemas.openxmlformats.org/officeDocument/2006/relationships/hyperlink" Target="https://drive.google.com/open?id=1diRwDieLMyey0pntcxeW_gwMhla1_XAk" TargetMode="External"/><Relationship Id="rId1329" Type="http://schemas.openxmlformats.org/officeDocument/2006/relationships/hyperlink" Target="https://docs.google.com/forms/d/e/1FAIpQLSeEYwFnViiqk1AbexVe1VDR73UApmeuvfn6Yr2vN8WXjwGu2Q/viewform?edit2=2_ABaOnudjHCKPbWCMyTPMa2umsFbWoe8y9ustoN_98HkF_XoqcJKBo0vsBSHLO-V4PPIA_jI&amp;source=documentstudio&amp;timestamp=1736133506441" TargetMode="External"/><Relationship Id="rId1536" Type="http://schemas.openxmlformats.org/officeDocument/2006/relationships/hyperlink" Target="https://drive.google.com/open?id=1HXB5f4AAzLKf1k8tv9yIS_7EOvON0JzK" TargetMode="External"/><Relationship Id="rId1743" Type="http://schemas.openxmlformats.org/officeDocument/2006/relationships/hyperlink" Target="https://drive.google.com/open?id=1pBwFOku3nTvUnwHv5BLlbE9egLOTeslG" TargetMode="External"/><Relationship Id="rId1950" Type="http://schemas.openxmlformats.org/officeDocument/2006/relationships/hyperlink" Target="https://docs.google.com/forms/d/e/1FAIpQLSeEYwFnViiqk1AbexVe1VDR73UApmeuvfn6Yr2vN8WXjwGu2Q/viewform?edit2=2_ABaOnufV34XRAxdcw8F8xe6_nbbHAQJwpF9NmEJD2EdfaxwBARUXSthTr1ZS6FXIwHg1_fg&amp;source=documentstudio&amp;timestamp=1746592599854" TargetMode="External"/><Relationship Id="rId35" Type="http://schemas.openxmlformats.org/officeDocument/2006/relationships/hyperlink" Target="https://drive.google.com/open?id=11L8Xft7Un0VMVCVbenAela6gzYMpd1_8" TargetMode="External"/><Relationship Id="rId1603" Type="http://schemas.openxmlformats.org/officeDocument/2006/relationships/hyperlink" Target="https://docs.google.com/forms/d/e/1FAIpQLSeEYwFnViiqk1AbexVe1VDR73UApmeuvfn6Yr2vN8WXjwGu2Q/viewform?edit2=2_ABaOnueuCqACfqT1_23hbWiXIvmfclaCLqO021DxgI15UD3k32N_NElEBjXZvL868PwUF2k&amp;source=documentstudio&amp;timestamp=1739329572966" TargetMode="External"/><Relationship Id="rId1810" Type="http://schemas.openxmlformats.org/officeDocument/2006/relationships/hyperlink" Target="https://docs.google.com/forms/d/e/1FAIpQLSeEYwFnViiqk1AbexVe1VDR73UApmeuvfn6Yr2vN8WXjwGu2Q/viewform?edit2=2_ABaOnudsuqxK1e_Sg2f024lvOwgMEipye44VSsgGF9x4BUGGJ1d4UtYYFAkUzdQnjojiJVQ&amp;source=documentstudio&amp;timestamp=1741748083325" TargetMode="External"/><Relationship Id="rId489" Type="http://schemas.openxmlformats.org/officeDocument/2006/relationships/hyperlink" Target="https://drive.google.com/open?id=1_pwZEpNGwtpdsbB2f0Bo-ZHJQtsu5oDj" TargetMode="External"/><Relationship Id="rId696" Type="http://schemas.openxmlformats.org/officeDocument/2006/relationships/hyperlink" Target="https://drive.google.com/open?id=1nptlXzk3QZa8Wqp9a5oY7JXWM4iHphaq" TargetMode="External"/><Relationship Id="rId2377" Type="http://schemas.openxmlformats.org/officeDocument/2006/relationships/hyperlink" Target="https://docs.google.com/forms/d/e/1FAIpQLSeEYwFnViiqk1AbexVe1VDR73UApmeuvfn6Yr2vN8WXjwGu2Q/viewform?edit2=2_ABaOnucNbliW2hyo18DFvhgwy1VvD_psPT62z2a7WxwKVQeYbuAXuZYzDOvcQNh57L4ZmGc&amp;source=documentstudio&amp;timestamp=1768379904294" TargetMode="External"/><Relationship Id="rId2584" Type="http://schemas.openxmlformats.org/officeDocument/2006/relationships/hyperlink" Target="https://drive.google.com/open?id=1WyeKYgRuKJ1E-8lenknFWz_UJC0NnZKz" TargetMode="External"/><Relationship Id="rId2791" Type="http://schemas.openxmlformats.org/officeDocument/2006/relationships/hyperlink" Target="https://docs.google.com/forms/d/e/1FAIpQLSeEYwFnViiqk1AbexVe1VDR73UApmeuvfn6Yr2vN8WXjwGu2Q/viewform?edit2=2_ABaOnudmPeyqoLnwj6zM_U-fdmOYSvECagUIyuWhyAZ1oTechm1SDJo6N3vEbjVrTBMInrk&amp;source=documentstudio&amp;timestamp=1768960734808" TargetMode="External"/><Relationship Id="rId349" Type="http://schemas.openxmlformats.org/officeDocument/2006/relationships/hyperlink" Target="https://drive.google.com/open?id=1_w-FxegI-612L-BgHp6eXpNPMSyfML4K" TargetMode="External"/><Relationship Id="rId556" Type="http://schemas.openxmlformats.org/officeDocument/2006/relationships/hyperlink" Target="https://drive.google.com/open?id=1Lza4j_U3hyDqlNb1tGB1KJakTJn2hd4S" TargetMode="External"/><Relationship Id="rId763" Type="http://schemas.openxmlformats.org/officeDocument/2006/relationships/hyperlink" Target="https://docs.google.com/forms/d/e/1FAIpQLSeEYwFnViiqk1AbexVe1VDR73UApmeuvfn6Yr2vN8WXjwGu2Q/viewform?edit2=2_ABaOnudn2bCisDFAaa86iD_-r05iukQ_kmpF1IknYOlp50iKLtNh8AZjCreXKrzZE2zdDSM&amp;source=documentstudio&amp;timestamp=1718176305876" TargetMode="External"/><Relationship Id="rId1186" Type="http://schemas.openxmlformats.org/officeDocument/2006/relationships/hyperlink" Target="https://drive.google.com/open?id=104UgNBroILEWZE_0dts5AGPm62PD9DLE" TargetMode="External"/><Relationship Id="rId1393" Type="http://schemas.openxmlformats.org/officeDocument/2006/relationships/hyperlink" Target="https://docs.google.com/forms/d/e/1FAIpQLSeEYwFnViiqk1AbexVe1VDR73UApmeuvfn6Yr2vN8WXjwGu2Q/viewform?edit2=2_ABaOnudcAl2jAvbw1GsUe1RV_0edlBHpHrCvyc0f1BCEn-xCh7TfTbsGWhwi6vt7ORyFJuw&amp;source=documentstudio&amp;timestamp=1736910391761" TargetMode="External"/><Relationship Id="rId2237" Type="http://schemas.openxmlformats.org/officeDocument/2006/relationships/hyperlink" Target="https://docs.google.com/forms/d/e/1FAIpQLSeEYwFnViiqk1AbexVe1VDR73UApmeuvfn6Yr2vN8WXjwGu2Q/viewform?edit2=2_ABaOnudx75e1_deHe2byOs3EFNz6BNqvXVcrchUVMWU6r7nbEBqz-SJ4izuLBTb3Rgck3gs&amp;source=documentstudio&amp;timestamp=1754993804686" TargetMode="External"/><Relationship Id="rId2444" Type="http://schemas.openxmlformats.org/officeDocument/2006/relationships/hyperlink" Target="https://drive.google.com/open?id=1VdxoNQj2CujQomZwEWRn7N7Nn2Sz9oxc" TargetMode="External"/><Relationship Id="rId209" Type="http://schemas.openxmlformats.org/officeDocument/2006/relationships/hyperlink" Target="https://drive.google.com/open?id=1BIqSQVeERMPi4PqqRdirIwYVcHFbLvXb" TargetMode="External"/><Relationship Id="rId416" Type="http://schemas.openxmlformats.org/officeDocument/2006/relationships/hyperlink" Target="https://drive.google.com/open?id=1HOap5AJz99oztkmix_DoT2NOKOAdWZQf" TargetMode="External"/><Relationship Id="rId970" Type="http://schemas.openxmlformats.org/officeDocument/2006/relationships/hyperlink" Target="https://drive.google.com/open?id=1XCtBgKWyUMyYRXgIDFrL77Xu8YakOvWw" TargetMode="External"/><Relationship Id="rId1046" Type="http://schemas.openxmlformats.org/officeDocument/2006/relationships/hyperlink" Target="https://drive.google.com/open?id=1mPp4su0WuL7l6uujKVtUo5l5HspkjvLF" TargetMode="External"/><Relationship Id="rId1253" Type="http://schemas.openxmlformats.org/officeDocument/2006/relationships/hyperlink" Target="https://docs.google.com/forms/d/e/1FAIpQLSeEYwFnViiqk1AbexVe1VDR73UApmeuvfn6Yr2vN8WXjwGu2Q/viewform?edit2=2_ABaOnucj1v9xqu8EudFaItjuiQn2fiZ4qHUFZuhpyLmHxT6tuLlzkyqL9VMpXgD6RCMgovw&amp;source=documentstudio&amp;timestamp=1733371961715" TargetMode="External"/><Relationship Id="rId2651" Type="http://schemas.openxmlformats.org/officeDocument/2006/relationships/hyperlink" Target="https://docs.google.com/forms/d/e/1FAIpQLSeEYwFnViiqk1AbexVe1VDR73UApmeuvfn6Yr2vN8WXjwGu2Q/viewform?edit2=2_ABaOnufwyAT0ZoTdnUgiQbh_kOPskGnWZQ4pRf2pbVZdY3F1myKoh5ObgeIPyToyqCVinHY&amp;source=documentstudio&amp;timestamp=1768787941037" TargetMode="External"/><Relationship Id="rId623" Type="http://schemas.openxmlformats.org/officeDocument/2006/relationships/hyperlink" Target="https://docs.google.com/forms/d/e/1FAIpQLSeEYwFnViiqk1AbexVe1VDR73UApmeuvfn6Yr2vN8WXjwGu2Q/viewform?edit2=2_ABaOnueWqhaPJPCgq_dJBg_V0VTwiz4axeJwVRJ0oQ3KqRG-9eokY6wQRdfh1Xe97i2bRLE&amp;source=documentstudio&amp;timestamp=1715757323319" TargetMode="External"/><Relationship Id="rId830" Type="http://schemas.openxmlformats.org/officeDocument/2006/relationships/hyperlink" Target="https://drive.google.com/open?id=1U4XKYtCHmEy1u2vOFFmW5nLP_ICoFLiL" TargetMode="External"/><Relationship Id="rId1460" Type="http://schemas.openxmlformats.org/officeDocument/2006/relationships/hyperlink" Target="https://drive.google.com/open?id=1TjGMudVcqxzPj_Im6C0O1hgA5pCrJphb" TargetMode="External"/><Relationship Id="rId2304" Type="http://schemas.openxmlformats.org/officeDocument/2006/relationships/hyperlink" Target="https://drive.google.com/open?id=1046WW3ifhjr1e2zkdyDE5MRcCd_ARCRH" TargetMode="External"/><Relationship Id="rId2511" Type="http://schemas.openxmlformats.org/officeDocument/2006/relationships/hyperlink" Target="https://docs.google.com/forms/d/e/1FAIpQLSeEYwFnViiqk1AbexVe1VDR73UApmeuvfn6Yr2vN8WXjwGu2Q/viewform?edit2=2_ABaOnucOootVmx5L9nwY9SPeVCaSBtjRVEnIjOBrqqC0SgR4VjMOgxJstN7NEPm4-E05jCg&amp;source=documentstudio&amp;timestamp=1768443958470" TargetMode="External"/><Relationship Id="rId1113" Type="http://schemas.openxmlformats.org/officeDocument/2006/relationships/hyperlink" Target="https://docs.google.com/forms/d/e/1FAIpQLSeEYwFnViiqk1AbexVe1VDR73UApmeuvfn6Yr2vN8WXjwGu2Q/viewform?edit2=2_ABaOnudPiIINCd7DqX_I94HAt0o0JjJ8AqY9hO9ZLOWKiUC0FC6LwP0vpguFELqJMjCF7vA&amp;source=documentstudio&amp;timestamp=1727829624599" TargetMode="External"/><Relationship Id="rId1320" Type="http://schemas.openxmlformats.org/officeDocument/2006/relationships/hyperlink" Target="https://drive.google.com/open?id=1hiKXQYVymVylohs8hkznyFPa3eOZFUwT" TargetMode="External"/><Relationship Id="rId2094" Type="http://schemas.openxmlformats.org/officeDocument/2006/relationships/hyperlink" Target="https://drive.google.com/open?id=1Bb3HOqmsc6TGTRolS9-FYO7NqxMaF7p9" TargetMode="External"/><Relationship Id="rId273" Type="http://schemas.openxmlformats.org/officeDocument/2006/relationships/hyperlink" Target="https://drive.google.com/open?id=1ffycXc9caKeMuja6V4PnY7LuKhHLPLBC" TargetMode="External"/><Relationship Id="rId480" Type="http://schemas.openxmlformats.org/officeDocument/2006/relationships/hyperlink" Target="https://drive.google.com/open?id=1ZrTSzZ5fCNqYrbieWIixbPSCZK3jK7GT" TargetMode="External"/><Relationship Id="rId2161" Type="http://schemas.openxmlformats.org/officeDocument/2006/relationships/hyperlink" Target="https://docs.google.com/forms/d/e/1FAIpQLSeEYwFnViiqk1AbexVe1VDR73UApmeuvfn6Yr2vN8WXjwGu2Q/viewform?edit2=2_ABaOnuftL4MvNtzPOVvfwjA2tgZvlTgVT37K1UlE6xgYuVnwJHMwHELP7tuAyYefTAuZzdE&amp;source=documentstudio&amp;timestamp=1750020082426" TargetMode="External"/><Relationship Id="rId133" Type="http://schemas.openxmlformats.org/officeDocument/2006/relationships/hyperlink" Target="https://drive.google.com/open?id=1HIoqtB17qBoToIY0mTIXJ_y6INoqsMzZ" TargetMode="External"/><Relationship Id="rId340" Type="http://schemas.openxmlformats.org/officeDocument/2006/relationships/hyperlink" Target="https://drive.google.com/open?id=1j6nx_jhr8BTo002fu3kLzNUOktHs8HNG" TargetMode="External"/><Relationship Id="rId2021" Type="http://schemas.openxmlformats.org/officeDocument/2006/relationships/hyperlink" Target="https://docs.google.com/forms/d/e/1FAIpQLSeEYwFnViiqk1AbexVe1VDR73UApmeuvfn6Yr2vN8WXjwGu2Q/viewform?edit2=2_ABaOnudYeZMoRqNtv-PfM0ffLO5YLuVDbxy64eNaz-QnZyoqx2xKblVb27wVZwYaL0i51EE&amp;source=documentstudio&amp;timestamp=1748831573741" TargetMode="External"/><Relationship Id="rId200" Type="http://schemas.openxmlformats.org/officeDocument/2006/relationships/hyperlink" Target="https://drive.google.com/open?id=18Yl6z8icVMhjh4ifu5IaLM8zETY2ydaH" TargetMode="External"/><Relationship Id="rId1787" Type="http://schemas.openxmlformats.org/officeDocument/2006/relationships/hyperlink" Target="https://drive.google.com/open?id=1WtyutLE_NdAjQaY5VZojvxp7gmuFYcw-" TargetMode="External"/><Relationship Id="rId1994" Type="http://schemas.openxmlformats.org/officeDocument/2006/relationships/hyperlink" Target="https://drive.google.com/open?id=1aJi15jPp6vEsTCi1xJOsQRtE10dF3GPg" TargetMode="External"/><Relationship Id="rId2838" Type="http://schemas.openxmlformats.org/officeDocument/2006/relationships/hyperlink" Target="https://drive.google.com/open?id=1eB00euvvqF7mLNC7TCL0bCItm5Qlv-6A" TargetMode="External"/><Relationship Id="rId79" Type="http://schemas.openxmlformats.org/officeDocument/2006/relationships/hyperlink" Target="https://drive.google.com/open?id=1BiClsi5RHvEDrS4j8x_dyq-vZFtuOCO2" TargetMode="External"/><Relationship Id="rId1647" Type="http://schemas.openxmlformats.org/officeDocument/2006/relationships/hyperlink" Target="https://docs.google.com/forms/d/e/1FAIpQLSeEYwFnViiqk1AbexVe1VDR73UApmeuvfn6Yr2vN8WXjwGu2Q/viewform?edit2=2_ABaOnueE7zD0hWBCe9mpX_kpTevOaTYrNgaabxcVrZe_8l0vxlDj2EDklaxnw6MxGtixHbY&amp;source=documentstudio&amp;timestamp=1741333232011" TargetMode="External"/><Relationship Id="rId1854" Type="http://schemas.openxmlformats.org/officeDocument/2006/relationships/hyperlink" Target="https://docs.google.com/forms/d/e/1FAIpQLSeEYwFnViiqk1AbexVe1VDR73UApmeuvfn6Yr2vN8WXjwGu2Q/viewform?edit2=2_ABaOnudJk3XADGI-TAH9i4GMNusE7KPljozFFpRspQgrDRDo0aH9-zb_SM92DqAFNPG-y9U&amp;source=documentstudio&amp;timestamp=1742177409708" TargetMode="External"/><Relationship Id="rId2905" Type="http://schemas.openxmlformats.org/officeDocument/2006/relationships/hyperlink" Target="https://drive.google.com/open?id=1azbPg3Q7rfapZ93rs_rQtUBIAEjMJz2y" TargetMode="External"/><Relationship Id="rId1507" Type="http://schemas.openxmlformats.org/officeDocument/2006/relationships/hyperlink" Target="https://docs.google.com/forms/d/e/1FAIpQLSeEYwFnViiqk1AbexVe1VDR73UApmeuvfn6Yr2vN8WXjwGu2Q/viewform?edit2=2_ABaOnucjuZ0HzvC5gbmNgDudAWO2PrPDIjiWNMb9HaFNu_a3atrf1KAh0w09G10pMEsejnY&amp;source=documentstudio&amp;timestamp=1739327605004" TargetMode="External"/><Relationship Id="rId1714" Type="http://schemas.openxmlformats.org/officeDocument/2006/relationships/hyperlink" Target="https://drive.google.com/open?id=1NKqM8A9InlniQlB8iszXnDA1KT0ZZfG6" TargetMode="External"/><Relationship Id="rId1921" Type="http://schemas.openxmlformats.org/officeDocument/2006/relationships/hyperlink" Target="https://drive.google.com/open?id=1_ERg3ME8m7o3bF2G9708-dB7hNLo0sNC" TargetMode="External"/><Relationship Id="rId2488" Type="http://schemas.openxmlformats.org/officeDocument/2006/relationships/hyperlink" Target="https://drive.google.com/open?id=1ynFmlsCtLBKhufAByYm_KtbdP4wBB1PW" TargetMode="External"/><Relationship Id="rId1297" Type="http://schemas.openxmlformats.org/officeDocument/2006/relationships/hyperlink" Target="https://docs.google.com/forms/d/e/1FAIpQLSeEYwFnViiqk1AbexVe1VDR73UApmeuvfn6Yr2vN8WXjwGu2Q/viewform?edit2=2_ABaOnueKhjXF_iRebNXxhdJ-nb7PZYwheqh92k6wBtMjw_gHq6q-_GfbZx4EDhoHlc-wT0s&amp;source=documentstudio&amp;timestamp=1733712103219" TargetMode="External"/><Relationship Id="rId2695" Type="http://schemas.openxmlformats.org/officeDocument/2006/relationships/hyperlink" Target="https://docs.google.com/forms/d/e/1FAIpQLSeEYwFnViiqk1AbexVe1VDR73UApmeuvfn6Yr2vN8WXjwGu2Q/viewform?edit2=2_ABaOnucr1cBHKJzuqNwYwkEmLm_ZxJai3EAnuVC2HPK4eEdmB4gGZmBEtsa_gFekjepdWSQ&amp;source=documentstudio&amp;timestamp=1768793227922" TargetMode="External"/><Relationship Id="rId667" Type="http://schemas.openxmlformats.org/officeDocument/2006/relationships/hyperlink" Target="https://docs.google.com/forms/d/e/1FAIpQLSeEYwFnViiqk1AbexVe1VDR73UApmeuvfn6Yr2vN8WXjwGu2Q/viewform?edit2=2_ABaOnudpSAu5v7W1qmjpX2G6_zj8n-u7VzVfv5RcYZO1lUz1pXoWKh9Y5V3843Wiq-b8Iz0&amp;source=documentstudio&amp;timestamp=1717389369379" TargetMode="External"/><Relationship Id="rId874" Type="http://schemas.openxmlformats.org/officeDocument/2006/relationships/hyperlink" Target="https://drive.google.com/open?id=1N8gC4Gld7u24kBdmQlb3MzB2uCsJWhfj" TargetMode="External"/><Relationship Id="rId2348" Type="http://schemas.openxmlformats.org/officeDocument/2006/relationships/hyperlink" Target="https://drive.google.com/open?id=1_uJagUmPplLuL3qwzoq0YdK8jiRmwYTk" TargetMode="External"/><Relationship Id="rId2555" Type="http://schemas.openxmlformats.org/officeDocument/2006/relationships/hyperlink" Target="https://docs.google.com/forms/d/e/1FAIpQLSeEYwFnViiqk1AbexVe1VDR73UApmeuvfn6Yr2vN8WXjwGu2Q/viewform?edit2=2_ABaOnueAkNk_Ep023jcTFTvmUGxNTVZVWSJ4Au0uEitOH_BiaK4mfiq8wt3Hg-DkvNqUq_0&amp;source=documentstudio&amp;timestamp=1768460987641" TargetMode="External"/><Relationship Id="rId2762" Type="http://schemas.openxmlformats.org/officeDocument/2006/relationships/hyperlink" Target="https://drive.google.com/open?id=1Hv2gtrD-g3N5qFj6OTUKJ7-u7ctrxew9" TargetMode="External"/><Relationship Id="rId527" Type="http://schemas.openxmlformats.org/officeDocument/2006/relationships/hyperlink" Target="https://drive.google.com/open?id=1WEerzeH08ZrG-KEE9cuifBICe-Udiff1" TargetMode="External"/><Relationship Id="rId734" Type="http://schemas.openxmlformats.org/officeDocument/2006/relationships/hyperlink" Target="https://drive.google.com/open?id=1k-Op-kSj0a24_fvF5uMynd8q0C3pPwFJ" TargetMode="External"/><Relationship Id="rId941" Type="http://schemas.openxmlformats.org/officeDocument/2006/relationships/hyperlink" Target="https://docs.google.com/forms/d/e/1FAIpQLSeEYwFnViiqk1AbexVe1VDR73UApmeuvfn6Yr2vN8WXjwGu2Q/viewform?edit2=2_ABaOnueaykKhcAHZ_VgAScL2NuwWdleoZMPDb4bFlUBzoZ0E7QaF2MZDWBHGSshlcNj4T74&amp;source=documentstudio&amp;timestamp=1721622182235" TargetMode="External"/><Relationship Id="rId1157" Type="http://schemas.openxmlformats.org/officeDocument/2006/relationships/hyperlink" Target="https://docs.google.com/forms/d/e/1FAIpQLSeEYwFnViiqk1AbexVe1VDR73UApmeuvfn6Yr2vN8WXjwGu2Q/viewform?edit2=2_ABaOnucbHUZ3XRJIREIb_rvWNB4kdE3yqBNTgBmVwm7KvHuOMUwuqJg4lq_UV1ntaQr2JQ8&amp;source=documentstudio&amp;timestamp=1728030527627" TargetMode="External"/><Relationship Id="rId1364" Type="http://schemas.openxmlformats.org/officeDocument/2006/relationships/hyperlink" Target="https://drive.google.com/open?id=1-oNK50q6rNx8JZXSPYeQmH7Y0Krq-YNU" TargetMode="External"/><Relationship Id="rId1571" Type="http://schemas.openxmlformats.org/officeDocument/2006/relationships/hyperlink" Target="https://docs.google.com/forms/d/e/1FAIpQLSeEYwFnViiqk1AbexVe1VDR73UApmeuvfn6Yr2vN8WXjwGu2Q/viewform?edit2=2_ABaOnueTx8RuO1BFBrCkJHHr9uc3ZSfZSxRYEgAQQGmW0SDi8QoI3sFWz-YrrlShya3KJwg&amp;source=documentstudio&amp;timestamp=1739329157332" TargetMode="External"/><Relationship Id="rId2208" Type="http://schemas.openxmlformats.org/officeDocument/2006/relationships/hyperlink" Target="https://drive.google.com/open?id=1ue4Vs27MmKOzJd2zGakLXHTwfPS8oseE" TargetMode="External"/><Relationship Id="rId2415" Type="http://schemas.openxmlformats.org/officeDocument/2006/relationships/hyperlink" Target="https://docs.google.com/forms/d/e/1FAIpQLSeEYwFnViiqk1AbexVe1VDR73UApmeuvfn6Yr2vN8WXjwGu2Q/viewform?edit2=2_ABaOnueR6HspofiAyyttjyKLy24R2YwqfQrvuLLE79BXIneiAUXRTsYk87SbuxZhVPttmLs&amp;source=documentstudio&amp;timestamp=1768439480863" TargetMode="External"/><Relationship Id="rId2622" Type="http://schemas.openxmlformats.org/officeDocument/2006/relationships/hyperlink" Target="https://drive.google.com/open?id=1Ftgtng-fUa5nx-bS2G3et8UBl7Gymgiw" TargetMode="External"/><Relationship Id="rId70" Type="http://schemas.openxmlformats.org/officeDocument/2006/relationships/hyperlink" Target="https://drive.google.com/open?id=1NSbaKdXcV2M56Q0SKYUsBd1YJQoCbV4a" TargetMode="External"/><Relationship Id="rId801" Type="http://schemas.openxmlformats.org/officeDocument/2006/relationships/hyperlink" Target="https://docs.google.com/forms/d/e/1FAIpQLSeEYwFnViiqk1AbexVe1VDR73UApmeuvfn6Yr2vN8WXjwGu2Q/viewform?edit2=2_ABaOnueqrMEVGQRdW0j9xILo4U1GPhgKVyIdlvhdvQqfYhaqQR2gUA7EkuKBSo6IErE5shc&amp;source=documentstudio&amp;timestamp=1720052727527" TargetMode="External"/><Relationship Id="rId1017" Type="http://schemas.openxmlformats.org/officeDocument/2006/relationships/hyperlink" Target="https://docs.google.com/forms/d/e/1FAIpQLSeEYwFnViiqk1AbexVe1VDR73UApmeuvfn6Yr2vN8WXjwGu2Q/viewform?edit2=2_ABaOnueerLOdC6BruE6O1dTpaIqSIC2j3UXFTyoibxHpJMXoGwyDdK969LQ7JB4d4hR7Qio&amp;source=documentstudio&amp;timestamp=1723596949624" TargetMode="External"/><Relationship Id="rId1224" Type="http://schemas.openxmlformats.org/officeDocument/2006/relationships/hyperlink" Target="https://drive.google.com/open?id=1QrgcXu3mQG53KJmzYszxFUxzudqq6f6C" TargetMode="External"/><Relationship Id="rId1431" Type="http://schemas.openxmlformats.org/officeDocument/2006/relationships/hyperlink" Target="https://docs.google.com/forms/d/e/1FAIpQLSeEYwFnViiqk1AbexVe1VDR73UApmeuvfn6Yr2vN8WXjwGu2Q/viewform?edit2=2_ABaOnue5mokNa-DoTnveAwghJq8fN0QINKwgVtU5Xfx1NUV0XKQ1-7yTmEsH5gmZGmd3JOY&amp;source=documentstudio&amp;timestamp=1737446559614" TargetMode="External"/><Relationship Id="rId177" Type="http://schemas.openxmlformats.org/officeDocument/2006/relationships/hyperlink" Target="https://drive.google.com/open?id=1YVc0fVEUhIt5o4Y3_GPTZ5ydpskijqtq" TargetMode="External"/><Relationship Id="rId384" Type="http://schemas.openxmlformats.org/officeDocument/2006/relationships/hyperlink" Target="https://drive.google.com/open?id=110udLA3nQgcVg_GnycuyOrJD5SOGURAm" TargetMode="External"/><Relationship Id="rId591" Type="http://schemas.openxmlformats.org/officeDocument/2006/relationships/hyperlink" Target="https://drive.google.com/open?id=1GWVmvGemYp7tdhdt3-K7_Md5GpTVlWzj" TargetMode="External"/><Relationship Id="rId2065" Type="http://schemas.openxmlformats.org/officeDocument/2006/relationships/hyperlink" Target="https://docs.google.com/forms/d/e/1FAIpQLSeEYwFnViiqk1AbexVe1VDR73UApmeuvfn6Yr2vN8WXjwGu2Q/viewform?edit2=2_ABaOnucK5CxrnnBvG6sumwgDnetT7FDShicmL9yf4ToOnKMT8XXRh_du-jeBeLM7K4SaR7k&amp;source=documentstudio&amp;timestamp=1748846133222" TargetMode="External"/><Relationship Id="rId2272" Type="http://schemas.openxmlformats.org/officeDocument/2006/relationships/hyperlink" Target="https://drive.google.com/open?id=1LalEOR-HdyFOfwYcODbn0kWqjf5WWfqH" TargetMode="External"/><Relationship Id="rId244" Type="http://schemas.openxmlformats.org/officeDocument/2006/relationships/hyperlink" Target="https://drive.google.com/open?id=1XS72P3Um-jDAWjyFuxMQfjeIzvFVhjaW" TargetMode="External"/><Relationship Id="rId1081" Type="http://schemas.openxmlformats.org/officeDocument/2006/relationships/hyperlink" Target="https://docs.google.com/forms/d/e/1FAIpQLSeEYwFnViiqk1AbexVe1VDR73UApmeuvfn6Yr2vN8WXjwGu2Q/viewform?edit2=2_ABaOnudJbHX5M8kEzLTQNf6KCSWkngiYgssmerHZr2LDPtgQz-mkpop7u2bS0OIMAkIBiFg&amp;source=documentstudio&amp;timestamp=1725860297221" TargetMode="External"/><Relationship Id="rId451" Type="http://schemas.openxmlformats.org/officeDocument/2006/relationships/hyperlink" Target="https://drive.google.com/open?id=1CgWZ9teNqG58OlTY0Lb0fcvE1Fc5vq8E" TargetMode="External"/><Relationship Id="rId2132" Type="http://schemas.openxmlformats.org/officeDocument/2006/relationships/hyperlink" Target="https://drive.google.com/open?id=1M9bSTo_H95VXVPNno84aR2M3R8iKtdzk" TargetMode="External"/><Relationship Id="rId104" Type="http://schemas.openxmlformats.org/officeDocument/2006/relationships/hyperlink" Target="https://drive.google.com/open?id=1epngB3OGmGpnRSK2Qgf4WDOPBxGb-iqg" TargetMode="External"/><Relationship Id="rId311" Type="http://schemas.openxmlformats.org/officeDocument/2006/relationships/hyperlink" Target="https://drive.google.com/open?id=1UIvxVALVfUi8xSUYBaB6h0R2uxSa5cTd" TargetMode="External"/><Relationship Id="rId1898" Type="http://schemas.openxmlformats.org/officeDocument/2006/relationships/hyperlink" Target="https://docs.google.com/forms/d/e/1FAIpQLSeEYwFnViiqk1AbexVe1VDR73UApmeuvfn6Yr2vN8WXjwGu2Q/viewform?edit2=2_ABaOnueLD3mKHqWhV_QDiomK-xCtAw9SR8vmNZOCffPaAwygZ9iBBa79Oi_cr65bnNiFbbg&amp;source=documentstudio&amp;timestamp=1745206247852" TargetMode="External"/><Relationship Id="rId2949" Type="http://schemas.openxmlformats.org/officeDocument/2006/relationships/hyperlink" Target="https://drive.google.com/open?id=11eO8edseGQvJ7J9VHxdD30pJhvkecB7d" TargetMode="External"/><Relationship Id="rId1758" Type="http://schemas.openxmlformats.org/officeDocument/2006/relationships/hyperlink" Target="https://docs.google.com/forms/d/e/1FAIpQLSeEYwFnViiqk1AbexVe1VDR73UApmeuvfn6Yr2vN8WXjwGu2Q/viewform?edit2=2_ABaOnuc_dTXVumEo7pTnUEj7f3CU_IsHGEayHhXe6Bqxdxku9cLHv3R0GiPemVun9kdpKik&amp;source=documentstudio&amp;timestamp=1741572853374" TargetMode="External"/><Relationship Id="rId2809" Type="http://schemas.openxmlformats.org/officeDocument/2006/relationships/hyperlink" Target="https://docs.google.com/forms/d/e/1FAIpQLSeEYwFnViiqk1AbexVe1VDR73UApmeuvfn6Yr2vN8WXjwGu2Q/viewform?edit2=2_ABaOnudyxFITm_0d8bt3y1vHj-dKf53CvzRwfwV1y3s7f-uxlFTrr7yPH0c_ah-fT4_0Wwc&amp;source=documentstudio&amp;timestamp=1769393123754" TargetMode="External"/><Relationship Id="rId1965" Type="http://schemas.openxmlformats.org/officeDocument/2006/relationships/hyperlink" Target="https://drive.google.com/open?id=1ZGfRnQ84Zz-wlKSACJ_NnKg1Mb1twKoq" TargetMode="External"/><Relationship Id="rId1618" Type="http://schemas.openxmlformats.org/officeDocument/2006/relationships/hyperlink" Target="https://drive.google.com/open?id=1Wb-80TmGg1o8BnDz3v6wHqGeHk1nO6EW" TargetMode="External"/><Relationship Id="rId1825" Type="http://schemas.openxmlformats.org/officeDocument/2006/relationships/hyperlink" Target="https://drive.google.com/open?id=1npW61D82loUSDSLL-_j0mzWjBflgPia-" TargetMode="External"/><Relationship Id="rId2599" Type="http://schemas.openxmlformats.org/officeDocument/2006/relationships/hyperlink" Target="https://docs.google.com/forms/d/e/1FAIpQLSeEYwFnViiqk1AbexVe1VDR73UApmeuvfn6Yr2vN8WXjwGu2Q/viewform?edit2=2_ABaOnuepnIJlS9ulYEat2pGNKjCwrPRolxSU-zDuNNcC_14eu3BTM6t1YJ6ErpiUaWru7Bc&amp;source=documentstudio&amp;timestamp=1768464445801" TargetMode="External"/><Relationship Id="rId778" Type="http://schemas.openxmlformats.org/officeDocument/2006/relationships/hyperlink" Target="https://drive.google.com/open?id=1srwmqD6ILeK-tWtB5KPYD1PyFjE8vNjM" TargetMode="External"/><Relationship Id="rId985" Type="http://schemas.openxmlformats.org/officeDocument/2006/relationships/hyperlink" Target="https://docs.google.com/forms/d/e/1FAIpQLSeEYwFnViiqk1AbexVe1VDR73UApmeuvfn6Yr2vN8WXjwGu2Q/viewform?edit2=2_ABaOnuc87qHY3MzK6c1tOnMPJOVPQBkHrcAJyPbFb0KjiBgtlg8316PNixiga_MHoPt5cPo&amp;source=documentstudio&amp;timestamp=1723441804540" TargetMode="External"/><Relationship Id="rId2459" Type="http://schemas.openxmlformats.org/officeDocument/2006/relationships/hyperlink" Target="https://docs.google.com/forms/d/e/1FAIpQLSeEYwFnViiqk1AbexVe1VDR73UApmeuvfn6Yr2vN8WXjwGu2Q/viewform?edit2=2_ABaOnucvWxextHSNgGo6cqACZgY3gM4RPvnFFkE7Q_ZJVVJ5_kOImSqAdHNefekLzZTSK3s&amp;source=documentstudio&amp;timestamp=1768442267669" TargetMode="External"/><Relationship Id="rId2666" Type="http://schemas.openxmlformats.org/officeDocument/2006/relationships/hyperlink" Target="https://drive.google.com/open?id=10JZx5IozFDaSabUqMLu9EFJKrpppPJRR" TargetMode="External"/><Relationship Id="rId2873" Type="http://schemas.openxmlformats.org/officeDocument/2006/relationships/hyperlink" Target="https://docs.google.com/forms/d/e/1FAIpQLSeEYwFnViiqk1AbexVe1VDR73UApmeuvfn6Yr2vN8WXjwGu2Q/viewform?edit2=2_ABaOnufItZPtrFnBBbzzhz-s2kS59jYRDflC6nZmVJGrpBBh8ifmYPIopxsXXAayDSzlj9c&amp;source=documentstudio&amp;timestamp=1769416755659" TargetMode="External"/><Relationship Id="rId638" Type="http://schemas.openxmlformats.org/officeDocument/2006/relationships/hyperlink" Target="https://drive.google.com/open?id=1-H9eUeXBqi95DvBzJjFP3Df1-GvYo_m8" TargetMode="External"/><Relationship Id="rId845" Type="http://schemas.openxmlformats.org/officeDocument/2006/relationships/hyperlink" Target="https://docs.google.com/forms/d/e/1FAIpQLSeEYwFnViiqk1AbexVe1VDR73UApmeuvfn6Yr2vN8WXjwGu2Q/viewform?edit2=2_ABaOnucmNCMVqeW1bzP0nkdli5MPRKNXL0A5vzW2evmSDrjpFxIjc-TommgremhpawKwtjg&amp;source=documentstudio&amp;timestamp=1720487582877" TargetMode="External"/><Relationship Id="rId1268" Type="http://schemas.openxmlformats.org/officeDocument/2006/relationships/hyperlink" Target="https://drive.google.com/open?id=1AHrkkHJVtiVlvjf3ZA7Mw_zbxXfejWlQ" TargetMode="External"/><Relationship Id="rId1475" Type="http://schemas.openxmlformats.org/officeDocument/2006/relationships/hyperlink" Target="https://docs.google.com/forms/d/e/1FAIpQLSeEYwFnViiqk1AbexVe1VDR73UApmeuvfn6Yr2vN8WXjwGu2Q/viewform?edit2=2_ABaOnue16TilRITYh6DorW4MGvRIfs7_biWyGNfEBZ-Uf4Q7HojN3T59Ek_3rLlJ2DipyLM&amp;source=documentstudio&amp;timestamp=1737449904316" TargetMode="External"/><Relationship Id="rId1682" Type="http://schemas.openxmlformats.org/officeDocument/2006/relationships/hyperlink" Target="https://drive.google.com/open?id=1d3jK44bopHNmyCS2L_Dc73Vj8RUuKxG5" TargetMode="External"/><Relationship Id="rId2319" Type="http://schemas.openxmlformats.org/officeDocument/2006/relationships/hyperlink" Target="https://docs.google.com/forms/d/e/1FAIpQLSeEYwFnViiqk1AbexVe1VDR73UApmeuvfn6Yr2vN8WXjwGu2Q/viewform?edit2=2_ABaOnudticu5BQVLLRfBUOTGmq1c5PwdeTtdhSPAP1PJjz0Hs8DPNmIvHwIekzWMTTrQtLw&amp;source=documentstudio&amp;timestamp=1760581201276" TargetMode="External"/><Relationship Id="rId2526" Type="http://schemas.openxmlformats.org/officeDocument/2006/relationships/hyperlink" Target="https://drive.google.com/open?id=1hzAuaFLpoteaCMESvk96hVxZjWJLGM8B" TargetMode="External"/><Relationship Id="rId2733" Type="http://schemas.openxmlformats.org/officeDocument/2006/relationships/hyperlink" Target="https://docs.google.com/forms/d/e/1FAIpQLSeEYwFnViiqk1AbexVe1VDR73UApmeuvfn6Yr2vN8WXjwGu2Q/viewform?edit2=2_ABaOnue-2GX5sP8ecWBDWlqCZY5dvusteFEmxDggVtvnTewpbM1tvsiyatWU20mF18rZc48&amp;source=documentstudio&amp;timestamp=1768803297411" TargetMode="External"/><Relationship Id="rId705" Type="http://schemas.openxmlformats.org/officeDocument/2006/relationships/hyperlink" Target="https://docs.google.com/forms/d/e/1FAIpQLSeEYwFnViiqk1AbexVe1VDR73UApmeuvfn6Yr2vN8WXjwGu2Q/viewform?edit2=2_ABaOnuerD2YNVc9k_11TWNJ414HOK7ae6ZbWscHmYzl-HNmdJ4zOEmhwC4Y5SmExZh5_pmg&amp;source=documentstudio&amp;timestamp=1717555699879" TargetMode="External"/><Relationship Id="rId1128" Type="http://schemas.openxmlformats.org/officeDocument/2006/relationships/hyperlink" Target="https://drive.google.com/open?id=1o0CaGKLojXzdWArXb9lz3sOHoGkifY-k" TargetMode="External"/><Relationship Id="rId1335" Type="http://schemas.openxmlformats.org/officeDocument/2006/relationships/hyperlink" Target="https://docs.google.com/forms/d/e/1FAIpQLSeEYwFnViiqk1AbexVe1VDR73UApmeuvfn6Yr2vN8WXjwGu2Q/viewform?edit2=2_ABaOnuf3uYoggH9CKGAa76K8c20XseRJxUATMNMsleqiDE97Zs05wu12xdrV4hpJS5-73Pc&amp;source=documentstudio&amp;timestamp=1736135231532" TargetMode="External"/><Relationship Id="rId1542" Type="http://schemas.openxmlformats.org/officeDocument/2006/relationships/hyperlink" Target="https://drive.google.com/open?id=1OkpeycHaoU8aYryeWnyAfldvqDWttyxk" TargetMode="External"/><Relationship Id="rId2940" Type="http://schemas.openxmlformats.org/officeDocument/2006/relationships/hyperlink" Target="https://docs.google.com/forms/d/e/1FAIpQLSeEYwFnViiqk1AbexVe1VDR73UApmeuvfn6Yr2vN8WXjwGu2Q/viewform?edit2=2_ABaOnufvR5FRivD1n_r8Ja5kYZ4J7l2lc77FVYWLJeLZk9krH4ECuUczJ-_Xfftyk-1DioU&amp;source=documentstudio&amp;timestamp=1769589535678" TargetMode="External"/><Relationship Id="rId912" Type="http://schemas.openxmlformats.org/officeDocument/2006/relationships/hyperlink" Target="https://drive.google.com/open?id=1g_owNEKn-hoDVINOLMEGV1odsAfZXKXK" TargetMode="External"/><Relationship Id="rId2800" Type="http://schemas.openxmlformats.org/officeDocument/2006/relationships/hyperlink" Target="https://drive.google.com/open?id=1Wt6B0Xnhleuye7jPAA9puhyJ7O0YBTv6" TargetMode="External"/><Relationship Id="rId41" Type="http://schemas.openxmlformats.org/officeDocument/2006/relationships/hyperlink" Target="https://drive.google.com/open?id=1QSTyYikHND1SeLt6C7oMDbIz5IK_luPN" TargetMode="External"/><Relationship Id="rId1402" Type="http://schemas.openxmlformats.org/officeDocument/2006/relationships/hyperlink" Target="https://drive.google.com/open?id=1T3Tv5nAUPjWuMlIbf8ybosCHzP_ti0qH" TargetMode="External"/><Relationship Id="rId288" Type="http://schemas.openxmlformats.org/officeDocument/2006/relationships/hyperlink" Target="https://drive.google.com/open?id=1KzEtbnFYoeOrUrh95anVjVYhRPvhvRA_" TargetMode="External"/><Relationship Id="rId495" Type="http://schemas.openxmlformats.org/officeDocument/2006/relationships/hyperlink" Target="https://drive.google.com/open?id=1Me4ypUbmhduwG4yhV_l9pD71NbP_5OIo" TargetMode="External"/><Relationship Id="rId2176" Type="http://schemas.openxmlformats.org/officeDocument/2006/relationships/hyperlink" Target="https://drive.google.com/open?id=1e7LP3PboO0UV4vzJk-lu4gtIBTIo2ljG" TargetMode="External"/><Relationship Id="rId2383" Type="http://schemas.openxmlformats.org/officeDocument/2006/relationships/hyperlink" Target="https://docs.google.com/forms/d/e/1FAIpQLSeEYwFnViiqk1AbexVe1VDR73UApmeuvfn6Yr2vN8WXjwGu2Q/viewform?edit2=2_ABaOnuf4THfWhysc0RgraZsAej9ZcASuoJh2MMEgGt52n_C3KpNYLRXaWdFZZcI7LYnn_eA&amp;source=documentstudio&amp;timestamp=1768437450838" TargetMode="External"/><Relationship Id="rId2590" Type="http://schemas.openxmlformats.org/officeDocument/2006/relationships/hyperlink" Target="https://drive.google.com/open?id=1F0gx2pG7PXKGQT4McXD9yrzM0CZJqzOO" TargetMode="External"/><Relationship Id="rId148" Type="http://schemas.openxmlformats.org/officeDocument/2006/relationships/hyperlink" Target="https://drive.google.com/open?id=11yslGv5IqooiJuY0qlHepJi478KklaVQ" TargetMode="External"/><Relationship Id="rId355" Type="http://schemas.openxmlformats.org/officeDocument/2006/relationships/hyperlink" Target="https://drive.google.com/open?id=1eU1WZVkmIS0vJRq6l8eFIG9VY9We1uCS" TargetMode="External"/><Relationship Id="rId562" Type="http://schemas.openxmlformats.org/officeDocument/2006/relationships/hyperlink" Target="https://drive.google.com/open?id=1N5J82VE4HoUlwYtn5pIxaQ5l2cZWAfYY" TargetMode="External"/><Relationship Id="rId1192" Type="http://schemas.openxmlformats.org/officeDocument/2006/relationships/hyperlink" Target="https://drive.google.com/open?id=1mCMxUlX9zMbs4FuTr9jg48AjenGPHdlO" TargetMode="External"/><Relationship Id="rId2036" Type="http://schemas.openxmlformats.org/officeDocument/2006/relationships/hyperlink" Target="https://drive.google.com/open?id=18V9GFhmS7y4yuB79l57R-aGEw8_v4b-L" TargetMode="External"/><Relationship Id="rId2243" Type="http://schemas.openxmlformats.org/officeDocument/2006/relationships/hyperlink" Target="https://docs.google.com/forms/d/e/1FAIpQLSeEYwFnViiqk1AbexVe1VDR73UApmeuvfn6Yr2vN8WXjwGu2Q/viewform?edit2=2_ABaOnudbVSLLelsjqUH_hVHgOmIfx-TrgJiPAeGRNbK2KFdfFGRSouXSNdjYju238VFoucE&amp;source=documentstudio&amp;timestamp=1756432410866" TargetMode="External"/><Relationship Id="rId2450" Type="http://schemas.openxmlformats.org/officeDocument/2006/relationships/hyperlink" Target="https://drive.google.com/open?id=1EYvzK3yVhDH-JspINJWSSAcS2F2oUqE6" TargetMode="External"/><Relationship Id="rId215" Type="http://schemas.openxmlformats.org/officeDocument/2006/relationships/hyperlink" Target="https://drive.google.com/open?id=1T704B4_tupajIuwSf_jQixgZnjsazZ9L" TargetMode="External"/><Relationship Id="rId422" Type="http://schemas.openxmlformats.org/officeDocument/2006/relationships/hyperlink" Target="https://drive.google.com/open?id=1JX74ctgmQkVCtDufjzN0y2PC74xPNZut" TargetMode="External"/><Relationship Id="rId1052" Type="http://schemas.openxmlformats.org/officeDocument/2006/relationships/hyperlink" Target="https://drive.google.com/open?id=191kOV0C3la36mATfLr-J_Ca8MROuKnpc" TargetMode="External"/><Relationship Id="rId2103" Type="http://schemas.openxmlformats.org/officeDocument/2006/relationships/hyperlink" Target="https://docs.google.com/forms/d/e/1FAIpQLSeEYwFnViiqk1AbexVe1VDR73UApmeuvfn6Yr2vN8WXjwGu2Q/viewform?edit2=2_ABaOnuevzJiBFf7S2CsfeJCZzOwl5urwIWFbFVrHFr9FkenyXwWQeYVxYWK3Pg6IPYB49bI&amp;source=documentstudio&amp;timestamp=1748917234592" TargetMode="External"/><Relationship Id="rId2310" Type="http://schemas.openxmlformats.org/officeDocument/2006/relationships/hyperlink" Target="https://drive.google.com/open?id=1l4vqhpHkb60TPHapxbR3ZXwQ1spTAjG_" TargetMode="External"/><Relationship Id="rId1869" Type="http://schemas.openxmlformats.org/officeDocument/2006/relationships/hyperlink" Target="https://drive.google.com/open?id=197PCj1mt2EGyAKbkJQyhXXqVyFeNL4oX" TargetMode="External"/><Relationship Id="rId1729" Type="http://schemas.openxmlformats.org/officeDocument/2006/relationships/hyperlink" Target="https://docs.google.com/forms/d/e/1FAIpQLSeEYwFnViiqk1AbexVe1VDR73UApmeuvfn6Yr2vN8WXjwGu2Q/viewform?edit2=2_ABaOnueGVjG0POdU0s3NaUsTTAx1TjinIylpPwW4SoVUJKSmc-MU01TClRTHBz8o8ycb0Ic&amp;source=documentstudio&amp;timestamp=1741341388376" TargetMode="External"/><Relationship Id="rId1936" Type="http://schemas.openxmlformats.org/officeDocument/2006/relationships/hyperlink" Target="https://docs.google.com/forms/d/e/1FAIpQLSeEYwFnViiqk1AbexVe1VDR73UApmeuvfn6Yr2vN8WXjwGu2Q/viewform?edit2=2_ABaOnuffeLv_TVOjsVcaIIT0CR-QTCBiGt6aoPacUE_ytncX8luR10P4qu46XBO8u3g81AU&amp;source=documentstudio&amp;timestamp=1745573631610" TargetMode="External"/><Relationship Id="rId5" Type="http://schemas.openxmlformats.org/officeDocument/2006/relationships/hyperlink" Target="https://drive.google.com/open?id=1YcLGt-9vwBwCySchq3yX9DXaPjbeV9c-" TargetMode="External"/><Relationship Id="rId889" Type="http://schemas.openxmlformats.org/officeDocument/2006/relationships/hyperlink" Target="https://docs.google.com/forms/d/e/1FAIpQLSeEYwFnViiqk1AbexVe1VDR73UApmeuvfn6Yr2vN8WXjwGu2Q/viewform?edit2=2_ABaOnueSKbhkZXRxU11E77ubi8fH9YCVTbq95IVIM9-kgDFK-Q2Vj2GB9ibf6TxqqOvCC5o&amp;source=documentstudio&amp;timestamp=1720490835928" TargetMode="External"/><Relationship Id="rId2777" Type="http://schemas.openxmlformats.org/officeDocument/2006/relationships/hyperlink" Target="https://docs.google.com/forms/d/e/1FAIpQLSeEYwFnViiqk1AbexVe1VDR73UApmeuvfn6Yr2vN8WXjwGu2Q/viewform?edit2=2_ABaOnuc2z5_EmBM7EgEQbBEOg0ex_6M9HXlklemu18V9K3SC54TZ2Jzur8V--4sdxH1nvK8&amp;source=documentstudio&amp;timestamp=1768960498089" TargetMode="External"/><Relationship Id="rId749" Type="http://schemas.openxmlformats.org/officeDocument/2006/relationships/hyperlink" Target="https://docs.google.com/forms/d/e/1FAIpQLSeEYwFnViiqk1AbexVe1VDR73UApmeuvfn6Yr2vN8WXjwGu2Q/viewform?edit2=2_ABaOnueLIGArfam0S3PAWbBomSmwAzo373Qj_ZcUfzDltS636hqvhOKKTTALvfbhPJrtSmo&amp;source=documentstudio&amp;timestamp=1718074949799" TargetMode="External"/><Relationship Id="rId1379" Type="http://schemas.openxmlformats.org/officeDocument/2006/relationships/hyperlink" Target="https://docs.google.com/forms/d/e/1FAIpQLSeEYwFnViiqk1AbexVe1VDR73UApmeuvfn6Yr2vN8WXjwGu2Q/viewform?edit2=2_ABaOnuce7ch4K2gI3nG2uF5hEGmDztrX4IZ7UVxfRZ1jbmll87OEEwZlrVS0Hxit5l27eTM&amp;source=documentstudio&amp;timestamp=1736407610649" TargetMode="External"/><Relationship Id="rId1586" Type="http://schemas.openxmlformats.org/officeDocument/2006/relationships/hyperlink" Target="https://drive.google.com/open?id=1iAGnCdZ_LPbXNnH0arabQXghoIPm5nF8" TargetMode="External"/><Relationship Id="rId609" Type="http://schemas.openxmlformats.org/officeDocument/2006/relationships/hyperlink" Target="https://drive.google.com/open?id=1dMe_96oco43aerKrHOZJ-7r1tpRa4hur" TargetMode="External"/><Relationship Id="rId956" Type="http://schemas.openxmlformats.org/officeDocument/2006/relationships/hyperlink" Target="https://drive.google.com/open?id=1iI-ybP2QWTMHkBpwZo1RAaOTMbMxeypO" TargetMode="External"/><Relationship Id="rId1239" Type="http://schemas.openxmlformats.org/officeDocument/2006/relationships/hyperlink" Target="https://docs.google.com/forms/d/e/1FAIpQLSeEYwFnViiqk1AbexVe1VDR73UApmeuvfn6Yr2vN8WXjwGu2Q/viewform?edit2=2_ABaOnufzQ93lE8Mwc1xSgk52DkdvQcn2Ev4cROwSN618z7ezHBIt3Bbcp6qx7lX7hg4oJQQ&amp;source=documentstudio&amp;timestamp=1731892853990" TargetMode="External"/><Relationship Id="rId1793" Type="http://schemas.openxmlformats.org/officeDocument/2006/relationships/hyperlink" Target="https://drive.google.com/open?id=1ACl-jO44YH_NhXOccvOJyuce1MkOEYVb" TargetMode="External"/><Relationship Id="rId2637" Type="http://schemas.openxmlformats.org/officeDocument/2006/relationships/hyperlink" Target="https://docs.google.com/forms/d/e/1FAIpQLSeEYwFnViiqk1AbexVe1VDR73UApmeuvfn6Yr2vN8WXjwGu2Q/viewform?edit2=2_ABaOnudMzzJXNZfUTBP1NNCReq1y5Aygd_VamrwbAuhZXJb_MpZHXAoLiem4MamLVGOSB1A&amp;source=documentstudio&amp;timestamp=1768787826693" TargetMode="External"/><Relationship Id="rId2844" Type="http://schemas.openxmlformats.org/officeDocument/2006/relationships/hyperlink" Target="https://drive.google.com/open?id=1Os1hPy2wPUcGfVzzgjFV0XzG4ush7GLM" TargetMode="External"/><Relationship Id="rId85" Type="http://schemas.openxmlformats.org/officeDocument/2006/relationships/hyperlink" Target="https://drive.google.com/open?id=1z2FEhsIYTHbBMTeEr7ZZ5WxCl5H2WYaJ" TargetMode="External"/><Relationship Id="rId816" Type="http://schemas.openxmlformats.org/officeDocument/2006/relationships/hyperlink" Target="https://drive.google.com/open?id=1c5awmlQfMHogI6jrVxvTpRAsWL7sx3Ma" TargetMode="External"/><Relationship Id="rId1446" Type="http://schemas.openxmlformats.org/officeDocument/2006/relationships/hyperlink" Target="https://drive.google.com/open?id=1AsSMnhSJwMtAyVEL7b0Fc47VhHZWmOPV" TargetMode="External"/><Relationship Id="rId1653" Type="http://schemas.openxmlformats.org/officeDocument/2006/relationships/hyperlink" Target="https://docs.google.com/forms/d/e/1FAIpQLSeEYwFnViiqk1AbexVe1VDR73UApmeuvfn6Yr2vN8WXjwGu2Q/viewform?edit2=2_ABaOnufIHf78hXhM74YQzr8vvz-cHeoFI-wcUgF_bVJvUlULR2seEFef8upsB9XJuSkpA-g&amp;source=documentstudio&amp;timestamp=1741333643074" TargetMode="External"/><Relationship Id="rId1860" Type="http://schemas.openxmlformats.org/officeDocument/2006/relationships/hyperlink" Target="https://docs.google.com/forms/d/e/1FAIpQLSeEYwFnViiqk1AbexVe1VDR73UApmeuvfn6Yr2vN8WXjwGu2Q/viewform?edit2=2_ABaOnufLxWrxdLYE1G8kKFWne_MYKFCCPs5o52pBIqcSiFdzxToxANT4BsQFs3vEzpRZ8X8&amp;source=documentstudio&amp;timestamp=1742180048687" TargetMode="External"/><Relationship Id="rId2704" Type="http://schemas.openxmlformats.org/officeDocument/2006/relationships/hyperlink" Target="https://drive.google.com/open?id=1j-6qfhN0YKfN4_SJr95qiylYvqlqSUDa" TargetMode="External"/><Relationship Id="rId2911" Type="http://schemas.openxmlformats.org/officeDocument/2006/relationships/hyperlink" Target="https://drive.google.com/open?id=1Li9rgOJLtEW85XDlXyKK-A3xhs2-lbc7" TargetMode="External"/><Relationship Id="rId1306" Type="http://schemas.openxmlformats.org/officeDocument/2006/relationships/hyperlink" Target="https://drive.google.com/open?id=1WSVqDjoY3CehUyRMSnnFZynFKGvK7liL" TargetMode="External"/><Relationship Id="rId1513" Type="http://schemas.openxmlformats.org/officeDocument/2006/relationships/hyperlink" Target="https://docs.google.com/forms/d/e/1FAIpQLSeEYwFnViiqk1AbexVe1VDR73UApmeuvfn6Yr2vN8WXjwGu2Q/viewform?edit2=2_ABaOnuexTV4Fx60ff0WpOb_Si-dSZRb5zBqVa8L32rQvPQfKMYW2bZ7BIL9V7fKVYzXe5es&amp;source=documentstudio&amp;timestamp=1739327740740" TargetMode="External"/><Relationship Id="rId1720" Type="http://schemas.openxmlformats.org/officeDocument/2006/relationships/hyperlink" Target="https://drive.google.com/open?id=1wGqihnKIG3uALBRebdPXt0IlV0e--FuY" TargetMode="External"/><Relationship Id="rId12" Type="http://schemas.openxmlformats.org/officeDocument/2006/relationships/hyperlink" Target="https://drive.google.com/open?id=1-KMlh6K2KXaHN_a4Z23d0AZ8iUhdLDbb" TargetMode="External"/><Relationship Id="rId399" Type="http://schemas.openxmlformats.org/officeDocument/2006/relationships/hyperlink" Target="https://drive.google.com/open?id=1PAZnuKtwItoydgsxf7WpKWOgbSQPJcSc" TargetMode="External"/><Relationship Id="rId2287" Type="http://schemas.openxmlformats.org/officeDocument/2006/relationships/hyperlink" Target="https://docs.google.com/forms/d/e/1FAIpQLSeEYwFnViiqk1AbexVe1VDR73UApmeuvfn6Yr2vN8WXjwGu2Q/viewform?edit2=2_ABaOnufOtSlKcOe-m-ThhEYub2dm3fqPJcTzKmc34zGThWKAWnXRxYw_H-RI6XqjvlPXKa0&amp;source=documentstudio&amp;timestamp=1757645902484" TargetMode="External"/><Relationship Id="rId2494" Type="http://schemas.openxmlformats.org/officeDocument/2006/relationships/hyperlink" Target="https://drive.google.com/open?id=1S9np_JGIvL4raFct_KbitR_x5xHdA5i2" TargetMode="External"/><Relationship Id="rId259" Type="http://schemas.openxmlformats.org/officeDocument/2006/relationships/hyperlink" Target="https://drive.google.com/open?id=1amIt-9nTvTc5qEr1EL3JaVdX-Y8TMbn5" TargetMode="External"/><Relationship Id="rId466" Type="http://schemas.openxmlformats.org/officeDocument/2006/relationships/hyperlink" Target="https://drive.google.com/open?id=1yVOKK-yWzHrcExue7IQZhHg8b79dwGaA" TargetMode="External"/><Relationship Id="rId673" Type="http://schemas.openxmlformats.org/officeDocument/2006/relationships/hyperlink" Target="https://docs.google.com/forms/d/e/1FAIpQLSeEYwFnViiqk1AbexVe1VDR73UApmeuvfn6Yr2vN8WXjwGu2Q/viewform?edit2=2_ABaOnuefAgsMgnoKag1Oja8Ul9-nE7fJH3pRbqUrmoSZM-_xW7f4zQAEXtems96xlP8vBRA&amp;source=documentstudio&amp;timestamp=1717389763921" TargetMode="External"/><Relationship Id="rId880" Type="http://schemas.openxmlformats.org/officeDocument/2006/relationships/hyperlink" Target="https://drive.google.com/open?id=12qsjRxh9CNAhQacmagkvzFbVhAmPd-_F" TargetMode="External"/><Relationship Id="rId1096" Type="http://schemas.openxmlformats.org/officeDocument/2006/relationships/hyperlink" Target="https://drive.google.com/open?id=1-egtA9SVspNzn8iFShQjXzRe1CXMizCb" TargetMode="External"/><Relationship Id="rId2147" Type="http://schemas.openxmlformats.org/officeDocument/2006/relationships/hyperlink" Target="https://docs.google.com/forms/d/e/1FAIpQLSeEYwFnViiqk1AbexVe1VDR73UApmeuvfn6Yr2vN8WXjwGu2Q/viewform?edit2=2_ABaOnufbXbE5XfMBp058Bj5aRsVXlMkTRV3sb35YBc4NZ4iF57P5IuUFAqe9eHniWIs97Mo&amp;source=documentstudio&amp;timestamp=1749518617852" TargetMode="External"/><Relationship Id="rId2354" Type="http://schemas.openxmlformats.org/officeDocument/2006/relationships/hyperlink" Target="https://drive.google.com/open?id=1ElRs8Z0zEk2qIDEgCHKjShjcSbN94Gk1" TargetMode="External"/><Relationship Id="rId2561" Type="http://schemas.openxmlformats.org/officeDocument/2006/relationships/hyperlink" Target="https://docs.google.com/forms/d/e/1FAIpQLSeEYwFnViiqk1AbexVe1VDR73UApmeuvfn6Yr2vN8WXjwGu2Q/viewform?edit2=2_ABaOnucHo5GSuYYWYBivFc3M-5Wu7F6ntNwzBqzTGfcjI20l_OJ21Gkm5m_C4b66BksMiyY&amp;source=documentstudio&amp;timestamp=1768461368350" TargetMode="External"/><Relationship Id="rId119" Type="http://schemas.openxmlformats.org/officeDocument/2006/relationships/hyperlink" Target="https://drive.google.com/open?id=1MC6LrioX1R7DTiVLIsf2Du3f6a-kfm0m" TargetMode="External"/><Relationship Id="rId326" Type="http://schemas.openxmlformats.org/officeDocument/2006/relationships/hyperlink" Target="https://drive.google.com/open?id=1qvY6NTJ3acPGaXCpW2bWv7L5VWdOdFnQ" TargetMode="External"/><Relationship Id="rId533" Type="http://schemas.openxmlformats.org/officeDocument/2006/relationships/hyperlink" Target="https://drive.google.com/open?id=1QmcdKxjliLk0VloZDeSxWDfjkYUJZVWZ" TargetMode="External"/><Relationship Id="rId1163" Type="http://schemas.openxmlformats.org/officeDocument/2006/relationships/hyperlink" Target="https://docs.google.com/forms/d/e/1FAIpQLSeEYwFnViiqk1AbexVe1VDR73UApmeuvfn6Yr2vN8WXjwGu2Q/viewform?edit2=2_ABaOnuc5SdC4iR3KNg6PqOwovsfroZ8oxxyJLwPpomtUx5VmQ2pu5jH928Otd0o6EM-3Q6Y&amp;source=documentstudio&amp;timestamp=1728260547112" TargetMode="External"/><Relationship Id="rId1370" Type="http://schemas.openxmlformats.org/officeDocument/2006/relationships/hyperlink" Target="https://drive.google.com/open?id=1HehFNorWhCdXtybnE_CiZtmhU1R060Yo" TargetMode="External"/><Relationship Id="rId2007" Type="http://schemas.openxmlformats.org/officeDocument/2006/relationships/hyperlink" Target="https://docs.google.com/forms/d/e/1FAIpQLSeEYwFnViiqk1AbexVe1VDR73UApmeuvfn6Yr2vN8WXjwGu2Q/viewform?edit2=2_ABaOnue3wSkBn8qO0ff1ozkQr8yUozp12Cf2oc6XOp7by0_pnRwe9tbf_RBnagSTCWqZ23o&amp;source=documentstudio&amp;timestamp=1748831362263" TargetMode="External"/><Relationship Id="rId2214" Type="http://schemas.openxmlformats.org/officeDocument/2006/relationships/hyperlink" Target="https://drive.google.com/open?id=1Kw3Dxvqx-yYvp-eTPi083fy69oRtfyip" TargetMode="External"/><Relationship Id="rId740" Type="http://schemas.openxmlformats.org/officeDocument/2006/relationships/hyperlink" Target="https://drive.google.com/open?id=1Z8plkON9HEkxmnyim2H2dUARm5oi4UM6" TargetMode="External"/><Relationship Id="rId1023" Type="http://schemas.openxmlformats.org/officeDocument/2006/relationships/hyperlink" Target="https://docs.google.com/forms/d/e/1FAIpQLSeEYwFnViiqk1AbexVe1VDR73UApmeuvfn6Yr2vN8WXjwGu2Q/viewform?edit2=2_ABaOnueaKivA9repZiWQ0sxj-l13bvmz0U4J9X-MIwr2CFrik6CKXDdo-1oUwl6PBCE4YTk&amp;source=documentstudio&amp;timestamp=1723622681176" TargetMode="External"/><Relationship Id="rId2421" Type="http://schemas.openxmlformats.org/officeDocument/2006/relationships/hyperlink" Target="https://docs.google.com/forms/d/e/1FAIpQLSeEYwFnViiqk1AbexVe1VDR73UApmeuvfn6Yr2vN8WXjwGu2Q/viewform?edit2=2_ABaOnudMjj_cRMI7gMAKGILTCevYc5fVIZv640-dzgUMPCxmjGhaHiHOFJKMXnp1nASaW0c&amp;source=documentstudio&amp;timestamp=1768439589516" TargetMode="External"/><Relationship Id="rId600" Type="http://schemas.openxmlformats.org/officeDocument/2006/relationships/hyperlink" Target="https://drive.google.com/open?id=1NtfWe0nejgTrXmK4ShmBRCKyBT39OSsx" TargetMode="External"/><Relationship Id="rId1230" Type="http://schemas.openxmlformats.org/officeDocument/2006/relationships/hyperlink" Target="https://drive.google.com/open?id=1ikk3HNf1wZsGORTnjWDNoGzhLRFOXycQ" TargetMode="External"/><Relationship Id="rId183" Type="http://schemas.openxmlformats.org/officeDocument/2006/relationships/hyperlink" Target="https://drive.google.com/open?id=1Ny4NdwBM6KuCaRFeGNNgJCmbWsCCLLGu" TargetMode="External"/><Relationship Id="rId390" Type="http://schemas.openxmlformats.org/officeDocument/2006/relationships/hyperlink" Target="https://drive.google.com/open?id=1bcQO58wwrtyhhoBGnzC7KmSoP5ietDED" TargetMode="External"/><Relationship Id="rId1907" Type="http://schemas.openxmlformats.org/officeDocument/2006/relationships/hyperlink" Target="https://drive.google.com/open?id=1nx2L5GjoBBwDqxI55D8_xLiDVVatvlzc" TargetMode="External"/><Relationship Id="rId2071" Type="http://schemas.openxmlformats.org/officeDocument/2006/relationships/hyperlink" Target="https://docs.google.com/forms/d/e/1FAIpQLSeEYwFnViiqk1AbexVe1VDR73UApmeuvfn6Yr2vN8WXjwGu2Q/viewform?edit2=2_ABaOnueqe1zk06n1tS-wcCBUOaXuedbxYvF3eomHBXRK9UQiEfmdscKlo9IJgYxrqRymPDQ&amp;source=documentstudio&amp;timestamp=1748846240752" TargetMode="External"/><Relationship Id="rId250" Type="http://schemas.openxmlformats.org/officeDocument/2006/relationships/hyperlink" Target="https://drive.google.com/open?id=1WptJ1g1hiI_VaGrrR3QZjtbNEa-6szhP" TargetMode="External"/><Relationship Id="rId110" Type="http://schemas.openxmlformats.org/officeDocument/2006/relationships/hyperlink" Target="https://drive.google.com/open?id=1HvaRo7tV9DJ6Mo8aVMorRGJCEOX0o156" TargetMode="External"/><Relationship Id="rId2888" Type="http://schemas.openxmlformats.org/officeDocument/2006/relationships/hyperlink" Target="https://docs.google.com/forms/d/e/1FAIpQLSeEYwFnViiqk1AbexVe1VDR73UApmeuvfn6Yr2vN8WXjwGu2Q/viewform?edit2=2_ABaOnuczF8LWyHGvPZ3oYrr86_kpJHSAT183UxON8mqHkeOI6XSyT09YO_WgD9ajafIAoWw&amp;source=documentstudio&amp;timestamp=1769484367150" TargetMode="External"/><Relationship Id="rId1697" Type="http://schemas.openxmlformats.org/officeDocument/2006/relationships/hyperlink" Target="https://drive.google.com/open?id=1lL3GN-ZwfHrE0hat_fC7kDXrMdaUstSR" TargetMode="External"/><Relationship Id="rId2748" Type="http://schemas.openxmlformats.org/officeDocument/2006/relationships/hyperlink" Target="https://drive.google.com/open?id=1SnbgWgIDegV57hlnwp_5qHmhZpF8Rw-r" TargetMode="External"/><Relationship Id="rId2955" Type="http://schemas.openxmlformats.org/officeDocument/2006/relationships/hyperlink" Target="https://drive.google.com/open?id=17ZMzguiCNojeDG0uZSJ4JsWLGiziZFbb" TargetMode="External"/><Relationship Id="rId927" Type="http://schemas.openxmlformats.org/officeDocument/2006/relationships/hyperlink" Target="https://docs.google.com/forms/d/e/1FAIpQLSeEYwFnViiqk1AbexVe1VDR73UApmeuvfn6Yr2vN8WXjwGu2Q/viewform?edit2=2_ABaOnud6EQP0Bqi9mjaclfj4rg8tIpp6us0Fhkq9VFNUfZ3ZEVwEHaP9v0EoK60FO5uHe44&amp;source=documentstudio&amp;timestamp=1721620244140" TargetMode="External"/><Relationship Id="rId1557" Type="http://schemas.openxmlformats.org/officeDocument/2006/relationships/hyperlink" Target="https://docs.google.com/forms/d/e/1FAIpQLSeEYwFnViiqk1AbexVe1VDR73UApmeuvfn6Yr2vN8WXjwGu2Q/viewform?edit2=2_ABaOnueKerQUtK7erhNQNak2yNZs_o56eOQbmMaaHsbZTzGcNu7y6vUz4VKC7n0R5c2XF-k&amp;source=documentstudio&amp;timestamp=1739328923949" TargetMode="External"/><Relationship Id="rId1764" Type="http://schemas.openxmlformats.org/officeDocument/2006/relationships/hyperlink" Target="https://docs.google.com/forms/d/e/1FAIpQLSeEYwFnViiqk1AbexVe1VDR73UApmeuvfn6Yr2vN8WXjwGu2Q/viewform?edit2=2_ABaOnudshuaDWb1t3CqLLi7PNAa6UbSzVFjTxVHC81O3WLScHq8NeoDgod260zX7Gr0IUx4&amp;source=documentstudio&amp;timestamp=1741573635396" TargetMode="External"/><Relationship Id="rId1971" Type="http://schemas.openxmlformats.org/officeDocument/2006/relationships/hyperlink" Target="https://drive.google.com/open?id=15YlWupRJeFkc6IBFjTUrB3lRfPsTixrf" TargetMode="External"/><Relationship Id="rId2608" Type="http://schemas.openxmlformats.org/officeDocument/2006/relationships/hyperlink" Target="https://drive.google.com/open?id=1csd7Df8COH-dbjn5d-4xZ3D4Ltd8oIJK" TargetMode="External"/><Relationship Id="rId2815" Type="http://schemas.openxmlformats.org/officeDocument/2006/relationships/hyperlink" Target="https://docs.google.com/forms/d/e/1FAIpQLSeEYwFnViiqk1AbexVe1VDR73UApmeuvfn6Yr2vN8WXjwGu2Q/viewform?edit2=2_ABaOnufwFOOcPhq-SMXjqBz3ttWz2-tdbRKaz2ob5Hz_rdMpIODGv8IhJIXvU7oaPGTOMls&amp;source=documentstudio&amp;timestamp=1769394239264" TargetMode="External"/><Relationship Id="rId56" Type="http://schemas.openxmlformats.org/officeDocument/2006/relationships/hyperlink" Target="https://drive.google.com/open?id=1tJyX2wXnxVTS-GhNcuYuxgVv3dlpjI9a" TargetMode="External"/><Relationship Id="rId1417" Type="http://schemas.openxmlformats.org/officeDocument/2006/relationships/hyperlink" Target="https://docs.google.com/forms/d/e/1FAIpQLSeEYwFnViiqk1AbexVe1VDR73UApmeuvfn6Yr2vN8WXjwGu2Q/viewform?edit2=2_ABaOnufZvCLOvefDvns7NWCbQuy6dQ9GdGXlQISEoF3Q2KZZjP7LIPH3Xez3OHqjyQcD3Fs&amp;source=documentstudio&amp;timestamp=1737446273239" TargetMode="External"/><Relationship Id="rId1624" Type="http://schemas.openxmlformats.org/officeDocument/2006/relationships/hyperlink" Target="https://drive.google.com/open?id=1Ri_aEbDMlkmmVwu75NehN1mxeiz24Z1d" TargetMode="External"/><Relationship Id="rId1831" Type="http://schemas.openxmlformats.org/officeDocument/2006/relationships/hyperlink" Target="https://drive.google.com/open?id=1Grv1aDOdqsxX5evn9CXem0BaLx0b4B1W" TargetMode="External"/><Relationship Id="rId2398" Type="http://schemas.openxmlformats.org/officeDocument/2006/relationships/hyperlink" Target="https://drive.google.com/open?id=1W_q7gGP97xl1ODHQd2fRfN4UUExyKkPe" TargetMode="External"/><Relationship Id="rId577" Type="http://schemas.openxmlformats.org/officeDocument/2006/relationships/hyperlink" Target="https://drive.google.com/open?id=16EV9PP2C9MwFc66crsIZ8I5aBTj9mJCX" TargetMode="External"/><Relationship Id="rId2258" Type="http://schemas.openxmlformats.org/officeDocument/2006/relationships/hyperlink" Target="https://drive.google.com/open?id=1x4f8RxEAcJb-k6DElDHHCJOuaVL-mgvd" TargetMode="External"/><Relationship Id="rId784" Type="http://schemas.openxmlformats.org/officeDocument/2006/relationships/hyperlink" Target="https://drive.google.com/open?id=1rhI_ejVp616gOZXQRFUBodbeP2xE802I" TargetMode="External"/><Relationship Id="rId991" Type="http://schemas.openxmlformats.org/officeDocument/2006/relationships/hyperlink" Target="https://docs.google.com/forms/d/e/1FAIpQLSeEYwFnViiqk1AbexVe1VDR73UApmeuvfn6Yr2vN8WXjwGu2Q/viewform?edit2=2_ABaOnufUIDLG7Rugqh0Bx89a8pyDribe7qNT1kFJyHRrH3K60BCJ_vI2h4wg0IYQiRr8AFo&amp;source=documentstudio&amp;timestamp=1723507163229" TargetMode="External"/><Relationship Id="rId1067" Type="http://schemas.openxmlformats.org/officeDocument/2006/relationships/hyperlink" Target="https://docs.google.com/forms/d/e/1FAIpQLSeEYwFnViiqk1AbexVe1VDR73UApmeuvfn6Yr2vN8WXjwGu2Q/viewform?edit2=2_ABaOnucPEXuiNlZhVdvV2-SMythK3PEmrl7WeIVVheiWywM6R1RL1U7waQJikgb_GvIFnyU&amp;source=documentstudio&amp;timestamp=1725846063800" TargetMode="External"/><Relationship Id="rId2465" Type="http://schemas.openxmlformats.org/officeDocument/2006/relationships/hyperlink" Target="https://docs.google.com/forms/d/e/1FAIpQLSeEYwFnViiqk1AbexVe1VDR73UApmeuvfn6Yr2vN8WXjwGu2Q/viewform?edit2=2_ABaOnucSOR-NWKcKlrRMb7eF4MPjwDZS6Wr939Fgkq_6FvxsGbE1oUMMtbbhv2IpWKDP1Bs&amp;source=documentstudio&amp;timestamp=1768442608637" TargetMode="External"/><Relationship Id="rId2672" Type="http://schemas.openxmlformats.org/officeDocument/2006/relationships/hyperlink" Target="https://drive.google.com/open?id=1xV-jl-61cBGnhL4DJ46ENbpjZKyqZ3eH" TargetMode="External"/><Relationship Id="rId437" Type="http://schemas.openxmlformats.org/officeDocument/2006/relationships/hyperlink" Target="https://drive.google.com/open?id=1S1O4rVxYC-KbzC4pM8HYFAzv0ACQbNk5" TargetMode="External"/><Relationship Id="rId644" Type="http://schemas.openxmlformats.org/officeDocument/2006/relationships/hyperlink" Target="https://drive.google.com/open?id=1An_mFAdKeCBfU5j7mOxvaA_W6SKo109K" TargetMode="External"/><Relationship Id="rId851" Type="http://schemas.openxmlformats.org/officeDocument/2006/relationships/hyperlink" Target="https://docs.google.com/forms/d/e/1FAIpQLSeEYwFnViiqk1AbexVe1VDR73UApmeuvfn6Yr2vN8WXjwGu2Q/viewform?edit2=2_ABaOnueaj4NZXi2NI4NV0JWGi29pCzhjtYhqymiVSHA5GpClf0SQjHnQfE7cXIP3ltFeEoY&amp;source=documentstudio&amp;timestamp=1720487839462" TargetMode="External"/><Relationship Id="rId1274" Type="http://schemas.openxmlformats.org/officeDocument/2006/relationships/hyperlink" Target="https://drive.google.com/open?id=1bM_SD1BgCEylj3G6yQ8wyavBYMV-vRbL" TargetMode="External"/><Relationship Id="rId1481" Type="http://schemas.openxmlformats.org/officeDocument/2006/relationships/hyperlink" Target="https://docs.google.com/forms/d/e/1FAIpQLSeEYwFnViiqk1AbexVe1VDR73UApmeuvfn6Yr2vN8WXjwGu2Q/viewform?edit2=2_ABaOnue-SCyPLaORNMu6IG8NYOQFriSfB3sJUzAizsUTdNW3iNZvPtZ7DoWh9-xQKF-aQn4&amp;source=documentstudio&amp;timestamp=1737509270372" TargetMode="External"/><Relationship Id="rId2118" Type="http://schemas.openxmlformats.org/officeDocument/2006/relationships/hyperlink" Target="https://drive.google.com/open?id=1Fs8Nqfq6Rv6JRBXqQV4-AIMH3vzsRAmL" TargetMode="External"/><Relationship Id="rId2325" Type="http://schemas.openxmlformats.org/officeDocument/2006/relationships/hyperlink" Target="https://docs.google.com/forms/d/e/1FAIpQLSeEYwFnViiqk1AbexVe1VDR73UApmeuvfn6Yr2vN8WXjwGu2Q/viewform?edit2=2_ABaOnuecTZk3_3L6kKJ_WFMUl5n_HSrzvTQ1KdL2nldRHErJuSrXlCsTq-cql_ETqqR8CNk&amp;source=documentstudio&amp;timestamp=1762136642091" TargetMode="External"/><Relationship Id="rId2532" Type="http://schemas.openxmlformats.org/officeDocument/2006/relationships/hyperlink" Target="https://drive.google.com/open?id=1NafOV6BMDIOIFFjTvrMIxH29rlaSEaZW" TargetMode="External"/><Relationship Id="rId504" Type="http://schemas.openxmlformats.org/officeDocument/2006/relationships/hyperlink" Target="https://drive.google.com/open?id=1zpgllUgz8nYLIJSzf_nJd3nFUt76aoXL" TargetMode="External"/><Relationship Id="rId711" Type="http://schemas.openxmlformats.org/officeDocument/2006/relationships/hyperlink" Target="https://docs.google.com/forms/d/e/1FAIpQLSeEYwFnViiqk1AbexVe1VDR73UApmeuvfn6Yr2vN8WXjwGu2Q/viewform?edit2=2_ABaOnue6UsGLo8iPpd0xllfOk2uEdH5cLUBsBElFrXvqsETwMdZ94Xq_ezolf-7-6cVRtB8&amp;source=documentstudio&amp;timestamp=1717559623641" TargetMode="External"/><Relationship Id="rId1134" Type="http://schemas.openxmlformats.org/officeDocument/2006/relationships/hyperlink" Target="https://drive.google.com/open?id=13JV2ImkEUQtnCJQRmlPLteF6hbOAHXwP" TargetMode="External"/><Relationship Id="rId1341" Type="http://schemas.openxmlformats.org/officeDocument/2006/relationships/hyperlink" Target="https://docs.google.com/forms/d/e/1FAIpQLSeEYwFnViiqk1AbexVe1VDR73UApmeuvfn6Yr2vN8WXjwGu2Q/viewform?edit2=2_ABaOnudSsQCzZCyMBo5DwoKanzqT0yoqrEhZQRrkB6NDZTUmJ1snzKz8ZgdZnbsnSfX5rnU&amp;source=documentstudio&amp;timestamp=1736136262987" TargetMode="External"/><Relationship Id="rId1201" Type="http://schemas.openxmlformats.org/officeDocument/2006/relationships/hyperlink" Target="https://docs.google.com/forms/d/e/1FAIpQLSeEYwFnViiqk1AbexVe1VDR73UApmeuvfn6Yr2vN8WXjwGu2Q/viewform?edit2=2_ABaOnuf4n6WRXISg96_cm5WaBoDBjrVybfF0dLjiUR-YSZ0QKjLEMb_W5XIJK9MZpfkmbng&amp;source=documentstudio&amp;timestamp=1730950726148" TargetMode="External"/><Relationship Id="rId294" Type="http://schemas.openxmlformats.org/officeDocument/2006/relationships/hyperlink" Target="https://drive.google.com/open?id=1hSn6i8gF7kBeQMqopvwC_0gNaUjo-8Zp" TargetMode="External"/><Relationship Id="rId2182" Type="http://schemas.openxmlformats.org/officeDocument/2006/relationships/hyperlink" Target="https://drive.google.com/open?id=1Q47kmcZ93Oq4mwQlIP7sRxhnuwAjad6U" TargetMode="External"/><Relationship Id="rId154" Type="http://schemas.openxmlformats.org/officeDocument/2006/relationships/hyperlink" Target="https://drive.google.com/open?id=18A7qqLpVatp6zvuU-VjPSQpfcwCKyBnQ" TargetMode="External"/><Relationship Id="rId361" Type="http://schemas.openxmlformats.org/officeDocument/2006/relationships/hyperlink" Target="https://drive.google.com/open?id=16q5oHl7toP1kqa-FW2W60IWfKpuVE_b0" TargetMode="External"/><Relationship Id="rId2042" Type="http://schemas.openxmlformats.org/officeDocument/2006/relationships/hyperlink" Target="https://drive.google.com/open?id=1r9Zko8q0W-f1VT-4-yKeql8E_8L_6EMX" TargetMode="External"/><Relationship Id="rId221" Type="http://schemas.openxmlformats.org/officeDocument/2006/relationships/hyperlink" Target="https://drive.google.com/open?id=1T4RnL3LHfuLs01WWxPGX348uA59H4mt9" TargetMode="External"/><Relationship Id="rId2859" Type="http://schemas.openxmlformats.org/officeDocument/2006/relationships/hyperlink" Target="https://docs.google.com/forms/d/e/1FAIpQLSeEYwFnViiqk1AbexVe1VDR73UApmeuvfn6Yr2vN8WXjwGu2Q/viewform?edit2=2_ABaOnud4xEQgEsyeNUqNr27YsSRXJ6oMSkJKriJaATu9qzN-NsqmqCs1mXzgklmGsk0e4oY&amp;source=documentstudio&amp;timestamp=1769416133616" TargetMode="External"/><Relationship Id="rId1668" Type="http://schemas.openxmlformats.org/officeDocument/2006/relationships/hyperlink" Target="https://drive.google.com/open?id=1yRbHdtWq9fSaqmCV0I8f8GeTx-ZOAov4" TargetMode="External"/><Relationship Id="rId1875" Type="http://schemas.openxmlformats.org/officeDocument/2006/relationships/hyperlink" Target="https://drive.google.com/open?id=12pRPBBeZWUqwbfmoLIIEMZ5oC30QSwJs" TargetMode="External"/><Relationship Id="rId2719" Type="http://schemas.openxmlformats.org/officeDocument/2006/relationships/hyperlink" Target="https://docs.google.com/forms/d/e/1FAIpQLSeEYwFnViiqk1AbexVe1VDR73UApmeuvfn6Yr2vN8WXjwGu2Q/viewform?edit2=2_ABaOnueh71hoNsjHUlYBWz2tjlEi9GsyA4qicdvfioOxG06f9rJeswVQRq7ycyPkk28wMpU&amp;source=documentstudio&amp;timestamp=1768794805627" TargetMode="External"/><Relationship Id="rId1528" Type="http://schemas.openxmlformats.org/officeDocument/2006/relationships/hyperlink" Target="https://drive.google.com/open?id=1A6l_k8hUf5q5lcA4Q7fAEbCfMXEZOesj" TargetMode="External"/><Relationship Id="rId2926" Type="http://schemas.openxmlformats.org/officeDocument/2006/relationships/hyperlink" Target="https://docs.google.com/forms/d/e/1FAIpQLSeEYwFnViiqk1AbexVe1VDR73UApmeuvfn6Yr2vN8WXjwGu2Q/viewform?edit2=2_ABaOnufvMDnVYSY-NOjQ2iPaR_MSVolIha-X1ylR5RhHWwrTBMFg-piWK0T-Qpz_u8yroaA&amp;source=documentstudio&amp;timestamp=1769588145045" TargetMode="External"/><Relationship Id="rId1735" Type="http://schemas.openxmlformats.org/officeDocument/2006/relationships/hyperlink" Target="https://docs.google.com/forms/d/e/1FAIpQLSeEYwFnViiqk1AbexVe1VDR73UApmeuvfn6Yr2vN8WXjwGu2Q/viewform?edit2=2_ABaOnucWw4fRXnbKLbZdDVsE3ddN7narsSbmJ6JIlHIPTYXF7VJuSEpM6U2EPPpyZI7Q1os&amp;source=documentstudio&amp;timestamp=1741418021618" TargetMode="External"/><Relationship Id="rId1942" Type="http://schemas.openxmlformats.org/officeDocument/2006/relationships/hyperlink" Target="https://docs.google.com/forms/d/e/1FAIpQLSeEYwFnViiqk1AbexVe1VDR73UApmeuvfn6Yr2vN8WXjwGu2Q/viewform?edit2=2_ABaOnucvGiTpYVGgCMEx6wwYpyuK0Il7s9oQIGRdlquha0XeTG3LvLMFMLusFHtLfmaB_RI&amp;source=documentstudio&amp;timestamp=1746428659455" TargetMode="External"/><Relationship Id="rId27" Type="http://schemas.openxmlformats.org/officeDocument/2006/relationships/hyperlink" Target="https://drive.google.com/open?id=1hphIPbomF55up2f22CrfqFLEcbX6PAuB" TargetMode="External"/><Relationship Id="rId1802" Type="http://schemas.openxmlformats.org/officeDocument/2006/relationships/hyperlink" Target="https://docs.google.com/forms/d/e/1FAIpQLSeEYwFnViiqk1AbexVe1VDR73UApmeuvfn6Yr2vN8WXjwGu2Q/viewform?edit2=2_ABaOnuf9zbQUiFDsRkWQHVGn8TJpsW2n_2AkHq37dS6LJBRwNVsaHPI6pIAJ_1wrMt6EiwY&amp;source=documentstudio&amp;timestamp=1741747373579" TargetMode="External"/><Relationship Id="rId688" Type="http://schemas.openxmlformats.org/officeDocument/2006/relationships/hyperlink" Target="https://drive.google.com/open?id=1MaYLoU6WfSBvBemQWsqUSUPJNJfbgWjZ" TargetMode="External"/><Relationship Id="rId895" Type="http://schemas.openxmlformats.org/officeDocument/2006/relationships/hyperlink" Target="https://docs.google.com/forms/d/e/1FAIpQLSeEYwFnViiqk1AbexVe1VDR73UApmeuvfn6Yr2vN8WXjwGu2Q/viewform?edit2=2_ABaOnucLTBlnrkyD1gj53KtFWM3tlZHoR8wdYeJNth5ImzRE0OtBr0Rvdr8f7A73pB4J6eY&amp;source=documentstudio&amp;timestamp=1720492872640" TargetMode="External"/><Relationship Id="rId2369" Type="http://schemas.openxmlformats.org/officeDocument/2006/relationships/hyperlink" Target="https://docs.google.com/forms/d/e/1FAIpQLSeEYwFnViiqk1AbexVe1VDR73UApmeuvfn6Yr2vN8WXjwGu2Q/viewform?edit2=2_ABaOnufqmZK6DQ1m-l5jGmJ2ODTchk7afBMmKHROMszgQOKrxUGGIi4WJ3j_-KW7b24uRgw&amp;source=documentstudio&amp;timestamp=1768379767235" TargetMode="External"/><Relationship Id="rId2576" Type="http://schemas.openxmlformats.org/officeDocument/2006/relationships/hyperlink" Target="https://drive.google.com/open?id=1zd03Wp9Tc4yIA8kW5Cx78GgP1B7iviHr" TargetMode="External"/><Relationship Id="rId2783" Type="http://schemas.openxmlformats.org/officeDocument/2006/relationships/hyperlink" Target="https://docs.google.com/forms/d/e/1FAIpQLSeEYwFnViiqk1AbexVe1VDR73UApmeuvfn6Yr2vN8WXjwGu2Q/viewform?edit2=2_ABaOnueaGHqdSeD1J7cY9g38lB_1ejPdNCJ3phvP2f9XWSN_bGI0Lgglor43lvUQGq5Qdo0&amp;source=documentstudio&amp;timestamp=1768960572566" TargetMode="External"/><Relationship Id="rId548" Type="http://schemas.openxmlformats.org/officeDocument/2006/relationships/hyperlink" Target="https://drive.google.com/open?id=1HzUDu7k4wZ0XKzO7oSZUMws6RbDHjfWX" TargetMode="External"/><Relationship Id="rId755" Type="http://schemas.openxmlformats.org/officeDocument/2006/relationships/hyperlink" Target="https://docs.google.com/forms/d/e/1FAIpQLSeEYwFnViiqk1AbexVe1VDR73UApmeuvfn6Yr2vN8WXjwGu2Q/viewform?edit2=2_ABaOnuc3Acsm2eHQz5Gcge9Mwi6Y_1oplGiNaJHobezIsRPaLttyeCsoOrYC1KAhTxS1hmU&amp;source=documentstudio&amp;timestamp=1718176204954" TargetMode="External"/><Relationship Id="rId962" Type="http://schemas.openxmlformats.org/officeDocument/2006/relationships/hyperlink" Target="https://drive.google.com/open?id=1C7sF1MGHJMeVyQUcoKNrcXNyy1DdukkN" TargetMode="External"/><Relationship Id="rId1178" Type="http://schemas.openxmlformats.org/officeDocument/2006/relationships/hyperlink" Target="https://drive.google.com/open?id=11Sov4bHalJ0JuxKI7JvMtU7V-KCVj0KG" TargetMode="External"/><Relationship Id="rId1385" Type="http://schemas.openxmlformats.org/officeDocument/2006/relationships/hyperlink" Target="https://docs.google.com/forms/d/e/1FAIpQLSeEYwFnViiqk1AbexVe1VDR73UApmeuvfn6Yr2vN8WXjwGu2Q/viewform?edit2=2_ABaOnucdzK_IIgQb0aHWBicpTO6J9OdoZkHAWagKnartMBs7CkLfl6bO0v4YpSlfiVScQmo&amp;source=documentstudio&amp;timestamp=1736474514560" TargetMode="External"/><Relationship Id="rId1592" Type="http://schemas.openxmlformats.org/officeDocument/2006/relationships/hyperlink" Target="https://drive.google.com/open?id=1oqLHhiwjzJPzqGBZjaYXYHkZooPLs5JN" TargetMode="External"/><Relationship Id="rId2229" Type="http://schemas.openxmlformats.org/officeDocument/2006/relationships/hyperlink" Target="https://docs.google.com/forms/d/e/1FAIpQLSeEYwFnViiqk1AbexVe1VDR73UApmeuvfn6Yr2vN8WXjwGu2Q/viewform?edit2=2_ABaOnucN8YOKqtRKIJ6PmEzSAVuN2svtMzychcrOy7c1vv9hV92UotuzYaI6A5EQDopMW_E&amp;source=documentstudio&amp;timestamp=1753525955135" TargetMode="External"/><Relationship Id="rId2436" Type="http://schemas.openxmlformats.org/officeDocument/2006/relationships/hyperlink" Target="https://drive.google.com/open?id=1sMKxmWBNKMcYGH7fhZTQ6pRc9u2PUcCT" TargetMode="External"/><Relationship Id="rId2643" Type="http://schemas.openxmlformats.org/officeDocument/2006/relationships/hyperlink" Target="https://docs.google.com/forms/d/e/1FAIpQLSeEYwFnViiqk1AbexVe1VDR73UApmeuvfn6Yr2vN8WXjwGu2Q/viewform?edit2=2_ABaOnueZzO9nOczxyfar6qRDmPrFga8Rrl_EkCNVe5RHhC81PKUzxRqY5ywDSyZ8RGhbKYg&amp;source=documentstudio&amp;timestamp=1768787873112" TargetMode="External"/><Relationship Id="rId2850" Type="http://schemas.openxmlformats.org/officeDocument/2006/relationships/hyperlink" Target="https://drive.google.com/open?id=1sNcDCeQhl22m5W-lmPPL5fh0JBqhrB9k" TargetMode="External"/><Relationship Id="rId91" Type="http://schemas.openxmlformats.org/officeDocument/2006/relationships/hyperlink" Target="https://drive.google.com/open?id=1QGbFcbaKUL2GEL3WrEaSoe5QOhHRgRWL" TargetMode="External"/><Relationship Id="rId408" Type="http://schemas.openxmlformats.org/officeDocument/2006/relationships/hyperlink" Target="https://drive.google.com/open?id=1e5_KOyEMKfU8sh0Q_TmoeYnFklh6xSd4" TargetMode="External"/><Relationship Id="rId615" Type="http://schemas.openxmlformats.org/officeDocument/2006/relationships/hyperlink" Target="https://docs.google.com/forms/d/e/1FAIpQLSeEYwFnViiqk1AbexVe1VDR73UApmeuvfn6Yr2vN8WXjwGu2Q/viewform?edit2=2_ABaOnufvDvMB4fEqodsNL2i5_8gXfcEhhtoEfH0C6YPnu8GvEtGgxWfK4u5sVCD5pxHWC3s&amp;source=documentstudio&amp;timestamp=1715566745763" TargetMode="External"/><Relationship Id="rId822" Type="http://schemas.openxmlformats.org/officeDocument/2006/relationships/hyperlink" Target="https://drive.google.com/open?id=1npQU-hYUFWHo3XKItUbOXTr5ZU8kT2A-" TargetMode="External"/><Relationship Id="rId1038" Type="http://schemas.openxmlformats.org/officeDocument/2006/relationships/hyperlink" Target="https://drive.google.com/open?id=132jc5fPtP2q2n2xRCoTLbIXVJWhExKzh" TargetMode="External"/><Relationship Id="rId1245" Type="http://schemas.openxmlformats.org/officeDocument/2006/relationships/hyperlink" Target="https://docs.google.com/forms/d/e/1FAIpQLSeEYwFnViiqk1AbexVe1VDR73UApmeuvfn6Yr2vN8WXjwGu2Q/viewform?edit2=2_ABaOnudeluFiU4TUSl9oSS6ZptQ-QpSZaCcY2fKy_ibaPi94tCRzp4S0c2skK8NvqSrg39o&amp;source=documentstudio&amp;timestamp=1731906505840" TargetMode="External"/><Relationship Id="rId1452" Type="http://schemas.openxmlformats.org/officeDocument/2006/relationships/hyperlink" Target="https://drive.google.com/open?id=18twyRapx3LQxb78HiCNi5-IaqcDcAmcw" TargetMode="External"/><Relationship Id="rId2503" Type="http://schemas.openxmlformats.org/officeDocument/2006/relationships/hyperlink" Target="https://docs.google.com/forms/d/e/1FAIpQLSeEYwFnViiqk1AbexVe1VDR73UApmeuvfn6Yr2vN8WXjwGu2Q/viewform?edit2=2_ABaOnufbn1W6vsO-sx-JUOlDEWPIMLh2u7xTdt6MOut_RlRR_8r2QFE4v8eQpt2QtfXd_c4&amp;source=documentstudio&amp;timestamp=1768443446045" TargetMode="External"/><Relationship Id="rId1105" Type="http://schemas.openxmlformats.org/officeDocument/2006/relationships/hyperlink" Target="https://docs.google.com/forms/d/e/1FAIpQLSeEYwFnViiqk1AbexVe1VDR73UApmeuvfn6Yr2vN8WXjwGu2Q/viewform?edit2=2_ABaOnudn3CvunKyOmwavb427bdLfAlVW6bIxTpe4zD5hkB9STSWawdY8_tYExKcvdi91-68&amp;source=documentstudio&amp;timestamp=1726619649464" TargetMode="External"/><Relationship Id="rId1312" Type="http://schemas.openxmlformats.org/officeDocument/2006/relationships/hyperlink" Target="https://drive.google.com/open?id=1WdpfWFqs4mBTkZ7XSyuAwpM1XfuDNvw2" TargetMode="External"/><Relationship Id="rId2710" Type="http://schemas.openxmlformats.org/officeDocument/2006/relationships/hyperlink" Target="https://drive.google.com/open?id=1vpXX3OIBvK9tS4OinEruSEIMMOekMta1" TargetMode="External"/><Relationship Id="rId198" Type="http://schemas.openxmlformats.org/officeDocument/2006/relationships/hyperlink" Target="https://drive.google.com/open?id=16Ux2ab2Wx5YzUu-v-tPT3C9n6XXz3ZLv" TargetMode="External"/><Relationship Id="rId2086" Type="http://schemas.openxmlformats.org/officeDocument/2006/relationships/hyperlink" Target="https://drive.google.com/open?id=1BA1g3vbeZUzLg4LtsWhbwBuH33uE2In9" TargetMode="External"/><Relationship Id="rId2293" Type="http://schemas.openxmlformats.org/officeDocument/2006/relationships/hyperlink" Target="https://docs.google.com/forms/d/e/1FAIpQLSeEYwFnViiqk1AbexVe1VDR73UApmeuvfn6Yr2vN8WXjwGu2Q/viewform?edit2=2_ABaOnudCk2mWtGrfMI8JrziPz2J-4fgqsmXDLyJjxvk_rvjWIUUrj2nK-DMtCK83kVTojx0&amp;source=documentstudio&amp;timestamp=1759743896352" TargetMode="External"/><Relationship Id="rId265" Type="http://schemas.openxmlformats.org/officeDocument/2006/relationships/hyperlink" Target="https://drive.google.com/open?id=1Qm6mc80xDd31qQ0ASrHmmwOcMhR7YdtX" TargetMode="External"/><Relationship Id="rId472" Type="http://schemas.openxmlformats.org/officeDocument/2006/relationships/hyperlink" Target="https://drive.google.com/open?id=1UfwtRPmp-lyV788OdcY1divZLxo-rJ-4" TargetMode="External"/><Relationship Id="rId2153" Type="http://schemas.openxmlformats.org/officeDocument/2006/relationships/hyperlink" Target="https://docs.google.com/forms/d/e/1FAIpQLSeEYwFnViiqk1AbexVe1VDR73UApmeuvfn6Yr2vN8WXjwGu2Q/viewform?edit2=2_ABaOnucyp_eAcZ_xIEvTYs9ZG6Bpeo1fZ_lYeAwmRgeWKc74fb_2MP4wVTfXKEC8UCdt7g0&amp;source=documentstudio&amp;timestamp=1749528669854" TargetMode="External"/><Relationship Id="rId2360" Type="http://schemas.openxmlformats.org/officeDocument/2006/relationships/hyperlink" Target="https://drive.google.com/open?id=1Wa1ng9Ul99jsYgBDlGT7TOycapR8UL6m" TargetMode="External"/><Relationship Id="rId125" Type="http://schemas.openxmlformats.org/officeDocument/2006/relationships/hyperlink" Target="https://drive.google.com/open?id=16sUqMhAKMykMqzVPjFUFi4nEtfm9ZFIs" TargetMode="External"/><Relationship Id="rId332" Type="http://schemas.openxmlformats.org/officeDocument/2006/relationships/hyperlink" Target="https://drive.google.com/open?id=1NbiMwSD9kZmXhOwXzhXOm_ueg5G_p1lX" TargetMode="External"/><Relationship Id="rId2013" Type="http://schemas.openxmlformats.org/officeDocument/2006/relationships/hyperlink" Target="https://docs.google.com/forms/d/e/1FAIpQLSeEYwFnViiqk1AbexVe1VDR73UApmeuvfn6Yr2vN8WXjwGu2Q/viewform?edit2=2_ABaOnudLErHGpifp7ZEL4vZ6hTKfjbAb7zJC_h75SQ97YFlpwIkiU3C3ikX7IadWMKuDT_E&amp;source=documentstudio&amp;timestamp=1748831437617" TargetMode="External"/><Relationship Id="rId2220" Type="http://schemas.openxmlformats.org/officeDocument/2006/relationships/hyperlink" Target="https://drive.google.com/open?id=1ItvhOzUGlMGJ7yaoror_t_-sG28sy8PB" TargetMode="External"/><Relationship Id="rId1779" Type="http://schemas.openxmlformats.org/officeDocument/2006/relationships/hyperlink" Target="https://drive.google.com/open?id=1DffRPpPqNTVUcC26r3qUeK5tmp3TInT6" TargetMode="External"/><Relationship Id="rId1986" Type="http://schemas.openxmlformats.org/officeDocument/2006/relationships/hyperlink" Target="https://drive.google.com/open?id=1MxhsoeVWQ7g-E8SJgGtWTb5lZt8okZoU" TargetMode="External"/><Relationship Id="rId1639" Type="http://schemas.openxmlformats.org/officeDocument/2006/relationships/hyperlink" Target="https://docs.google.com/forms/d/e/1FAIpQLSeEYwFnViiqk1AbexVe1VDR73UApmeuvfn6Yr2vN8WXjwGu2Q/viewform?edit2=2_ABaOnudA2wn4DjcK5Sf4V0DFij39RaalHatFWSdEY-GFeEKKErOPs80YkLgIz2MqN67w02g&amp;source=documentstudio&amp;timestamp=1741332693807" TargetMode="External"/><Relationship Id="rId1846" Type="http://schemas.openxmlformats.org/officeDocument/2006/relationships/hyperlink" Target="https://docs.google.com/forms/d/e/1FAIpQLSeEYwFnViiqk1AbexVe1VDR73UApmeuvfn6Yr2vN8WXjwGu2Q/viewform?edit2=2_ABaOnufmQONWPw9vAZ5taGBMmdtGXB4Dxy4y6ZjRlCxouhc21W6X0WOa7ztMqkwruAdA3yk&amp;source=documentstudio&amp;timestamp=1742021456774" TargetMode="External"/><Relationship Id="rId1706" Type="http://schemas.openxmlformats.org/officeDocument/2006/relationships/hyperlink" Target="https://docs.google.com/forms/d/e/1FAIpQLSeEYwFnViiqk1AbexVe1VDR73UApmeuvfn6Yr2vN8WXjwGu2Q/viewform?edit2=2_ABaOnuew0MRiNARq70G6BnOxdxtlKQkiE5VdjnC0NZyHf2CAMJZHnc7PBfHt6EWrzwMHoyE&amp;source=documentstudio&amp;timestamp=1741336401202" TargetMode="External"/><Relationship Id="rId1913" Type="http://schemas.openxmlformats.org/officeDocument/2006/relationships/hyperlink" Target="https://drive.google.com/open?id=1mNK7Zdso0WFzwDP8H8AGQKor_MuuRfaV" TargetMode="External"/><Relationship Id="rId799" Type="http://schemas.openxmlformats.org/officeDocument/2006/relationships/hyperlink" Target="https://docs.google.com/forms/d/e/1FAIpQLSeEYwFnViiqk1AbexVe1VDR73UApmeuvfn6Yr2vN8WXjwGu2Q/viewform?edit2=2_ABaOnudHcyuxXMyz2LlQenOk9qE-L6m7K1VBOZBtqhSpLy90e53ulla_0zbAxdk5QZL8f5c&amp;source=documentstudio&amp;timestamp=1719968163851" TargetMode="External"/><Relationship Id="rId2687" Type="http://schemas.openxmlformats.org/officeDocument/2006/relationships/hyperlink" Target="https://docs.google.com/forms/d/e/1FAIpQLSeEYwFnViiqk1AbexVe1VDR73UApmeuvfn6Yr2vN8WXjwGu2Q/viewform?edit2=2_ABaOnuc79Sp3t3UuK6WLwY5r21PWTzbAzUpBR-rl3xSd9LV-lZPrZDRBAJuEUgpx7pKqS4M&amp;source=documentstudio&amp;timestamp=1768791831298" TargetMode="External"/><Relationship Id="rId2894" Type="http://schemas.openxmlformats.org/officeDocument/2006/relationships/hyperlink" Target="https://docs.google.com/forms/d/e/1FAIpQLSeEYwFnViiqk1AbexVe1VDR73UApmeuvfn6Yr2vN8WXjwGu2Q/viewform?edit2=2_ABaOnud2vbwfLvX2OF4BWBcid9_eoePbC73d63IuASum7_b7m8YC1FZ2SGGFxS40Ooj1haI&amp;source=documentstudio&amp;timestamp=1769486416015" TargetMode="External"/><Relationship Id="rId659" Type="http://schemas.openxmlformats.org/officeDocument/2006/relationships/hyperlink" Target="https://docs.google.com/forms/d/e/1FAIpQLSeEYwFnViiqk1AbexVe1VDR73UApmeuvfn6Yr2vN8WXjwGu2Q/viewform?edit2=2_ABaOnucbdAmoW6cXD_Y4Pl0y3qwfRzDOQI2rrPsiKqmOntiAaIMu4t_YCMGPbW1gVaBRwOg&amp;source=documentstudio&amp;timestamp=1717389086027" TargetMode="External"/><Relationship Id="rId866" Type="http://schemas.openxmlformats.org/officeDocument/2006/relationships/hyperlink" Target="https://drive.google.com/open?id=1X8Za9mAwcn9OOWIqSxb0X4R7XTrU2HOb" TargetMode="External"/><Relationship Id="rId1289" Type="http://schemas.openxmlformats.org/officeDocument/2006/relationships/hyperlink" Target="https://docs.google.com/forms/d/e/1FAIpQLSeEYwFnViiqk1AbexVe1VDR73UApmeuvfn6Yr2vN8WXjwGu2Q/viewform?edit2=2_ABaOnucH7wog9xoxVxCfVlbIuCRddwUvCCiRLLLNAs2jriMWSH7QaSIPrWYcwJqPaHiT6Ys&amp;source=documentstudio&amp;timestamp=1733707862043" TargetMode="External"/><Relationship Id="rId1496" Type="http://schemas.openxmlformats.org/officeDocument/2006/relationships/hyperlink" Target="https://drive.google.com/open?id=19Uv1MKRPlGqopeeCO6GCxS6yM0qpDGac" TargetMode="External"/><Relationship Id="rId2547" Type="http://schemas.openxmlformats.org/officeDocument/2006/relationships/hyperlink" Target="https://docs.google.com/forms/d/e/1FAIpQLSeEYwFnViiqk1AbexVe1VDR73UApmeuvfn6Yr2vN8WXjwGu2Q/viewform?edit2=2_ABaOnueEqdHwLu3e29qIiepf72t9Ytmxn3JvkYXuUtUBAK2pG9RRY89ERAw3nJYMcvlzxrE&amp;source=documentstudio&amp;timestamp=1768460403375" TargetMode="External"/><Relationship Id="rId519" Type="http://schemas.openxmlformats.org/officeDocument/2006/relationships/hyperlink" Target="https://drive.google.com/open?id=1VR4GrUWC6LZ9lly1CKRmb3iAUBssG4GX" TargetMode="External"/><Relationship Id="rId1149" Type="http://schemas.openxmlformats.org/officeDocument/2006/relationships/hyperlink" Target="https://docs.google.com/forms/d/e/1FAIpQLSeEYwFnViiqk1AbexVe1VDR73UApmeuvfn6Yr2vN8WXjwGu2Q/viewform?edit2=2_ABaOnueKlsmIHYplaFvSADRyY7vRainIFs8-RorV-DVEsAlpOml7UDVclYI6i2C60SQeuKQ&amp;source=documentstudio&amp;timestamp=1728021675597" TargetMode="External"/><Relationship Id="rId1356" Type="http://schemas.openxmlformats.org/officeDocument/2006/relationships/hyperlink" Target="https://drive.google.com/open?id=1LMqDSU0uZKMHdGAwSVLFs2-pVyFaa3Fr" TargetMode="External"/><Relationship Id="rId2754" Type="http://schemas.openxmlformats.org/officeDocument/2006/relationships/hyperlink" Target="https://drive.google.com/open?id=1qS3vPt8HLjpdj2R2GC2rWQPcJUPVOxhn" TargetMode="External"/><Relationship Id="rId2961" Type="http://schemas.openxmlformats.org/officeDocument/2006/relationships/hyperlink" Target="https://drive.google.com/open?id=1mPpiI2m7AY_g0SIpsW3HeYrDRYHvTIeP" TargetMode="External"/><Relationship Id="rId726" Type="http://schemas.openxmlformats.org/officeDocument/2006/relationships/hyperlink" Target="https://drive.google.com/open?id=1cPRc_wnsT55jELU0Wj2BO-RvTcglKq2z" TargetMode="External"/><Relationship Id="rId933" Type="http://schemas.openxmlformats.org/officeDocument/2006/relationships/hyperlink" Target="https://docs.google.com/forms/d/e/1FAIpQLSeEYwFnViiqk1AbexVe1VDR73UApmeuvfn6Yr2vN8WXjwGu2Q/viewform?edit2=2_ABaOnud9gJ-CreIbxOTmoYYK4BlcEZKWT7SRp_vPSMnZSFu9I01Ovk6GFT9CZEHDb1OP_r4&amp;source=documentstudio&amp;timestamp=1721620475009" TargetMode="External"/><Relationship Id="rId1009" Type="http://schemas.openxmlformats.org/officeDocument/2006/relationships/hyperlink" Target="https://docs.google.com/forms/d/e/1FAIpQLSeEYwFnViiqk1AbexVe1VDR73UApmeuvfn6Yr2vN8WXjwGu2Q/viewform?edit2=2_ABaOnud4mpikOjbjtQBTBlSiw0mUIV1mxmRb23JIHhnGinnMHPKHamUHOxWPGB736mOPVms&amp;source=documentstudio&amp;timestamp=1723537224449" TargetMode="External"/><Relationship Id="rId1563" Type="http://schemas.openxmlformats.org/officeDocument/2006/relationships/hyperlink" Target="https://docs.google.com/forms/d/e/1FAIpQLSeEYwFnViiqk1AbexVe1VDR73UApmeuvfn6Yr2vN8WXjwGu2Q/viewform?edit2=2_ABaOnudA0i3rapvhvmzNCCI9bprQIgL1Qh4YvX8B1oxSj3_UYK2F21ruLACdaY4Fx2HoxhA&amp;source=documentstudio&amp;timestamp=1739328971527" TargetMode="External"/><Relationship Id="rId1770" Type="http://schemas.openxmlformats.org/officeDocument/2006/relationships/hyperlink" Target="https://docs.google.com/forms/d/e/1FAIpQLSeEYwFnViiqk1AbexVe1VDR73UApmeuvfn6Yr2vN8WXjwGu2Q/viewform?edit2=2_ABaOnufSDmv-864AiWcOSwTKfU2DcLQ7GUs6_B4S0DSYM3Q5430dWDelWgQe_5oXnVVQI80&amp;source=documentstudio&amp;timestamp=1741573746127" TargetMode="External"/><Relationship Id="rId2407" Type="http://schemas.openxmlformats.org/officeDocument/2006/relationships/hyperlink" Target="https://docs.google.com/forms/d/e/1FAIpQLSeEYwFnViiqk1AbexVe1VDR73UApmeuvfn6Yr2vN8WXjwGu2Q/viewform?edit2=2_ABaOnucas39VhZy5Ca5jSZ7PY4xi4FGfVahniYHdAhI8uRD2mIJyPc0DxUblRub_5FWyvss&amp;source=documentstudio&amp;timestamp=1768439347209" TargetMode="External"/><Relationship Id="rId2614" Type="http://schemas.openxmlformats.org/officeDocument/2006/relationships/hyperlink" Target="https://drive.google.com/open?id=1krWmg84cBNTCvULD0-GJ2QX0tZWj9vc6" TargetMode="External"/><Relationship Id="rId2821" Type="http://schemas.openxmlformats.org/officeDocument/2006/relationships/hyperlink" Target="https://docs.google.com/forms/d/e/1FAIpQLSeEYwFnViiqk1AbexVe1VDR73UApmeuvfn6Yr2vN8WXjwGu2Q/viewform?edit2=2_ABaOnucfgOI_x6b3H5IZANAD7urMV6Nvjogr1yl5wI85-CMs2x0HmMYi_OQZj0q-VhpW1mY&amp;source=documentstudio&amp;timestamp=1769395738750" TargetMode="External"/><Relationship Id="rId62" Type="http://schemas.openxmlformats.org/officeDocument/2006/relationships/hyperlink" Target="https://drive.google.com/open?id=1z5ZhzlSOeKXLc_y3jbIsFNuJJMTeU0lr" TargetMode="External"/><Relationship Id="rId1216" Type="http://schemas.openxmlformats.org/officeDocument/2006/relationships/hyperlink" Target="https://drive.google.com/open?id=1f1JgA8RWyuSH67L2jOWoaVJYLxvEFPQE" TargetMode="External"/><Relationship Id="rId1423" Type="http://schemas.openxmlformats.org/officeDocument/2006/relationships/hyperlink" Target="https://docs.google.com/forms/d/e/1FAIpQLSeEYwFnViiqk1AbexVe1VDR73UApmeuvfn6Yr2vN8WXjwGu2Q/viewform?edit2=2_ABaOnuek0fOuYIyrx8TseK3CgxgE8CF7OlpwYiUL4m8lnVPLXCGcDHXXMr319lpgD_ISVFo&amp;source=documentstudio&amp;timestamp=1737446339933" TargetMode="External"/><Relationship Id="rId1630" Type="http://schemas.openxmlformats.org/officeDocument/2006/relationships/hyperlink" Target="https://drive.google.com/open?id=1VHJ0ogTVVaZIMmQjyugWg7SprOuCJ6t2" TargetMode="External"/><Relationship Id="rId2197" Type="http://schemas.openxmlformats.org/officeDocument/2006/relationships/hyperlink" Target="https://docs.google.com/forms/d/e/1FAIpQLSeEYwFnViiqk1AbexVe1VDR73UApmeuvfn6Yr2vN8WXjwGu2Q/viewform?edit2=2_ABaOnueDzSKe9rXzwY5e54NRcfmW4XIa0DIis-2OI_vWpKQUUKVOCZ0nwlOO6bpYelY1rrs&amp;source=documentstudio&amp;timestamp=1751197912161" TargetMode="External"/><Relationship Id="rId169" Type="http://schemas.openxmlformats.org/officeDocument/2006/relationships/hyperlink" Target="https://drive.google.com/open?id=14UNNvkRSTBlbQUKI2-_-pm6qqHlzQn4G" TargetMode="External"/><Relationship Id="rId376" Type="http://schemas.openxmlformats.org/officeDocument/2006/relationships/hyperlink" Target="https://drive.google.com/open?id=1M5pqEo05y8DSk42sqT1qzyso2ajiisrE" TargetMode="External"/><Relationship Id="rId583" Type="http://schemas.openxmlformats.org/officeDocument/2006/relationships/hyperlink" Target="https://drive.google.com/open?id=1_qa7OjTsBsdPrrnlHRpKYWtbQm4QApt8" TargetMode="External"/><Relationship Id="rId790" Type="http://schemas.openxmlformats.org/officeDocument/2006/relationships/hyperlink" Target="https://drive.google.com/open?id=1xB8B90J9qF-k8rUPX6YSfvFJd3f2EzXU" TargetMode="External"/><Relationship Id="rId2057" Type="http://schemas.openxmlformats.org/officeDocument/2006/relationships/hyperlink" Target="https://docs.google.com/forms/d/e/1FAIpQLSeEYwFnViiqk1AbexVe1VDR73UApmeuvfn6Yr2vN8WXjwGu2Q/viewform?edit2=2_ABaOnucWsl6Yt92JdrphoLJh2oUDw9nJsxIKBJonOI834q_XJTKz4TxSXZsYo3TtH06moXo&amp;source=documentstudio&amp;timestamp=1748844086202" TargetMode="External"/><Relationship Id="rId2264" Type="http://schemas.openxmlformats.org/officeDocument/2006/relationships/hyperlink" Target="https://drive.google.com/open?id=1mwFBI-c4HVD0FkZoK5ZbXimEmoKCFF5I" TargetMode="External"/><Relationship Id="rId2471" Type="http://schemas.openxmlformats.org/officeDocument/2006/relationships/hyperlink" Target="https://docs.google.com/forms/d/e/1FAIpQLSeEYwFnViiqk1AbexVe1VDR73UApmeuvfn6Yr2vN8WXjwGu2Q/viewform?edit2=2_ABaOnucRtIwT_p_blTM6m8ao-Ww_C3L8oPaf_Tvx8wuq1HrtMB-CL7pcI5fokMiPGM_cW8I&amp;source=documentstudio&amp;timestamp=1768442834729" TargetMode="External"/><Relationship Id="rId236" Type="http://schemas.openxmlformats.org/officeDocument/2006/relationships/hyperlink" Target="https://drive.google.com/open?id=1WwJ-A67jcFLWJIbZT9P8ILUDkeA0Np5s" TargetMode="External"/><Relationship Id="rId443" Type="http://schemas.openxmlformats.org/officeDocument/2006/relationships/hyperlink" Target="https://drive.google.com/open?id=1kC36vdEMK4k01rCSzpUkVCTf880XtnXL" TargetMode="External"/><Relationship Id="rId650" Type="http://schemas.openxmlformats.org/officeDocument/2006/relationships/hyperlink" Target="https://drive.google.com/open?id=1crbgFn5uM3S7odELLgSPcbnOo2Wbcldz" TargetMode="External"/><Relationship Id="rId1073" Type="http://schemas.openxmlformats.org/officeDocument/2006/relationships/hyperlink" Target="https://docs.google.com/forms/d/e/1FAIpQLSeEYwFnViiqk1AbexVe1VDR73UApmeuvfn6Yr2vN8WXjwGu2Q/viewform?edit2=2_ABaOnuec5qUX2tdbrAJGEh-iH7gD17E1VfroREuhalit4JsCim9bruu1VlSD-n7XvmlDv6Q&amp;source=documentstudio&amp;timestamp=1725853253623" TargetMode="External"/><Relationship Id="rId1280" Type="http://schemas.openxmlformats.org/officeDocument/2006/relationships/hyperlink" Target="https://drive.google.com/open?id=1QUg1kRecCT36Z3xVxDPNYdHWuBteX95A" TargetMode="External"/><Relationship Id="rId2124" Type="http://schemas.openxmlformats.org/officeDocument/2006/relationships/hyperlink" Target="https://drive.google.com/open?id=157gB5P56MYAAHgpyJq4NLtONfessdgvc" TargetMode="External"/><Relationship Id="rId2331" Type="http://schemas.openxmlformats.org/officeDocument/2006/relationships/hyperlink" Target="https://docs.google.com/forms/d/e/1FAIpQLSeEYwFnViiqk1AbexVe1VDR73UApmeuvfn6Yr2vN8WXjwGu2Q/viewform?edit2=2_ABaOnucoXNlZ_B0oW6QqwbosLCj8VIIzHuqhmXcJfYP3rDuRYAoQYXwrFaYcHgOnEoxdlRk&amp;source=documentstudio&amp;timestamp=1764557338562" TargetMode="External"/><Relationship Id="rId303" Type="http://schemas.openxmlformats.org/officeDocument/2006/relationships/hyperlink" Target="https://drive.google.com/open?id=1pSjJZbC9nApfE0cDeAPStWir1cs0gNeW" TargetMode="External"/><Relationship Id="rId1140" Type="http://schemas.openxmlformats.org/officeDocument/2006/relationships/hyperlink" Target="https://drive.google.com/open?id=1PIpX9e833dOzSA7G2LX_q9et459eyYPU" TargetMode="External"/><Relationship Id="rId510" Type="http://schemas.openxmlformats.org/officeDocument/2006/relationships/hyperlink" Target="https://drive.google.com/open?id=1nZsOAXhEUciVnOwoEGUVSusL3wWbYtG2" TargetMode="External"/><Relationship Id="rId1000" Type="http://schemas.openxmlformats.org/officeDocument/2006/relationships/hyperlink" Target="https://drive.google.com/open?id=1BSGs0ivTBYxGWuhgIms5vGnVVEwl_FGR" TargetMode="External"/><Relationship Id="rId1957" Type="http://schemas.openxmlformats.org/officeDocument/2006/relationships/hyperlink" Target="https://drive.google.com/open?id=1ygLXKbZydN_NwCSmhTbT8EAOPJ1pC2Mr" TargetMode="External"/><Relationship Id="rId1817" Type="http://schemas.openxmlformats.org/officeDocument/2006/relationships/hyperlink" Target="https://drive.google.com/open?id=1i6HcXyPgwYxt3597yPCO1YvDtS-RoXh1" TargetMode="External"/><Relationship Id="rId160" Type="http://schemas.openxmlformats.org/officeDocument/2006/relationships/hyperlink" Target="https://drive.google.com/open?id=1qiZsaYrElHwdVRVZ0UExV62ZNhnr_H6C" TargetMode="External"/><Relationship Id="rId2798" Type="http://schemas.openxmlformats.org/officeDocument/2006/relationships/hyperlink" Target="https://drive.google.com/open?id=1xBSYl3K7_GQFtLg5Jiw0j_cXaMcON_fH" TargetMode="External"/><Relationship Id="rId977" Type="http://schemas.openxmlformats.org/officeDocument/2006/relationships/hyperlink" Target="https://docs.google.com/forms/d/e/1FAIpQLSeEYwFnViiqk1AbexVe1VDR73UApmeuvfn6Yr2vN8WXjwGu2Q/viewform?edit2=2_ABaOnucC9ykmEYcW2n7akls_530SgDPrnUqIxs-xq7A_tJ6ovn4O9zI8-K1JYdaGqRzFCeo&amp;source=documentstudio&amp;timestamp=1723164279058" TargetMode="External"/><Relationship Id="rId2658" Type="http://schemas.openxmlformats.org/officeDocument/2006/relationships/hyperlink" Target="https://drive.google.com/open?id=1PdZsma58q5VrCVZIzOIXRv-UH_KBVgmN" TargetMode="External"/><Relationship Id="rId2865" Type="http://schemas.openxmlformats.org/officeDocument/2006/relationships/hyperlink" Target="https://docs.google.com/forms/d/e/1FAIpQLSeEYwFnViiqk1AbexVe1VDR73UApmeuvfn6Yr2vN8WXjwGu2Q/viewform?edit2=2_ABaOnuepUSF_QTDPmCO3hTEtmbNe_RiS7jATBbS4MrCjM0XYqfTy-piseo5DrV25VaFjoFQ&amp;source=documentstudio&amp;timestamp=1769416371202" TargetMode="External"/><Relationship Id="rId837" Type="http://schemas.openxmlformats.org/officeDocument/2006/relationships/hyperlink" Target="https://docs.google.com/forms/d/e/1FAIpQLSeEYwFnViiqk1AbexVe1VDR73UApmeuvfn6Yr2vN8WXjwGu2Q/viewform?edit2=2_ABaOnud7B8zItbPgOT_w1ySFyEK68jKiea0bYmWBRRX1XDMslgIAg12shJKsLIjGyI7jYiA&amp;source=documentstudio&amp;timestamp=1720487144536" TargetMode="External"/><Relationship Id="rId1467" Type="http://schemas.openxmlformats.org/officeDocument/2006/relationships/hyperlink" Target="https://docs.google.com/forms/d/e/1FAIpQLSeEYwFnViiqk1AbexVe1VDR73UApmeuvfn6Yr2vN8WXjwGu2Q/viewform?edit2=2_ABaOnuexgnNn5Mk1TnyV8M1IMX_OnEXjBvBzksidJqAkd5RJZISEW3wvjvPCsFs1RLZbM0w&amp;source=documentstudio&amp;timestamp=1737448826042" TargetMode="External"/><Relationship Id="rId1674" Type="http://schemas.openxmlformats.org/officeDocument/2006/relationships/hyperlink" Target="https://drive.google.com/open?id=1YLEiuud69XVQoGKEcThfxwYpseU5nShf" TargetMode="External"/><Relationship Id="rId1881" Type="http://schemas.openxmlformats.org/officeDocument/2006/relationships/hyperlink" Target="https://drive.google.com/open?id=1bLuNmBsmBFnrJiepVOB9uPcOAgSt6M3H" TargetMode="External"/><Relationship Id="rId2518" Type="http://schemas.openxmlformats.org/officeDocument/2006/relationships/hyperlink" Target="https://drive.google.com/open?id=1BTZPUz9b-l0RqZfHKj50gIpXVrOwU0ij" TargetMode="External"/><Relationship Id="rId2725" Type="http://schemas.openxmlformats.org/officeDocument/2006/relationships/hyperlink" Target="https://docs.google.com/forms/d/e/1FAIpQLSeEYwFnViiqk1AbexVe1VDR73UApmeuvfn6Yr2vN8WXjwGu2Q/viewform?edit2=2_ABaOnucr1yLZuQBOhVo-hiNw71RF1Me4w_e45uY-xu-Z_j4_Yw9WAw_8mWnB4FVGZ4mfSjw&amp;source=documentstudio&amp;timestamp=1768797671181" TargetMode="External"/><Relationship Id="rId2932" Type="http://schemas.openxmlformats.org/officeDocument/2006/relationships/hyperlink" Target="https://docs.google.com/forms/d/e/1FAIpQLSeEYwFnViiqk1AbexVe1VDR73UApmeuvfn6Yr2vN8WXjwGu2Q/viewform?edit2=2_ABaOnudl35KZ0t8OkadfDbjUNqC1FkwitbQP2DvU_cNEkf3IgTqdHmI8QUjC1k_rwJGz5ug&amp;source=documentstudio&amp;timestamp=1769588276286" TargetMode="External"/><Relationship Id="rId904" Type="http://schemas.openxmlformats.org/officeDocument/2006/relationships/hyperlink" Target="https://drive.google.com/open?id=158GRNrozzXbCWYcRc2vTlceGOyKi1g2F" TargetMode="External"/><Relationship Id="rId1327" Type="http://schemas.openxmlformats.org/officeDocument/2006/relationships/hyperlink" Target="https://docs.google.com/forms/d/e/1FAIpQLSeEYwFnViiqk1AbexVe1VDR73UApmeuvfn6Yr2vN8WXjwGu2Q/viewform?edit2=2_ABaOnucb5xH8Flf4oYE5ADy4TsXQEy8MgpghzMvY090wwjVU9jLPXi6HT8r3ddH8ecrGPPg&amp;source=documentstudio&amp;timestamp=1736130492653" TargetMode="External"/><Relationship Id="rId1534" Type="http://schemas.openxmlformats.org/officeDocument/2006/relationships/hyperlink" Target="https://drive.google.com/open?id=1M_eqoOd7tZi93d-pnlAB9tDdc-B1Jgon" TargetMode="External"/><Relationship Id="rId1741" Type="http://schemas.openxmlformats.org/officeDocument/2006/relationships/hyperlink" Target="https://drive.google.com/open?id=1RkDmUM0Hhih0EMpTZq_ZPje1Q2BSwLSS" TargetMode="External"/><Relationship Id="rId33" Type="http://schemas.openxmlformats.org/officeDocument/2006/relationships/hyperlink" Target="https://drive.google.com/open?id=1QWIuIukhE4gQ2p-9bbtfVggnfUwcXtkp" TargetMode="External"/><Relationship Id="rId1601" Type="http://schemas.openxmlformats.org/officeDocument/2006/relationships/hyperlink" Target="https://docs.google.com/forms/d/e/1FAIpQLSeEYwFnViiqk1AbexVe1VDR73UApmeuvfn6Yr2vN8WXjwGu2Q/viewform?edit2=2_ABaOnuebPnoy5bGvZ6Uc87LWVyLPxd3okvTGlr0WNDezS2lxoNEAb465NiQZ7k-vLS6JUt8&amp;source=documentstudio&amp;timestamp=1739329571238" TargetMode="External"/><Relationship Id="rId487" Type="http://schemas.openxmlformats.org/officeDocument/2006/relationships/hyperlink" Target="https://drive.google.com/open?id=1-vhPN_-0vhWE1mv3JAmRPATBUrh0WkVC" TargetMode="External"/><Relationship Id="rId694" Type="http://schemas.openxmlformats.org/officeDocument/2006/relationships/hyperlink" Target="https://drive.google.com/open?id=1jujwvDWZBYuJfnZZ_3olq4DIGj369m3q" TargetMode="External"/><Relationship Id="rId2168" Type="http://schemas.openxmlformats.org/officeDocument/2006/relationships/hyperlink" Target="https://drive.google.com/open?id=1XiS6mYhe0UF4eMTfm45voxaeOV3L0PQt" TargetMode="External"/><Relationship Id="rId2375" Type="http://schemas.openxmlformats.org/officeDocument/2006/relationships/hyperlink" Target="https://docs.google.com/forms/d/e/1FAIpQLSeEYwFnViiqk1AbexVe1VDR73UApmeuvfn6Yr2vN8WXjwGu2Q/viewform?edit2=2_ABaOnudlwfUyiyUnEnlWei0MLDt18ztXaD9hcu7w1NMy0g1P4ygWSlGMHipNjv4V7JdDCp0&amp;source=documentstudio&amp;timestamp=1768379882335" TargetMode="External"/><Relationship Id="rId347" Type="http://schemas.openxmlformats.org/officeDocument/2006/relationships/hyperlink" Target="https://drive.google.com/open?id=144yP2YOVD85NkgfIgFiG5qmrfsaMaqck" TargetMode="External"/><Relationship Id="rId1184" Type="http://schemas.openxmlformats.org/officeDocument/2006/relationships/hyperlink" Target="https://drive.google.com/open?id=1E4LtnJf7jh7jTMKzm3XKLZZFTICaLcOT" TargetMode="External"/><Relationship Id="rId2028" Type="http://schemas.openxmlformats.org/officeDocument/2006/relationships/hyperlink" Target="https://drive.google.com/open?id=1XEP6jCxrCFkSq41Q1ic_dKK3E6WCoU9s" TargetMode="External"/><Relationship Id="rId2582" Type="http://schemas.openxmlformats.org/officeDocument/2006/relationships/hyperlink" Target="https://drive.google.com/open?id=1vydEFt96E8tpFWwejI7NiHqjkEq9gv5F" TargetMode="External"/><Relationship Id="rId554" Type="http://schemas.openxmlformats.org/officeDocument/2006/relationships/hyperlink" Target="https://drive.google.com/open?id=1xdU6LluaNweXVa2w5yLg2t3m-T27tMtS" TargetMode="External"/><Relationship Id="rId761" Type="http://schemas.openxmlformats.org/officeDocument/2006/relationships/hyperlink" Target="https://docs.google.com/forms/d/e/1FAIpQLSeEYwFnViiqk1AbexVe1VDR73UApmeuvfn6Yr2vN8WXjwGu2Q/viewform?edit2=2_ABaOnucpQhF7LNgAiiZhDdTKz3GMnN7x9r3Z5jMPOMG4rIKZ2aDCcqKXRGfbyLMB-BJ4j4Y&amp;source=documentstudio&amp;timestamp=1718176276552" TargetMode="External"/><Relationship Id="rId1391" Type="http://schemas.openxmlformats.org/officeDocument/2006/relationships/hyperlink" Target="https://docs.google.com/forms/d/e/1FAIpQLSeEYwFnViiqk1AbexVe1VDR73UApmeuvfn6Yr2vN8WXjwGu2Q/viewform?edit2=2_ABaOnue484koo4abTfA2ACu_KHrWGoNbfFDHQUK70Teaw-3CrZBe93UIq2LaYwcGuAbgDDM&amp;source=documentstudio&amp;timestamp=1736500849204" TargetMode="External"/><Relationship Id="rId2235" Type="http://schemas.openxmlformats.org/officeDocument/2006/relationships/hyperlink" Target="https://docs.google.com/forms/d/e/1FAIpQLSeEYwFnViiqk1AbexVe1VDR73UApmeuvfn6Yr2vN8WXjwGu2Q/viewform?edit2=2_ABaOnufhbVhO5tNyuXqJBRKUGivP84X1h4LSbeqUif09Ad7Fs2sEz9sddVCbAnfDa5YSCjc&amp;source=documentstudio&amp;timestamp=1754530489237" TargetMode="External"/><Relationship Id="rId2442" Type="http://schemas.openxmlformats.org/officeDocument/2006/relationships/hyperlink" Target="https://drive.google.com/open?id=1pnTctvQ3npHyjPy5y53emihSS4XZQ7E5" TargetMode="External"/><Relationship Id="rId207" Type="http://schemas.openxmlformats.org/officeDocument/2006/relationships/hyperlink" Target="https://drive.google.com/open?id=1Xu-O_NRQvoMu-GnfqZh1gmfHxUpiTUB_" TargetMode="External"/><Relationship Id="rId414" Type="http://schemas.openxmlformats.org/officeDocument/2006/relationships/hyperlink" Target="https://drive.google.com/open?id=1jaIS6GJStYn1ERLb76VXmnH0RebhmKSd" TargetMode="External"/><Relationship Id="rId621" Type="http://schemas.openxmlformats.org/officeDocument/2006/relationships/hyperlink" Target="https://docs.google.com/forms/d/e/1FAIpQLSeEYwFnViiqk1AbexVe1VDR73UApmeuvfn6Yr2vN8WXjwGu2Q/viewform?edit2=2_ABaOnuftjKx08Rq4RRZoegl3Xe4awRLHuXoDbM78AiV47aAQu7Mhor022fmgGX4NhDNNS7w&amp;source=documentstudio&amp;timestamp=1715658279463" TargetMode="External"/><Relationship Id="rId1044" Type="http://schemas.openxmlformats.org/officeDocument/2006/relationships/hyperlink" Target="https://drive.google.com/open?id=10WzrueHL4VwFlK5zJ66Sb-rbjNu-Y9CG" TargetMode="External"/><Relationship Id="rId1251" Type="http://schemas.openxmlformats.org/officeDocument/2006/relationships/hyperlink" Target="https://docs.google.com/forms/d/e/1FAIpQLSeEYwFnViiqk1AbexVe1VDR73UApmeuvfn6Yr2vN8WXjwGu2Q/viewform?edit2=2_ABaOnue-Os0k8a2_MggpzylzfHNF6H_g5f9aR6GB9Y7dY1pQ5zPO6EZsNfK8mrYhsFx9vJ8&amp;source=documentstudio&amp;timestamp=1733370050646" TargetMode="External"/><Relationship Id="rId2302" Type="http://schemas.openxmlformats.org/officeDocument/2006/relationships/hyperlink" Target="https://drive.google.com/open?id=17MVLaZRiDVXHiYVsm0PyGe6QC8AgcDU6" TargetMode="External"/><Relationship Id="rId1111" Type="http://schemas.openxmlformats.org/officeDocument/2006/relationships/hyperlink" Target="https://docs.google.com/forms/d/e/1FAIpQLSeEYwFnViiqk1AbexVe1VDR73UApmeuvfn6Yr2vN8WXjwGu2Q/viewform?edit2=2_ABaOnuf7Lk_yl1RgJccnqJh7Bw8lV9kzquPmJadj0IjX2BotCvs8uX56T9HmnuoQSPttDU8&amp;source=documentstudio&amp;timestamp=1726886133758" TargetMode="External"/><Relationship Id="rId1928" Type="http://schemas.openxmlformats.org/officeDocument/2006/relationships/hyperlink" Target="https://docs.google.com/forms/d/e/1FAIpQLSeEYwFnViiqk1AbexVe1VDR73UApmeuvfn6Yr2vN8WXjwGu2Q/viewform?edit2=2_ABaOnue7pJwp4zK067xd5JVcowSzS_biLMCz3Av7C8FZ_aOy7Bv2OK2av7R7F_XLbnQOwF0&amp;source=documentstudio&amp;timestamp=1745542450195" TargetMode="External"/><Relationship Id="rId2092" Type="http://schemas.openxmlformats.org/officeDocument/2006/relationships/hyperlink" Target="https://drive.google.com/open?id=1jLKMFc1M9D4Zac105LwwxV37PLiqb2Aa" TargetMode="External"/><Relationship Id="rId271" Type="http://schemas.openxmlformats.org/officeDocument/2006/relationships/hyperlink" Target="https://drive.google.com/open?id=1hkP_H1ZzuD4yIC0_SunC8OawvkG7nE22" TargetMode="External"/><Relationship Id="rId131" Type="http://schemas.openxmlformats.org/officeDocument/2006/relationships/hyperlink" Target="https://drive.google.com/open?id=1Ixcw6_xyx2nyiyfH544bTO2ER038s7A0" TargetMode="External"/><Relationship Id="rId2769" Type="http://schemas.openxmlformats.org/officeDocument/2006/relationships/hyperlink" Target="https://docs.google.com/forms/d/e/1FAIpQLSeEYwFnViiqk1AbexVe1VDR73UApmeuvfn6Yr2vN8WXjwGu2Q/viewform?edit2=2_ABaOnudyA3BtL8ZIC5hx7jhvoUfJYdeV_j2gk0rwJfqvCovqIYs3NRBDlnyR8WvqTYxDYDc&amp;source=documentstudio&amp;timestamp=1768888644075" TargetMode="External"/><Relationship Id="rId948" Type="http://schemas.openxmlformats.org/officeDocument/2006/relationships/hyperlink" Target="https://drive.google.com/open?id=1ANqSPqRP7Q87Lywde-eUrL-oUzAAm-hU" TargetMode="External"/><Relationship Id="rId1578" Type="http://schemas.openxmlformats.org/officeDocument/2006/relationships/hyperlink" Target="https://drive.google.com/open?id=1-gHe9AT1l212MrO5aMvmZSZKxBbfmohy" TargetMode="External"/><Relationship Id="rId1785" Type="http://schemas.openxmlformats.org/officeDocument/2006/relationships/hyperlink" Target="https://drive.google.com/open?id=1_TXIOKaSg0UVZejy1uy5XRIJ5dzAALHb" TargetMode="External"/><Relationship Id="rId1992" Type="http://schemas.openxmlformats.org/officeDocument/2006/relationships/hyperlink" Target="https://drive.google.com/open?id=1yzO3gGb3EncYCEOKw3l0C3cAnGUZpSEr" TargetMode="External"/><Relationship Id="rId2629" Type="http://schemas.openxmlformats.org/officeDocument/2006/relationships/hyperlink" Target="https://docs.google.com/forms/d/e/1FAIpQLSeEYwFnViiqk1AbexVe1VDR73UApmeuvfn6Yr2vN8WXjwGu2Q/viewform?edit2=2_ABaOnudXOgyETPFMuAwh93qPsV24jSmeGJn7dknMoyQQQo7nz9SZF9YdWmdndpKsLyKhURM&amp;source=documentstudio&amp;timestamp=1768467321524" TargetMode="External"/><Relationship Id="rId2836" Type="http://schemas.openxmlformats.org/officeDocument/2006/relationships/hyperlink" Target="https://drive.google.com/open?id=14bn3tFqnUtpbWWSoFNduqWNtbrscKt3j" TargetMode="External"/><Relationship Id="rId77" Type="http://schemas.openxmlformats.org/officeDocument/2006/relationships/hyperlink" Target="https://drive.google.com/open?id=1uG3OMIUD-OEI6qAaqgY4E7OlqTrz1ugH" TargetMode="External"/><Relationship Id="rId808" Type="http://schemas.openxmlformats.org/officeDocument/2006/relationships/hyperlink" Target="https://drive.google.com/open?id=1tQM_JDMu9rXuvZxNuaBxLrY0Kj7iyeoU" TargetMode="External"/><Relationship Id="rId1438" Type="http://schemas.openxmlformats.org/officeDocument/2006/relationships/hyperlink" Target="https://drive.google.com/open?id=1bCKGSBak_YvWZRespNgBADQukOdp_9wa" TargetMode="External"/><Relationship Id="rId1645" Type="http://schemas.openxmlformats.org/officeDocument/2006/relationships/hyperlink" Target="https://docs.google.com/forms/d/e/1FAIpQLSeEYwFnViiqk1AbexVe1VDR73UApmeuvfn6Yr2vN8WXjwGu2Q/viewform?edit2=2_ABaOnudS0kaTuSZyJGZlVPEFayFR7nPpiYVRLjJ0-rxBRYCaBiy3cb3hi0xTSZC5R_JzjDo&amp;source=documentstudio&amp;timestamp=1741333200653" TargetMode="External"/><Relationship Id="rId1852" Type="http://schemas.openxmlformats.org/officeDocument/2006/relationships/hyperlink" Target="https://docs.google.com/forms/d/e/1FAIpQLSeEYwFnViiqk1AbexVe1VDR73UApmeuvfn6Yr2vN8WXjwGu2Q/viewform?edit2=2_ABaOnuc_mSX902Rq_iPDplg_psjgs1meBx-w8BfduXyeDaIvOz_H_qdpq8mdWLVNTRcIJhg&amp;source=documentstudio&amp;timestamp=1742177383039" TargetMode="External"/><Relationship Id="rId2903" Type="http://schemas.openxmlformats.org/officeDocument/2006/relationships/hyperlink" Target="https://drive.google.com/open?id=1dO-lFZc6FoGJsOtWq7C2AmTWEXQaGjnJ" TargetMode="External"/><Relationship Id="rId1505" Type="http://schemas.openxmlformats.org/officeDocument/2006/relationships/hyperlink" Target="https://docs.google.com/forms/d/e/1FAIpQLSeEYwFnViiqk1AbexVe1VDR73UApmeuvfn6Yr2vN8WXjwGu2Q/viewform?edit2=2_ABaOnueje8PHTYDBWcqbME9W3mZ6mgrcT6aDN6_V5E1vogc-XUuJBqloWL6yjmEtgDlubwk&amp;source=documentstudio&amp;timestamp=1739327549731" TargetMode="External"/><Relationship Id="rId1712" Type="http://schemas.openxmlformats.org/officeDocument/2006/relationships/hyperlink" Target="https://drive.google.com/open?id=1DwOk5g2yOEDkqPOESs3BzkX0YY8sUuyy" TargetMode="External"/><Relationship Id="rId598" Type="http://schemas.openxmlformats.org/officeDocument/2006/relationships/hyperlink" Target="https://drive.google.com/open?id=1RZrj7J_90wALRlpOAsVxGSL3rbwjjIop" TargetMode="External"/><Relationship Id="rId2279" Type="http://schemas.openxmlformats.org/officeDocument/2006/relationships/hyperlink" Target="https://docs.google.com/forms/d/e/1FAIpQLSeEYwFnViiqk1AbexVe1VDR73UApmeuvfn6Yr2vN8WXjwGu2Q/viewform?edit2=2_ABaOnuePG_y6SpYn_LKqmHgMxAEHBOFL_1dxYI18hofe1W9bMgh_6iLhC_JnUrAX4wutfN8&amp;source=documentstudio&amp;timestamp=1757402028457" TargetMode="External"/><Relationship Id="rId2486" Type="http://schemas.openxmlformats.org/officeDocument/2006/relationships/hyperlink" Target="https://drive.google.com/open?id=1qIRshSm102eYsqZGjDk90ftzXT5KeLG3" TargetMode="External"/><Relationship Id="rId2693" Type="http://schemas.openxmlformats.org/officeDocument/2006/relationships/hyperlink" Target="https://docs.google.com/forms/d/e/1FAIpQLSeEYwFnViiqk1AbexVe1VDR73UApmeuvfn6Yr2vN8WXjwGu2Q/viewform?edit2=2_ABaOnudy5Wf4nw2eQ8gSVD32lIyukAwUmw0oQdnG1yb_ljKYEYtNAsMKS7x_1G08PwPoI-4&amp;source=documentstudio&amp;timestamp=1768793197890" TargetMode="External"/><Relationship Id="rId458" Type="http://schemas.openxmlformats.org/officeDocument/2006/relationships/hyperlink" Target="https://drive.google.com/open?id=1YdArliD82mA6W-VpxFu4PkBt91AJ14pR" TargetMode="External"/><Relationship Id="rId665" Type="http://schemas.openxmlformats.org/officeDocument/2006/relationships/hyperlink" Target="https://docs.google.com/forms/d/e/1FAIpQLSeEYwFnViiqk1AbexVe1VDR73UApmeuvfn6Yr2vN8WXjwGu2Q/viewform?edit2=2_ABaOnufufH3iyEc2njtrMzUx7eMBfOGO6xaBSDFQ7LbhbGQ20mxj1i2J4O5vblucfJMiRQ4&amp;source=documentstudio&amp;timestamp=1717389180664" TargetMode="External"/><Relationship Id="rId872" Type="http://schemas.openxmlformats.org/officeDocument/2006/relationships/hyperlink" Target="https://drive.google.com/open?id=1TFdAZNuZQevnLdW2pkSig4wv5EziAp2d" TargetMode="External"/><Relationship Id="rId1088" Type="http://schemas.openxmlformats.org/officeDocument/2006/relationships/hyperlink" Target="https://drive.google.com/open?id=1JILOUnD_bgjrbfeA92uVwoQ8_zDmVzYf" TargetMode="External"/><Relationship Id="rId1295" Type="http://schemas.openxmlformats.org/officeDocument/2006/relationships/hyperlink" Target="https://docs.google.com/forms/d/e/1FAIpQLSeEYwFnViiqk1AbexVe1VDR73UApmeuvfn6Yr2vN8WXjwGu2Q/viewform?edit2=2_ABaOnud0EWrHHbGdaIdzcRoBEByY71erAXpN1H3So7-kIvsH74GoZPdfd3dEpMJP2AB6e7s&amp;source=documentstudio&amp;timestamp=1733711784442" TargetMode="External"/><Relationship Id="rId2139" Type="http://schemas.openxmlformats.org/officeDocument/2006/relationships/hyperlink" Target="https://docs.google.com/forms/d/e/1FAIpQLSeEYwFnViiqk1AbexVe1VDR73UApmeuvfn6Yr2vN8WXjwGu2Q/viewform?edit2=2_ABaOnufdCxRMCNJaW6fjXmA5JQYkm7qaufzxtAB7UGRU3qUA5jlAVsUp5lZJ3nqtSvj7XxY&amp;source=documentstudio&amp;timestamp=1748921838979" TargetMode="External"/><Relationship Id="rId2346" Type="http://schemas.openxmlformats.org/officeDocument/2006/relationships/hyperlink" Target="https://drive.google.com/open?id=1IVNA6s1Ey-qw9P39gTvnro5bAr2GW5aw" TargetMode="External"/><Relationship Id="rId2553" Type="http://schemas.openxmlformats.org/officeDocument/2006/relationships/hyperlink" Target="https://docs.google.com/forms/d/e/1FAIpQLSeEYwFnViiqk1AbexVe1VDR73UApmeuvfn6Yr2vN8WXjwGu2Q/viewform?edit2=2_ABaOnudrewnzmCq-XiIG5oh2UGBoPFT6AUMfme6Fkt4E_HiUrDn70yIhXOGI8Z17GU9vzuM&amp;source=documentstudio&amp;timestamp=1768460488145" TargetMode="External"/><Relationship Id="rId2760" Type="http://schemas.openxmlformats.org/officeDocument/2006/relationships/hyperlink" Target="https://drive.google.com/open?id=12AzKCTMI2mnfY20XxShcK7XEGZGoykkN" TargetMode="External"/><Relationship Id="rId318" Type="http://schemas.openxmlformats.org/officeDocument/2006/relationships/hyperlink" Target="https://drive.google.com/open?id=1_YFJhOM_bLb-iHgk5VNZGJ9-_LhFkx5l" TargetMode="External"/><Relationship Id="rId525" Type="http://schemas.openxmlformats.org/officeDocument/2006/relationships/hyperlink" Target="https://drive.google.com/open?id=1u3EKxYSizCpiL7xY7oJU63b8Gwe62WLK" TargetMode="External"/><Relationship Id="rId732" Type="http://schemas.openxmlformats.org/officeDocument/2006/relationships/hyperlink" Target="https://drive.google.com/open?id=1NmvgSulMCvhBBAaCcthqYYU6C48lB5VS" TargetMode="External"/><Relationship Id="rId1155" Type="http://schemas.openxmlformats.org/officeDocument/2006/relationships/hyperlink" Target="https://docs.google.com/forms/d/e/1FAIpQLSeEYwFnViiqk1AbexVe1VDR73UApmeuvfn6Yr2vN8WXjwGu2Q/viewform?edit2=2_ABaOnucbyOYPo1zpx7ht9OouorM1VFlGGpBtW9XszCaNpW3zk-YBIhZGaT6bDWBHiiDwX6Y&amp;source=documentstudio&amp;timestamp=1728030498355" TargetMode="External"/><Relationship Id="rId1362" Type="http://schemas.openxmlformats.org/officeDocument/2006/relationships/hyperlink" Target="https://drive.google.com/open?id=1lcOw3_4yP42WwrJerAq6NZD_U2ulPBye" TargetMode="External"/><Relationship Id="rId2206" Type="http://schemas.openxmlformats.org/officeDocument/2006/relationships/hyperlink" Target="https://drive.google.com/open?id=1EAHhouLT0F4tH4Jf0Hh2O3kj4Db0263U" TargetMode="External"/><Relationship Id="rId2413" Type="http://schemas.openxmlformats.org/officeDocument/2006/relationships/hyperlink" Target="https://docs.google.com/forms/d/e/1FAIpQLSeEYwFnViiqk1AbexVe1VDR73UApmeuvfn6Yr2vN8WXjwGu2Q/viewform?edit2=2_ABaOnufccx9UtL3EbWHDFeC3JMkoLHaXqVovwkPO6MMkKyHFwFCV35G1Quhh2HeqwUDN4tA&amp;source=documentstudio&amp;timestamp=1768439444421" TargetMode="External"/><Relationship Id="rId2620" Type="http://schemas.openxmlformats.org/officeDocument/2006/relationships/hyperlink" Target="https://drive.google.com/open?id=1Ny5DuljEDblVpPuAd0PU2wc5nyO-UcL8" TargetMode="External"/><Relationship Id="rId1015" Type="http://schemas.openxmlformats.org/officeDocument/2006/relationships/hyperlink" Target="https://docs.google.com/forms/d/e/1FAIpQLSeEYwFnViiqk1AbexVe1VDR73UApmeuvfn6Yr2vN8WXjwGu2Q/viewform?edit2=2_ABaOnucorRlZMp_KFXQlZpUig0fVscRpRZBFKDW4sEoh7bc8tWEtDewsxLVYrdEHw9rr0fo&amp;source=documentstudio&amp;timestamp=1723596742993" TargetMode="External"/><Relationship Id="rId1222" Type="http://schemas.openxmlformats.org/officeDocument/2006/relationships/hyperlink" Target="https://drive.google.com/open?id=1lhgVM0ReCRWfbfiH5nE6OLJ4wzJ8bC5p" TargetMode="External"/><Relationship Id="rId175" Type="http://schemas.openxmlformats.org/officeDocument/2006/relationships/hyperlink" Target="https://drive.google.com/open?id=1cprnMJc8f0zn8Z1rZvKQZaNbWBRE31rZ" TargetMode="External"/><Relationship Id="rId382" Type="http://schemas.openxmlformats.org/officeDocument/2006/relationships/hyperlink" Target="https://drive.google.com/open?id=1yC40QA63vffSiMfRo-9HKlRZxjt0gt89" TargetMode="External"/><Relationship Id="rId2063" Type="http://schemas.openxmlformats.org/officeDocument/2006/relationships/hyperlink" Target="https://docs.google.com/forms/d/e/1FAIpQLSeEYwFnViiqk1AbexVe1VDR73UApmeuvfn6Yr2vN8WXjwGu2Q/viewform?edit2=2_ABaOnuf4Ni_BxvsFQ6e-JpowXIS876ORDbDhMOWhdc0QATbdQdOutva79kpDRpB_kvSOZLE&amp;source=documentstudio&amp;timestamp=1748846107152" TargetMode="External"/><Relationship Id="rId2270" Type="http://schemas.openxmlformats.org/officeDocument/2006/relationships/hyperlink" Target="https://drive.google.com/open?id=1K0zjFz6gm5SOmDwxMhVmGUCD5Pdcqx-x" TargetMode="External"/><Relationship Id="rId242" Type="http://schemas.openxmlformats.org/officeDocument/2006/relationships/hyperlink" Target="https://drive.google.com/open?id=1dxSSxofJ5xfvFJdoQioeQb5b_5tivAnd" TargetMode="External"/><Relationship Id="rId2130" Type="http://schemas.openxmlformats.org/officeDocument/2006/relationships/hyperlink" Target="https://drive.google.com/open?id=1mVadcSDvIX8uSRpfOYBvGwi9VX7r74pR" TargetMode="External"/><Relationship Id="rId102" Type="http://schemas.openxmlformats.org/officeDocument/2006/relationships/hyperlink" Target="https://drive.google.com/open?id=1UR-z5lS0aSw7PzonYgk1ZRcTNZvTbitQ" TargetMode="External"/><Relationship Id="rId1689" Type="http://schemas.openxmlformats.org/officeDocument/2006/relationships/hyperlink" Target="https://docs.google.com/forms/d/e/1FAIpQLSeEYwFnViiqk1AbexVe1VDR73UApmeuvfn6Yr2vN8WXjwGu2Q/viewform?edit2=2_ABaOnudI5dNF6I763krzrPheS0b8KfqqM8Rd8X2Hh9BmWeVoPkESq2FaBM2zgFg4pyvKbG4&amp;source=documentstudio&amp;timestamp=1741334736325" TargetMode="External"/><Relationship Id="rId1896" Type="http://schemas.openxmlformats.org/officeDocument/2006/relationships/hyperlink" Target="https://docs.google.com/forms/d/e/1FAIpQLSeEYwFnViiqk1AbexVe1VDR73UApmeuvfn6Yr2vN8WXjwGu2Q/viewform?edit2=2_ABaOnud64QMSv2YnQ7hgqr9061YzWI8Mnt3G7D4YQtMhU1vG64-ZoQp9VG5LryIvQqgI5C0&amp;source=documentstudio&amp;timestamp=1745201606116" TargetMode="External"/><Relationship Id="rId2947" Type="http://schemas.openxmlformats.org/officeDocument/2006/relationships/hyperlink" Target="https://drive.google.com/open?id=1rfZFDzAmGvQJd8ZfuC_wKyqH91dH3cLG" TargetMode="External"/><Relationship Id="rId919" Type="http://schemas.openxmlformats.org/officeDocument/2006/relationships/hyperlink" Target="https://docs.google.com/forms/d/e/1FAIpQLSeEYwFnViiqk1AbexVe1VDR73UApmeuvfn6Yr2vN8WXjwGu2Q/viewform?edit2=2_ABaOnud-0HgACE4_g2Id1b9zRhCHC0ECZH-Cks9JOASQypijgObhPP7xOGeHr94LvukONsE&amp;source=documentstudio&amp;timestamp=1721620049902" TargetMode="External"/><Relationship Id="rId1104" Type="http://schemas.openxmlformats.org/officeDocument/2006/relationships/hyperlink" Target="https://drive.google.com/open?id=13xKl2MPxnwQ3UYRORaKylHqYmyXN2TJP" TargetMode="External"/><Relationship Id="rId1311" Type="http://schemas.openxmlformats.org/officeDocument/2006/relationships/hyperlink" Target="https://docs.google.com/forms/d/e/1FAIpQLSeEYwFnViiqk1AbexVe1VDR73UApmeuvfn6Yr2vN8WXjwGu2Q/viewform?edit2=2_ABaOnuci39e7deVeZd85aEZcTssR2OYkryUi1o5mZF32sfYb2bhXhoRKgJQcM4e_2-zWhGQ&amp;source=documentstudio&amp;timestamp=1733801132464" TargetMode="External"/><Relationship Id="rId1549" Type="http://schemas.openxmlformats.org/officeDocument/2006/relationships/hyperlink" Target="https://docs.google.com/forms/d/e/1FAIpQLSeEYwFnViiqk1AbexVe1VDR73UApmeuvfn6Yr2vN8WXjwGu2Q/viewform?edit2=2_ABaOnudG_KXH8SuG8UsbMNYU1qKOxAOd8JOKhTIPPH6QJN1mfxWv71-15IBuQDlftAFqRFM&amp;source=documentstudio&amp;timestamp=1739328836124" TargetMode="External"/><Relationship Id="rId1756" Type="http://schemas.openxmlformats.org/officeDocument/2006/relationships/hyperlink" Target="https://docs.google.com/forms/d/e/1FAIpQLSeEYwFnViiqk1AbexVe1VDR73UApmeuvfn6Yr2vN8WXjwGu2Q/viewform?edit2=2_ABaOnucFl_abVKKuSLRKOJ68oD4IP2rYR8n0GqPsNRJO2Ukp91LN0JLdaDNHUgndZua9zN0&amp;source=documentstudio&amp;timestamp=1741572674675" TargetMode="External"/><Relationship Id="rId1963" Type="http://schemas.openxmlformats.org/officeDocument/2006/relationships/hyperlink" Target="https://drive.google.com/open?id=1Vbfif-Rr5x8G_2GhFyMWAZA6NdSO9iaB" TargetMode="External"/><Relationship Id="rId2807" Type="http://schemas.openxmlformats.org/officeDocument/2006/relationships/hyperlink" Target="https://docs.google.com/forms/d/e/1FAIpQLSeEYwFnViiqk1AbexVe1VDR73UApmeuvfn6Yr2vN8WXjwGu2Q/viewform?edit2=2_ABaOnufHZYBZAthpwikwx67-jn7QzsKM8iwTGCO0Cn0if7k7qKCyrAL8UjuKA5ShBA8kCwk&amp;source=documentstudio&amp;timestamp=1769393096917" TargetMode="External"/><Relationship Id="rId48" Type="http://schemas.openxmlformats.org/officeDocument/2006/relationships/hyperlink" Target="https://drive.google.com/open?id=10ACu0vrlqiuXiRRH8hc9f_JOuf69eDt-" TargetMode="External"/><Relationship Id="rId1409" Type="http://schemas.openxmlformats.org/officeDocument/2006/relationships/hyperlink" Target="https://docs.google.com/forms/d/e/1FAIpQLSeEYwFnViiqk1AbexVe1VDR73UApmeuvfn6Yr2vN8WXjwGu2Q/viewform?edit2=2_ABaOnueiAT7F9FBfHhVvEGe9tnXpprh6H3ZlhLK6A3cd9ri003m0PTX9eCorkQxmjCSSF_I&amp;source=documentstudio&amp;timestamp=1737446149910" TargetMode="External"/><Relationship Id="rId1616" Type="http://schemas.openxmlformats.org/officeDocument/2006/relationships/hyperlink" Target="https://drive.google.com/open?id=17paGon0A_nvtvPuGg87UhQTciOje0HOs" TargetMode="External"/><Relationship Id="rId1823" Type="http://schemas.openxmlformats.org/officeDocument/2006/relationships/hyperlink" Target="https://drive.google.com/open?id=1acKR36rB44Sebd8d2gQKO8ygMgt0F6Ud" TargetMode="External"/><Relationship Id="rId197" Type="http://schemas.openxmlformats.org/officeDocument/2006/relationships/hyperlink" Target="https://drive.google.com/open?id=137m6Hlq-wCm0Mg-WrH4_lcikrpxfQsAq" TargetMode="External"/><Relationship Id="rId2085" Type="http://schemas.openxmlformats.org/officeDocument/2006/relationships/hyperlink" Target="https://docs.google.com/forms/d/e/1FAIpQLSeEYwFnViiqk1AbexVe1VDR73UApmeuvfn6Yr2vN8WXjwGu2Q/viewform?edit2=2_ABaOnufJ__xhHkmv3LdabiH9H6_L0KtvNshbII41iw8xvOMaVMrfkEwt-0QnzukSagoYC2o&amp;source=documentstudio&amp;timestamp=1748849963707" TargetMode="External"/><Relationship Id="rId2292" Type="http://schemas.openxmlformats.org/officeDocument/2006/relationships/hyperlink" Target="https://drive.google.com/open?id=1v5ZNH3rgZuPeTEn3BlCR6dnZoxz1synP" TargetMode="External"/><Relationship Id="rId264" Type="http://schemas.openxmlformats.org/officeDocument/2006/relationships/hyperlink" Target="https://drive.google.com/open?id=1a0vxVx8IHM5P1aqhzrpdSd4fXIaQgKix" TargetMode="External"/><Relationship Id="rId471" Type="http://schemas.openxmlformats.org/officeDocument/2006/relationships/hyperlink" Target="https://drive.google.com/open?id=1eryyEvaKBt93vb9Rpu1K2kP4RysuyzgW" TargetMode="External"/><Relationship Id="rId2152" Type="http://schemas.openxmlformats.org/officeDocument/2006/relationships/hyperlink" Target="https://drive.google.com/open?id=1uVCbufUDYqcCzBfvTwuSTnfDuek9C3-w" TargetMode="External"/><Relationship Id="rId2597" Type="http://schemas.openxmlformats.org/officeDocument/2006/relationships/hyperlink" Target="https://docs.google.com/forms/d/e/1FAIpQLSeEYwFnViiqk1AbexVe1VDR73UApmeuvfn6Yr2vN8WXjwGu2Q/viewform?edit2=2_ABaOnudWUtbI56zl4jjAw-t_Jp31cL-ZDR1N2ldvIT3HTAmO71g-YHa0zk4C0q7X_R-ztR0&amp;source=documentstudio&amp;timestamp=1768464418567" TargetMode="External"/><Relationship Id="rId124" Type="http://schemas.openxmlformats.org/officeDocument/2006/relationships/hyperlink" Target="https://drive.google.com/open?id=1cNhqKGXfcC_phCT2y0DnVtLTh8qI7n4S" TargetMode="External"/><Relationship Id="rId569" Type="http://schemas.openxmlformats.org/officeDocument/2006/relationships/hyperlink" Target="https://drive.google.com/open?id=1oW7H_ayfijd_uz5DG2Y0mqGr735Pfip3" TargetMode="External"/><Relationship Id="rId776" Type="http://schemas.openxmlformats.org/officeDocument/2006/relationships/hyperlink" Target="https://drive.google.com/open?id=1rHY_gwC_2HaDMb1vVojBQ-allkMF92bM" TargetMode="External"/><Relationship Id="rId983" Type="http://schemas.openxmlformats.org/officeDocument/2006/relationships/hyperlink" Target="https://docs.google.com/forms/d/e/1FAIpQLSeEYwFnViiqk1AbexVe1VDR73UApmeuvfn6Yr2vN8WXjwGu2Q/viewform?edit2=2_ABaOnuegTotfR4ZIl0o3dPDW1UJhxz0fu4JIeI4P8GOEr_nFMW51sxZCY83kH5h6Z5fPfqI&amp;source=documentstudio&amp;timestamp=1723420460130" TargetMode="External"/><Relationship Id="rId1199" Type="http://schemas.openxmlformats.org/officeDocument/2006/relationships/hyperlink" Target="https://docs.google.com/forms/d/e/1FAIpQLSeEYwFnViiqk1AbexVe1VDR73UApmeuvfn6Yr2vN8WXjwGu2Q/viewform?edit2=2_ABaOnufBFoTiqud5W0MgHHDVJL_sW0xUCdNw7Y7tk8Re8l_gSMhIQHL-I_GLxV6ZARn17A8&amp;source=documentstudio&amp;timestamp=1730950694151" TargetMode="External"/><Relationship Id="rId2457" Type="http://schemas.openxmlformats.org/officeDocument/2006/relationships/hyperlink" Target="https://docs.google.com/forms/d/e/1FAIpQLSeEYwFnViiqk1AbexVe1VDR73UApmeuvfn6Yr2vN8WXjwGu2Q/viewform?edit2=2_ABaOnudG_SZblfic9NUQz_J7Rr_UMWrzZOG2jaOxhmmf6W0REZabXRYbJ-Jr0wVJ1ySIQHo&amp;source=documentstudio&amp;timestamp=1768442237334" TargetMode="External"/><Relationship Id="rId2664" Type="http://schemas.openxmlformats.org/officeDocument/2006/relationships/hyperlink" Target="https://drive.google.com/open?id=1alaVrOr61fSoFeX2-DMHFD142u7Kds9B" TargetMode="External"/><Relationship Id="rId331" Type="http://schemas.openxmlformats.org/officeDocument/2006/relationships/hyperlink" Target="https://drive.google.com/open?id=1DN27a1AmDeMR-bCH9z6OMp59VOyUO05U" TargetMode="External"/><Relationship Id="rId429" Type="http://schemas.openxmlformats.org/officeDocument/2006/relationships/hyperlink" Target="https://drive.google.com/open?id=1nBY6N-UhBFjNdhjAZlhFkM5UFlMQd_rE" TargetMode="External"/><Relationship Id="rId636" Type="http://schemas.openxmlformats.org/officeDocument/2006/relationships/hyperlink" Target="https://drive.google.com/open?id=11SMAnb8x07NbJV8lYOE3HqUbH9Lk9TUf" TargetMode="External"/><Relationship Id="rId1059" Type="http://schemas.openxmlformats.org/officeDocument/2006/relationships/hyperlink" Target="https://docs.google.com/forms/d/e/1FAIpQLSeEYwFnViiqk1AbexVe1VDR73UApmeuvfn6Yr2vN8WXjwGu2Q/viewform?edit2=2_ABaOnucJ6LWfHrDD5wHa5Z5xJhQo-apOotstjJlkRy8lxLf_hEO43_-O-Bh0m6M-4PEK5d8&amp;source=documentstudio&amp;timestamp=1725508500937" TargetMode="External"/><Relationship Id="rId1266" Type="http://schemas.openxmlformats.org/officeDocument/2006/relationships/hyperlink" Target="https://drive.google.com/open?id=1mGhvt_IrfSp_88F42tpqzXFRMT4Qf2Cz" TargetMode="External"/><Relationship Id="rId1473" Type="http://schemas.openxmlformats.org/officeDocument/2006/relationships/hyperlink" Target="https://docs.google.com/forms/d/e/1FAIpQLSeEYwFnViiqk1AbexVe1VDR73UApmeuvfn6Yr2vN8WXjwGu2Q/viewform?edit2=2_ABaOnudpjtEU_-C-f721Y19MVtU3AjgwJbcCtmh3eb81gOV1hTD4Bwz-ABlJLbgrjBVHvUs&amp;source=documentstudio&amp;timestamp=1737449841446" TargetMode="External"/><Relationship Id="rId2012" Type="http://schemas.openxmlformats.org/officeDocument/2006/relationships/hyperlink" Target="https://drive.google.com/open?id=13BSgK1kKpKGnFWKrjcfh4WZVbuzm9m0c" TargetMode="External"/><Relationship Id="rId2317" Type="http://schemas.openxmlformats.org/officeDocument/2006/relationships/hyperlink" Target="https://docs.google.com/forms/d/e/1FAIpQLSeEYwFnViiqk1AbexVe1VDR73UApmeuvfn6Yr2vN8WXjwGu2Q/viewform?edit2=2_ABaOnueCxl7FdPX2locSH7jRHgZVOtA-TCsmv8EahtYVV2VT5lDPW_71vWfvPROSrenOHQg&amp;source=documentstudio&amp;timestamp=1760518105896" TargetMode="External"/><Relationship Id="rId2871" Type="http://schemas.openxmlformats.org/officeDocument/2006/relationships/hyperlink" Target="https://docs.google.com/forms/d/e/1FAIpQLSeEYwFnViiqk1AbexVe1VDR73UApmeuvfn6Yr2vN8WXjwGu2Q/viewform?edit2=2_ABaOnuck3nVPTmlR_s3dpNFTWFW-zRHMPpOqo-VW-jl-SCDGqsz6MOO9ufcF9sNKJvVDyqg&amp;source=documentstudio&amp;timestamp=1769416526047" TargetMode="External"/><Relationship Id="rId843" Type="http://schemas.openxmlformats.org/officeDocument/2006/relationships/hyperlink" Target="https://docs.google.com/forms/d/e/1FAIpQLSeEYwFnViiqk1AbexVe1VDR73UApmeuvfn6Yr2vN8WXjwGu2Q/viewform?edit2=2_ABaOnuc5UCw_rS9L4vZP2qK6RkzDJNdlyq3rI6FUJeKViNND-MV1li8CoAYHT1LLaatv19k&amp;source=documentstudio&amp;timestamp=1720487507667" TargetMode="External"/><Relationship Id="rId1126" Type="http://schemas.openxmlformats.org/officeDocument/2006/relationships/hyperlink" Target="https://drive.google.com/open?id=1Q2NA8Fq2jPgTPYMHekxMBRJ2GKQfeyyE" TargetMode="External"/><Relationship Id="rId1680" Type="http://schemas.openxmlformats.org/officeDocument/2006/relationships/hyperlink" Target="https://drive.google.com/open?id=1DHduHZ8I3VFipvl6J-shdOsyNnRKrFO2" TargetMode="External"/><Relationship Id="rId1778" Type="http://schemas.openxmlformats.org/officeDocument/2006/relationships/hyperlink" Target="https://docs.google.com/forms/d/e/1FAIpQLSeEYwFnViiqk1AbexVe1VDR73UApmeuvfn6Yr2vN8WXjwGu2Q/viewform?edit2=2_ABaOnuf1lIiFGpMR74JnHbfBxESae1xuUr-Nx4uCRBMJOMFzP2IjBPHWFUVYsEbRohz45oA&amp;source=documentstudio&amp;timestamp=1741573904740" TargetMode="External"/><Relationship Id="rId1985" Type="http://schemas.openxmlformats.org/officeDocument/2006/relationships/hyperlink" Target="https://docs.google.com/forms/d/e/1FAIpQLSeEYwFnViiqk1AbexVe1VDR73UApmeuvfn6Yr2vN8WXjwGu2Q/viewform?edit2=2_ABaOnudIQVA1k5zYxT8ZHZc9UOzD0-t6yNrHrbXB9g79rxCWVenz7Rith_qMGudUeqmNFLM&amp;source=documentstudio&amp;timestamp=1748217839722" TargetMode="External"/><Relationship Id="rId2524" Type="http://schemas.openxmlformats.org/officeDocument/2006/relationships/hyperlink" Target="https://drive.google.com/open?id=1lBwqV_ac56Od_mKwNyCxUonw-aJXuMmC" TargetMode="External"/><Relationship Id="rId2731" Type="http://schemas.openxmlformats.org/officeDocument/2006/relationships/hyperlink" Target="https://docs.google.com/forms/d/e/1FAIpQLSeEYwFnViiqk1AbexVe1VDR73UApmeuvfn6Yr2vN8WXjwGu2Q/viewform?edit2=2_ABaOnueWo_o5FjWkkKTjtcLi8w9dXVczMe7tJhHt_gfBazvkYGhJqWkcU7Ho0DMdMuaLF1w&amp;source=documentstudio&amp;timestamp=1768797779140" TargetMode="External"/><Relationship Id="rId2829" Type="http://schemas.openxmlformats.org/officeDocument/2006/relationships/hyperlink" Target="https://docs.google.com/forms/d/e/1FAIpQLSeEYwFnViiqk1AbexVe1VDR73UApmeuvfn6Yr2vN8WXjwGu2Q/viewform?edit2=2_ABaOnucsltSalB7WE1G9pQe3LMJMZBQJ1FrdEAnKDt5EohWQ4kcBJzNcLDk8wlTPabSUQMU&amp;source=documentstudio&amp;timestamp=1769395881127" TargetMode="External"/><Relationship Id="rId703" Type="http://schemas.openxmlformats.org/officeDocument/2006/relationships/hyperlink" Target="https://docs.google.com/forms/d/e/1FAIpQLSeEYwFnViiqk1AbexVe1VDR73UApmeuvfn6Yr2vN8WXjwGu2Q/viewform?edit2=2_ABaOnueLSVCl3uxSrowfyDME-sBMds1owZUIPBiNXAnIDwI9U6pDoVX2EKc-Eh4XhRTb8TQ&amp;source=documentstudio&amp;timestamp=1717553050715" TargetMode="External"/><Relationship Id="rId910" Type="http://schemas.openxmlformats.org/officeDocument/2006/relationships/hyperlink" Target="https://drive.google.com/open?id=1LBcTgrnBnBPjMNo36k4U0CLiYct5OwdK" TargetMode="External"/><Relationship Id="rId1333" Type="http://schemas.openxmlformats.org/officeDocument/2006/relationships/hyperlink" Target="https://docs.google.com/forms/d/e/1FAIpQLSeEYwFnViiqk1AbexVe1VDR73UApmeuvfn6Yr2vN8WXjwGu2Q/viewform?edit2=2_ABaOnucgpsbZob-FqE92yClv6GsOo2LjsiPHg2mUUNTeTpR_raebUV9QtvG5wBN80l0rzp8&amp;source=documentstudio&amp;timestamp=1736135160235" TargetMode="External"/><Relationship Id="rId1540" Type="http://schemas.openxmlformats.org/officeDocument/2006/relationships/hyperlink" Target="https://drive.google.com/open?id=11t2eNuzsyNSgIelXcyBLLW84JGDG4RnV" TargetMode="External"/><Relationship Id="rId1638" Type="http://schemas.openxmlformats.org/officeDocument/2006/relationships/hyperlink" Target="https://drive.google.com/open?id=1R1-za8BfFYGfsBhDvez3D9JAK9pN-qia" TargetMode="External"/><Relationship Id="rId1400" Type="http://schemas.openxmlformats.org/officeDocument/2006/relationships/hyperlink" Target="https://drive.google.com/open?id=1OCKKUaLXKK92kZnrCe5lyyTzKTxuhS9j" TargetMode="External"/><Relationship Id="rId1845" Type="http://schemas.openxmlformats.org/officeDocument/2006/relationships/hyperlink" Target="https://drive.google.com/open?id=1rnHpAU8ITjTPJ6qPJEyAUUQ6-XqSoLSV" TargetMode="External"/><Relationship Id="rId1705" Type="http://schemas.openxmlformats.org/officeDocument/2006/relationships/hyperlink" Target="https://drive.google.com/open?id=1pKyG61G7Z3w5xnWqXH0uLCzhCOlPGymr" TargetMode="External"/><Relationship Id="rId1912" Type="http://schemas.openxmlformats.org/officeDocument/2006/relationships/hyperlink" Target="https://docs.google.com/forms/d/e/1FAIpQLSeEYwFnViiqk1AbexVe1VDR73UApmeuvfn6Yr2vN8WXjwGu2Q/viewform?edit2=2_ABaOnuf999Ir_-Hj1pUVeY36xrWWTqhKYVkbw51V1nhVLr86ketYHY86AmOeNMhRJ_7XCN4&amp;source=documentstudio&amp;timestamp=1745310930635" TargetMode="External"/><Relationship Id="rId286" Type="http://schemas.openxmlformats.org/officeDocument/2006/relationships/hyperlink" Target="https://drive.google.com/open?id=1VgQLs-ffcSzCYSzZ4zXJLBTBwVyNAxL4" TargetMode="External"/><Relationship Id="rId493" Type="http://schemas.openxmlformats.org/officeDocument/2006/relationships/hyperlink" Target="https://drive.google.com/open?id=173LagAA-wZpUD3skzrkmeisE5lsUzJJ8" TargetMode="External"/><Relationship Id="rId2174" Type="http://schemas.openxmlformats.org/officeDocument/2006/relationships/hyperlink" Target="https://drive.google.com/open?id=176-3tIJqGcOwFD-93T_PKGHBxb8TwqRD" TargetMode="External"/><Relationship Id="rId2381" Type="http://schemas.openxmlformats.org/officeDocument/2006/relationships/hyperlink" Target="https://docs.google.com/forms/d/e/1FAIpQLSeEYwFnViiqk1AbexVe1VDR73UApmeuvfn6Yr2vN8WXjwGu2Q/viewform?edit2=2_ABaOnueXtCsByDDsdZu7DAaODP5gOM95qxdk4V-DmZm8u6IfMyIK34byfweFb6uOOpoCvn8&amp;source=documentstudio&amp;timestamp=1768437393536" TargetMode="External"/><Relationship Id="rId146" Type="http://schemas.openxmlformats.org/officeDocument/2006/relationships/hyperlink" Target="https://drive.google.com/open?id=16CeVBgiCrZ7xAI_tycaGy1-hL0PNhvwk" TargetMode="External"/><Relationship Id="rId353" Type="http://schemas.openxmlformats.org/officeDocument/2006/relationships/hyperlink" Target="https://drive.google.com/open?id=1IM1r1dUzbC69UvGLbEsmJ4Yp2O973561" TargetMode="External"/><Relationship Id="rId560" Type="http://schemas.openxmlformats.org/officeDocument/2006/relationships/hyperlink" Target="https://drive.google.com/open?id=1U2And2EBKjPSi1kkI7Zqb5qFTGn5Z55D" TargetMode="External"/><Relationship Id="rId798" Type="http://schemas.openxmlformats.org/officeDocument/2006/relationships/hyperlink" Target="https://drive.google.com/open?id=1NRJ3ly5AVPSoqmDpKuOmIojm_Azbof2K" TargetMode="External"/><Relationship Id="rId1190" Type="http://schemas.openxmlformats.org/officeDocument/2006/relationships/hyperlink" Target="https://drive.google.com/open?id=16fAJiA3q-ScKCbdNfkUAJhlGchMszdsl" TargetMode="External"/><Relationship Id="rId2034" Type="http://schemas.openxmlformats.org/officeDocument/2006/relationships/hyperlink" Target="https://drive.google.com/open?id=1pVdCCbgAjyQ4ysUO5Dx207Z39yzxMDkJ" TargetMode="External"/><Relationship Id="rId2241" Type="http://schemas.openxmlformats.org/officeDocument/2006/relationships/hyperlink" Target="https://docs.google.com/forms/d/e/1FAIpQLSeEYwFnViiqk1AbexVe1VDR73UApmeuvfn6Yr2vN8WXjwGu2Q/viewform?edit2=2_ABaOnuettNNb1V3VnEaxrl6hLjNMctPQNg8HvGFldFcNDMwBwr0vzIk1XKVQgMiJ4qWzf4s&amp;source=documentstudio&amp;timestamp=1756432385995" TargetMode="External"/><Relationship Id="rId2479" Type="http://schemas.openxmlformats.org/officeDocument/2006/relationships/hyperlink" Target="https://docs.google.com/forms/d/e/1FAIpQLSeEYwFnViiqk1AbexVe1VDR73UApmeuvfn6Yr2vN8WXjwGu2Q/viewform?edit2=2_ABaOnud2Ql7972I1PfHDvC4xoJyOoqJSA6xjgqXpHIRo1MFkdgxTIY32LsBhsnALELrRp0o&amp;source=documentstudio&amp;timestamp=1768443099784" TargetMode="External"/><Relationship Id="rId2686" Type="http://schemas.openxmlformats.org/officeDocument/2006/relationships/hyperlink" Target="https://drive.google.com/open?id=1YJD6y4PE_-7G-_0GXLaAJecUgRNx2rRz" TargetMode="External"/><Relationship Id="rId2893" Type="http://schemas.openxmlformats.org/officeDocument/2006/relationships/hyperlink" Target="https://drive.google.com/open?id=1Ut0HjEaN710EFGBUHqmKF6Cuov29qpvr" TargetMode="External"/><Relationship Id="rId213" Type="http://schemas.openxmlformats.org/officeDocument/2006/relationships/hyperlink" Target="https://drive.google.com/open?id=1YyInJyQ23nRbyPPym4ggWqnq_7ECZqtj" TargetMode="External"/><Relationship Id="rId420" Type="http://schemas.openxmlformats.org/officeDocument/2006/relationships/hyperlink" Target="https://drive.google.com/open?id=1adahroTob-Qr3ZL0PPvJL0kFGW2eeNCG" TargetMode="External"/><Relationship Id="rId658" Type="http://schemas.openxmlformats.org/officeDocument/2006/relationships/hyperlink" Target="https://drive.google.com/open?id=1nOOJ1M30Df2eDIBMXLLu6aWP1hgRuGoh" TargetMode="External"/><Relationship Id="rId865" Type="http://schemas.openxmlformats.org/officeDocument/2006/relationships/hyperlink" Target="https://docs.google.com/forms/d/e/1FAIpQLSeEYwFnViiqk1AbexVe1VDR73UApmeuvfn6Yr2vN8WXjwGu2Q/viewform?edit2=2_ABaOnudF_iu60tExvyEpjsEtweJfvrcZ8KhIMlKODMrMMcttIUlJ81DKNBRHk15_SUTGIjw&amp;source=documentstudio&amp;timestamp=1720488288387" TargetMode="External"/><Relationship Id="rId1050" Type="http://schemas.openxmlformats.org/officeDocument/2006/relationships/hyperlink" Target="https://drive.google.com/open?id=1k_1I-WsObBqaTbo-vRb6AgOgSM0LOCT3" TargetMode="External"/><Relationship Id="rId1288" Type="http://schemas.openxmlformats.org/officeDocument/2006/relationships/hyperlink" Target="https://drive.google.com/open?id=1K7dOEPGaXFasoqRTFnRqQk03KNtz5xLY" TargetMode="External"/><Relationship Id="rId1495" Type="http://schemas.openxmlformats.org/officeDocument/2006/relationships/hyperlink" Target="https://docs.google.com/forms/d/e/1FAIpQLSeEYwFnViiqk1AbexVe1VDR73UApmeuvfn6Yr2vN8WXjwGu2Q/viewform?edit2=2_ABaOnuerEjvKHM7OdA4A-No3BWeMulqDxv5R3LkJKUlB-oqwbZHu8zY2WqowRTsRSB1dluE&amp;source=documentstudio&amp;timestamp=1738630603889" TargetMode="External"/><Relationship Id="rId2101" Type="http://schemas.openxmlformats.org/officeDocument/2006/relationships/hyperlink" Target="https://docs.google.com/forms/d/e/1FAIpQLSeEYwFnViiqk1AbexVe1VDR73UApmeuvfn6Yr2vN8WXjwGu2Q/viewform?edit2=2_ABaOnucWNdv6jJvcZtnbSQAPwGMbriLqAo4pd9C7CiN709w6lsMEBQemSIFzIrgnFt2y5As&amp;source=documentstudio&amp;timestamp=1748917217547" TargetMode="External"/><Relationship Id="rId2339" Type="http://schemas.openxmlformats.org/officeDocument/2006/relationships/hyperlink" Target="https://docs.google.com/forms/d/e/1FAIpQLSeEYwFnViiqk1AbexVe1VDR73UApmeuvfn6Yr2vN8WXjwGu2Q/viewform?edit2=2_ABaOnuf-kHjRitBhSqOBBItD65mbj68nJ_aUh0K1cs7MVWFEcJvonCDeU-DRHa_Snh8UVU0&amp;source=documentstudio&amp;timestamp=1764830485405" TargetMode="External"/><Relationship Id="rId2546" Type="http://schemas.openxmlformats.org/officeDocument/2006/relationships/hyperlink" Target="https://drive.google.com/open?id=1_elVbUH1JiDaW7_9Wnyw0vdn9rJU7zOK" TargetMode="External"/><Relationship Id="rId2753" Type="http://schemas.openxmlformats.org/officeDocument/2006/relationships/hyperlink" Target="https://docs.google.com/forms/d/e/1FAIpQLSeEYwFnViiqk1AbexVe1VDR73UApmeuvfn6Yr2vN8WXjwGu2Q/viewform?edit2=2_ABaOnudjd-lbYBDXWmD871cMR0deGsSOEehG92RxqAGEUWDCmEsSNZJRXzwx1CisJEPcfoY&amp;source=documentstudio&amp;timestamp=1768882161801" TargetMode="External"/><Relationship Id="rId2960" Type="http://schemas.openxmlformats.org/officeDocument/2006/relationships/hyperlink" Target="https://docs.google.com/forms/d/e/1FAIpQLSeEYwFnViiqk1AbexVe1VDR73UApmeuvfn6Yr2vN8WXjwGu2Q/viewform?edit2=2_ABaOnufLG-5l4ExYINVlYdqZrv7VdrpVeGkwptnWasbd3K9oaFmoPR5JYhNAfto_pjFcHpY&amp;source=documentstudio&amp;timestamp=1769648104682" TargetMode="External"/><Relationship Id="rId518" Type="http://schemas.openxmlformats.org/officeDocument/2006/relationships/hyperlink" Target="https://drive.google.com/open?id=1_8HD2_omKpPZEpLUCVsACH2-Q7dtMZi6" TargetMode="External"/><Relationship Id="rId725" Type="http://schemas.openxmlformats.org/officeDocument/2006/relationships/hyperlink" Target="https://docs.google.com/forms/d/e/1FAIpQLSeEYwFnViiqk1AbexVe1VDR73UApmeuvfn6Yr2vN8WXjwGu2Q/viewform?edit2=2_ABaOnudPLdEqlElRGSmKuGt-0bMiEZbxBUQD0j0T1gUV5hggxLwHILbP4LhXhG2QdKldx64&amp;source=documentstudio&amp;timestamp=1717983886284" TargetMode="External"/><Relationship Id="rId932" Type="http://schemas.openxmlformats.org/officeDocument/2006/relationships/hyperlink" Target="https://drive.google.com/open?id=1G0gH_WmzhHqGh5MsbaReI-vF6br1-_ba" TargetMode="External"/><Relationship Id="rId1148" Type="http://schemas.openxmlformats.org/officeDocument/2006/relationships/hyperlink" Target="https://drive.google.com/open?id=1iH66_kkRkmVHaBeP2_bS6h_pDULJG1If" TargetMode="External"/><Relationship Id="rId1355" Type="http://schemas.openxmlformats.org/officeDocument/2006/relationships/hyperlink" Target="https://docs.google.com/forms/d/e/1FAIpQLSeEYwFnViiqk1AbexVe1VDR73UApmeuvfn6Yr2vN8WXjwGu2Q/viewform?edit2=2_ABaOnudK7NwMoIc4xBlXN8rjuino3DeQjudnBvqWW1AmIoCJRcLPpaqkVCZEu3pUmPIyg-I&amp;source=documentstudio&amp;timestamp=1736212824519" TargetMode="External"/><Relationship Id="rId1562" Type="http://schemas.openxmlformats.org/officeDocument/2006/relationships/hyperlink" Target="https://drive.google.com/open?id=1Xe4bH7D4WMXjF7P7-ppyyOLOOjXROYM3" TargetMode="External"/><Relationship Id="rId2406" Type="http://schemas.openxmlformats.org/officeDocument/2006/relationships/hyperlink" Target="https://drive.google.com/open?id=1fPjZEH828k-Kvt1Y2MsF10DtYozWMPnd" TargetMode="External"/><Relationship Id="rId2613" Type="http://schemas.openxmlformats.org/officeDocument/2006/relationships/hyperlink" Target="https://docs.google.com/forms/d/e/1FAIpQLSeEYwFnViiqk1AbexVe1VDR73UApmeuvfn6Yr2vN8WXjwGu2Q/viewform?edit2=2_ABaOnuePcmmIGKZirz1PaeYtnQoK5NU08Aw_3IVFIqH2S5bFeiYPOD_1CHTd-9HcxxkiJ9k&amp;source=documentstudio&amp;timestamp=1768465974648" TargetMode="External"/><Relationship Id="rId1008" Type="http://schemas.openxmlformats.org/officeDocument/2006/relationships/hyperlink" Target="https://drive.google.com/open?id=1DAfnZpFTSPpNQNqQxhsU_qfomeV2IP3K" TargetMode="External"/><Relationship Id="rId1215" Type="http://schemas.openxmlformats.org/officeDocument/2006/relationships/hyperlink" Target="https://docs.google.com/forms/d/e/1FAIpQLSeEYwFnViiqk1AbexVe1VDR73UApmeuvfn6Yr2vN8WXjwGu2Q/viewform?edit2=2_ABaOnueCKmtcYMut2U_4ePuar5F9Tt-JlmLVApAyo4QOS7D4nQOMoOJuS6x1_9C7PO8tlug&amp;source=documentstudio&amp;timestamp=1731550592569" TargetMode="External"/><Relationship Id="rId1422" Type="http://schemas.openxmlformats.org/officeDocument/2006/relationships/hyperlink" Target="https://drive.google.com/open?id=1VCbklcK1g4o66Jj0q5puYrscm10IrIsx" TargetMode="External"/><Relationship Id="rId1867" Type="http://schemas.openxmlformats.org/officeDocument/2006/relationships/hyperlink" Target="https://drive.google.com/open?id=1WWkRbAVyLW9vAlS9_NICheBPLQRt2o3Y" TargetMode="External"/><Relationship Id="rId2820" Type="http://schemas.openxmlformats.org/officeDocument/2006/relationships/hyperlink" Target="https://drive.google.com/open?id=1nS2m9nuamDSlPJFJ5zybcFoa0Bb1WCYy" TargetMode="External"/><Relationship Id="rId2918" Type="http://schemas.openxmlformats.org/officeDocument/2006/relationships/hyperlink" Target="https://docs.google.com/forms/d/e/1FAIpQLSeEYwFnViiqk1AbexVe1VDR73UApmeuvfn6Yr2vN8WXjwGu2Q/viewform?edit2=2_ABaOnufkOmwC_JoCoIeOOn20HNSkQb5Ss1VIRIFDV1AeBj7Ck9IuLQm1KR6OfEnarwvqT_8&amp;source=documentstudio&amp;timestamp=1769587568474" TargetMode="External"/><Relationship Id="rId61" Type="http://schemas.openxmlformats.org/officeDocument/2006/relationships/hyperlink" Target="https://drive.google.com/open?id=11yyzGBJLB41nygzQj9hCKkgAU-sA0TuJ" TargetMode="External"/><Relationship Id="rId1727" Type="http://schemas.openxmlformats.org/officeDocument/2006/relationships/hyperlink" Target="https://docs.google.com/forms/d/e/1FAIpQLSeEYwFnViiqk1AbexVe1VDR73UApmeuvfn6Yr2vN8WXjwGu2Q/viewform?edit2=2_ABaOnucagN70VcQoxw7bIAigrGysMrfv5ZYWu_tNwDkS3DwkJH5Gg5IO3ERC8UFfRnOMqb4&amp;source=documentstudio&amp;timestamp=1741341284027" TargetMode="External"/><Relationship Id="rId1934" Type="http://schemas.openxmlformats.org/officeDocument/2006/relationships/hyperlink" Target="https://docs.google.com/forms/d/e/1FAIpQLSeEYwFnViiqk1AbexVe1VDR73UApmeuvfn6Yr2vN8WXjwGu2Q/viewform?edit2=2_ABaOnueVgINML8r4sW9TZDGZM6okd07N8aVFfweRUNzvcu9xKfz8EtBx2qPMSwj5grbYZ_I&amp;source=documentstudio&amp;timestamp=1745573597470" TargetMode="External"/><Relationship Id="rId19" Type="http://schemas.openxmlformats.org/officeDocument/2006/relationships/hyperlink" Target="https://drive.google.com/open?id=13H8HHcmsVtF34-xxi5prRjfpYDa7hhne" TargetMode="External"/><Relationship Id="rId2196" Type="http://schemas.openxmlformats.org/officeDocument/2006/relationships/hyperlink" Target="https://drive.google.com/open?id=1tbiC1BzoRcu2C2XlilHiyOjjVYcjmtKR" TargetMode="External"/><Relationship Id="rId168" Type="http://schemas.openxmlformats.org/officeDocument/2006/relationships/hyperlink" Target="https://drive.google.com/open?id=1fscqPJlAS610cHc2e-WXTa3P1mRW05W3" TargetMode="External"/><Relationship Id="rId375" Type="http://schemas.openxmlformats.org/officeDocument/2006/relationships/hyperlink" Target="https://drive.google.com/open?id=1BsAKcmidae4cFfDctltwUM-S5nGNkyeH" TargetMode="External"/><Relationship Id="rId582" Type="http://schemas.openxmlformats.org/officeDocument/2006/relationships/hyperlink" Target="https://drive.google.com/open?id=1OwcxKiV5gbQsTwEDFpWUt7KWdPf2FCBe" TargetMode="External"/><Relationship Id="rId2056" Type="http://schemas.openxmlformats.org/officeDocument/2006/relationships/hyperlink" Target="https://drive.google.com/open?id=1czTlyGVQwMywjHK6kql9NPA6YcujvbSk" TargetMode="External"/><Relationship Id="rId2263" Type="http://schemas.openxmlformats.org/officeDocument/2006/relationships/hyperlink" Target="https://docs.google.com/forms/d/e/1FAIpQLSeEYwFnViiqk1AbexVe1VDR73UApmeuvfn6Yr2vN8WXjwGu2Q/viewform?edit2=2_ABaOnue-ErFixVmk3CavKxBhU4d0V2E6ynN44QM7Fp6RSLp0EruabkeQwGGqVI7xxy8HH-0&amp;source=documentstudio&amp;timestamp=1757401794340" TargetMode="External"/><Relationship Id="rId2470" Type="http://schemas.openxmlformats.org/officeDocument/2006/relationships/hyperlink" Target="https://drive.google.com/open?id=1ZecfZ0l-EWMkW-gCf9t7IojbP-qymtgZ" TargetMode="External"/><Relationship Id="rId3" Type="http://schemas.openxmlformats.org/officeDocument/2006/relationships/hyperlink" Target="https://drive.google.com/open?id=1EkHOa1Xj4wlMev1Ufk7kRFV1yVBazWg8" TargetMode="External"/><Relationship Id="rId235" Type="http://schemas.openxmlformats.org/officeDocument/2006/relationships/hyperlink" Target="https://drive.google.com/open?id=1XyFEzHx5hw-0F_FVYoD4eORHEXkU4bqm" TargetMode="External"/><Relationship Id="rId442" Type="http://schemas.openxmlformats.org/officeDocument/2006/relationships/hyperlink" Target="https://drive.google.com/open?id=1dh8EkDhl3HLUcY3VpvQj-mWs4xeE3Nr1" TargetMode="External"/><Relationship Id="rId887" Type="http://schemas.openxmlformats.org/officeDocument/2006/relationships/hyperlink" Target="https://docs.google.com/forms/d/e/1FAIpQLSeEYwFnViiqk1AbexVe1VDR73UApmeuvfn6Yr2vN8WXjwGu2Q/viewform?edit2=2_ABaOnudSh-0o4DKeMuVHfZfTTMazUZKMi8rOcD2ts2Fs6yRRajSFLGvBnHCOntgBrt-h6p8&amp;source=documentstudio&amp;timestamp=1720490804534" TargetMode="External"/><Relationship Id="rId1072" Type="http://schemas.openxmlformats.org/officeDocument/2006/relationships/hyperlink" Target="https://drive.google.com/open?id=1XixG5kPddfB-UeV35tWMKf2Fg5ASoTZg" TargetMode="External"/><Relationship Id="rId2123" Type="http://schemas.openxmlformats.org/officeDocument/2006/relationships/hyperlink" Target="https://docs.google.com/forms/d/e/1FAIpQLSeEYwFnViiqk1AbexVe1VDR73UApmeuvfn6Yr2vN8WXjwGu2Q/viewform?edit2=2_ABaOnud2hJ5hSvPnxVr6mJ03YlTYVA9PdX4aENwhvyQpOuUR8ip46VTDBEFa60_bdBxxEHI&amp;source=documentstudio&amp;timestamp=1748920059042" TargetMode="External"/><Relationship Id="rId2330" Type="http://schemas.openxmlformats.org/officeDocument/2006/relationships/hyperlink" Target="https://drive.google.com/open?id=10BaWb3-RyhB__OmpaFDM550LsJpWt86M" TargetMode="External"/><Relationship Id="rId2568" Type="http://schemas.openxmlformats.org/officeDocument/2006/relationships/hyperlink" Target="https://drive.google.com/open?id=1R0RV2w-NBpBlBWwSFj_YXzC_p1Ru0vU1" TargetMode="External"/><Relationship Id="rId2775" Type="http://schemas.openxmlformats.org/officeDocument/2006/relationships/hyperlink" Target="https://docs.google.com/forms/d/e/1FAIpQLSeEYwFnViiqk1AbexVe1VDR73UApmeuvfn6Yr2vN8WXjwGu2Q/viewform?edit2=2_ABaOnudeckZ6H-hBkuYHmAeXJMa_knU4TRMabXUJo4ykdp29gdOQvJ2pT9sIu74GmB_aKY4&amp;source=documentstudio&amp;timestamp=1768960339990" TargetMode="External"/><Relationship Id="rId302" Type="http://schemas.openxmlformats.org/officeDocument/2006/relationships/hyperlink" Target="https://drive.google.com/open?id=1CIslBsIG4uXh4pKtXpKhVESncQbAD9tJ" TargetMode="External"/><Relationship Id="rId747" Type="http://schemas.openxmlformats.org/officeDocument/2006/relationships/hyperlink" Target="https://docs.google.com/forms/d/e/1FAIpQLSeEYwFnViiqk1AbexVe1VDR73UApmeuvfn6Yr2vN8WXjwGu2Q/viewform?edit2=2_ABaOnue_Uew16FLHoTPEKrKKZ1xahk6sMb0grUAVlLAorsQFZZ1RWh3W72vYqsgdzUG7gJc&amp;source=documentstudio&amp;timestamp=1718070588803" TargetMode="External"/><Relationship Id="rId954" Type="http://schemas.openxmlformats.org/officeDocument/2006/relationships/hyperlink" Target="https://drive.google.com/open?id=1xk6Aza8-W6zN8wtFtul3HfR8LJr75Iii" TargetMode="External"/><Relationship Id="rId1377" Type="http://schemas.openxmlformats.org/officeDocument/2006/relationships/hyperlink" Target="https://docs.google.com/forms/d/e/1FAIpQLSeEYwFnViiqk1AbexVe1VDR73UApmeuvfn6Yr2vN8WXjwGu2Q/viewform?edit2=2_ABaOnudb3cRVtjg6XlxE_uzaoypVggHIMIITSvdDStCvqMShxrOAT_SaL0hdAz4c8Yn2dKo&amp;source=documentstudio&amp;timestamp=1736407571642" TargetMode="External"/><Relationship Id="rId1584" Type="http://schemas.openxmlformats.org/officeDocument/2006/relationships/hyperlink" Target="https://drive.google.com/open?id=13vRrt20slhetRd3Tpcfouj5YPYLtePWv" TargetMode="External"/><Relationship Id="rId1791" Type="http://schemas.openxmlformats.org/officeDocument/2006/relationships/hyperlink" Target="https://drive.google.com/open?id=1WNs3CjbWFl0v22YFzQqi9Bmw1bufoIYl" TargetMode="External"/><Relationship Id="rId2428" Type="http://schemas.openxmlformats.org/officeDocument/2006/relationships/hyperlink" Target="https://drive.google.com/open?id=1fR_Pf69-Ik0YvfuEKHr9ciGoYETInYat" TargetMode="External"/><Relationship Id="rId2635" Type="http://schemas.openxmlformats.org/officeDocument/2006/relationships/hyperlink" Target="https://docs.google.com/forms/d/e/1FAIpQLSeEYwFnViiqk1AbexVe1VDR73UApmeuvfn6Yr2vN8WXjwGu2Q/viewform?edit2=2_ABaOnucM_V1hynY3RNhwf-ZWuY38oWUXElGzflE0S6XvR6_eL6eVjwxNv3bE5jdA7aX0KtQ&amp;source=documentstudio&amp;timestamp=1768787802916" TargetMode="External"/><Relationship Id="rId2842" Type="http://schemas.openxmlformats.org/officeDocument/2006/relationships/hyperlink" Target="https://drive.google.com/open?id=1PSz6Dx1-J4RwHyH-ab-ujKfeOHpMLNIK" TargetMode="External"/><Relationship Id="rId83" Type="http://schemas.openxmlformats.org/officeDocument/2006/relationships/hyperlink" Target="https://drive.google.com/open?id=1t4BcEZU44lXkf0nM3up8phdogsyHxm0-" TargetMode="External"/><Relationship Id="rId607" Type="http://schemas.openxmlformats.org/officeDocument/2006/relationships/hyperlink" Target="https://drive.google.com/open?id=11p_AQ5udy6GNgGyExtXwVR7fihFE2skx" TargetMode="External"/><Relationship Id="rId814" Type="http://schemas.openxmlformats.org/officeDocument/2006/relationships/hyperlink" Target="https://drive.google.com/open?id=10x_WTBXYgbgVUWRIS-hm8U_aFdIyKpdZ" TargetMode="External"/><Relationship Id="rId1237" Type="http://schemas.openxmlformats.org/officeDocument/2006/relationships/hyperlink" Target="https://docs.google.com/forms/d/e/1FAIpQLSeEYwFnViiqk1AbexVe1VDR73UApmeuvfn6Yr2vN8WXjwGu2Q/viewform?edit2=2_ABaOnufpmGIqm14-1g3q-48Sj9IkCrJvdQeH7KVT4v3mWWZkS0AWe4J85YexkBnNUgo8SFI&amp;source=documentstudio&amp;timestamp=1731889157080" TargetMode="External"/><Relationship Id="rId1444" Type="http://schemas.openxmlformats.org/officeDocument/2006/relationships/hyperlink" Target="https://drive.google.com/open?id=1V2N2Gab6xXb8Z7KL9LTu1V-jcNpMGdAW" TargetMode="External"/><Relationship Id="rId1651" Type="http://schemas.openxmlformats.org/officeDocument/2006/relationships/hyperlink" Target="https://docs.google.com/forms/d/e/1FAIpQLSeEYwFnViiqk1AbexVe1VDR73UApmeuvfn6Yr2vN8WXjwGu2Q/viewform?edit2=2_ABaOnudrQOLYALvyKh0e8Uq725Zosi2Xta4eGRBe0tm2-LJ0UmzoXlu7za3IDZdT3-6y06A&amp;source=documentstudio&amp;timestamp=1741333620132" TargetMode="External"/><Relationship Id="rId1889" Type="http://schemas.openxmlformats.org/officeDocument/2006/relationships/hyperlink" Target="https://drive.google.com/open?id=1bSEJqk-fcs1M_njlxav5tIojl0onF7F8" TargetMode="External"/><Relationship Id="rId2702" Type="http://schemas.openxmlformats.org/officeDocument/2006/relationships/hyperlink" Target="https://drive.google.com/open?id=1XTpasIVYSKj04CbxPG0wucEFzTLC8LXf" TargetMode="External"/><Relationship Id="rId1304" Type="http://schemas.openxmlformats.org/officeDocument/2006/relationships/hyperlink" Target="https://drive.google.com/open?id=1Mm-doh_xulYWOeW_On2aZg4d-HGgV85H" TargetMode="External"/><Relationship Id="rId1511" Type="http://schemas.openxmlformats.org/officeDocument/2006/relationships/hyperlink" Target="https://docs.google.com/forms/d/e/1FAIpQLSeEYwFnViiqk1AbexVe1VDR73UApmeuvfn6Yr2vN8WXjwGu2Q/viewform?edit2=2_ABaOnufWs-LOKevtBJUzGLjm1Bez88Bt58PI0JoEV0wYfSaObQIYwpZXwL0YQI911lvepzw&amp;source=documentstudio&amp;timestamp=1739327725266" TargetMode="External"/><Relationship Id="rId1749" Type="http://schemas.openxmlformats.org/officeDocument/2006/relationships/hyperlink" Target="https://drive.google.com/open?id=1C3sZqzXTMUOpSJmXbAiM0EWH4n0Xv_eK" TargetMode="External"/><Relationship Id="rId1956" Type="http://schemas.openxmlformats.org/officeDocument/2006/relationships/hyperlink" Target="https://docs.google.com/forms/d/e/1FAIpQLSeEYwFnViiqk1AbexVe1VDR73UApmeuvfn6Yr2vN8WXjwGu2Q/viewform?edit2=2_ABaOnud7qtIg2Q8cJX2z9oUtCgt_SQ2IbhLXtuAyKNJqzx2Mi1qFkxdNf_Od4NexomTMPNQ&amp;source=documentstudio&amp;timestamp=1747189544116" TargetMode="External"/><Relationship Id="rId1609" Type="http://schemas.openxmlformats.org/officeDocument/2006/relationships/hyperlink" Target="https://docs.google.com/forms/d/e/1FAIpQLSeEYwFnViiqk1AbexVe1VDR73UApmeuvfn6Yr2vN8WXjwGu2Q/viewform?edit2=2_ABaOnuePngUo_g2m4Ge37JhPah35Kz_oqmv3L0hEOJ0fM0p2AP6TcGh99lOx13wwRzNdkrs&amp;source=documentstudio&amp;timestamp=1739329646045" TargetMode="External"/><Relationship Id="rId1816" Type="http://schemas.openxmlformats.org/officeDocument/2006/relationships/hyperlink" Target="https://docs.google.com/forms/d/e/1FAIpQLSeEYwFnViiqk1AbexVe1VDR73UApmeuvfn6Yr2vN8WXjwGu2Q/viewform?edit2=2_ABaOnuenjlPJe1c0JvMKxg9iloXDkW_vEb2kDu-QT7cs7T7l5tHuZz2Wr9i6nKHjWuNH3j0&amp;source=documentstudio&amp;timestamp=1741752718682" TargetMode="External"/><Relationship Id="rId10" Type="http://schemas.openxmlformats.org/officeDocument/2006/relationships/hyperlink" Target="https://drive.google.com/open?id=133veeSBIu5D7FwGGy8CdlUYT60dT0IHB" TargetMode="External"/><Relationship Id="rId397" Type="http://schemas.openxmlformats.org/officeDocument/2006/relationships/hyperlink" Target="https://drive.google.com/open?id=1ncrdsYESN2Buax0jeEvN05Or5YzOFf5N" TargetMode="External"/><Relationship Id="rId2078" Type="http://schemas.openxmlformats.org/officeDocument/2006/relationships/hyperlink" Target="https://drive.google.com/open?id=1uddST3THSaYUzw49gE6e5mZpyLYwWE55" TargetMode="External"/><Relationship Id="rId2285" Type="http://schemas.openxmlformats.org/officeDocument/2006/relationships/hyperlink" Target="https://docs.google.com/forms/d/e/1FAIpQLSeEYwFnViiqk1AbexVe1VDR73UApmeuvfn6Yr2vN8WXjwGu2Q/viewform?edit2=2_ABaOnudc8i5jKtNjdv2vg5XrwBuww2tMM-13lHz6mykBfEji6C-3UOXd4JVgbyrOJIBanSA&amp;source=documentstudio&amp;timestamp=1757645808880" TargetMode="External"/><Relationship Id="rId2492" Type="http://schemas.openxmlformats.org/officeDocument/2006/relationships/hyperlink" Target="https://drive.google.com/open?id=1ZIsd9RiFKylM-dje6nJIpdtA42Y6FzJE" TargetMode="External"/><Relationship Id="rId257" Type="http://schemas.openxmlformats.org/officeDocument/2006/relationships/hyperlink" Target="https://drive.google.com/open?id=1SFFQlKFSCD9mJOrf0tVhm3EsVI6YEiME" TargetMode="External"/><Relationship Id="rId464" Type="http://schemas.openxmlformats.org/officeDocument/2006/relationships/hyperlink" Target="https://drive.google.com/open?id=14CBpkF9Ru6ivsoS7KUCA5QBq9fONvxzz" TargetMode="External"/><Relationship Id="rId1094" Type="http://schemas.openxmlformats.org/officeDocument/2006/relationships/hyperlink" Target="https://drive.google.com/open?id=1d8aZd_T27LJysWtWRmhAUTyKtueHvyU4" TargetMode="External"/><Relationship Id="rId2145" Type="http://schemas.openxmlformats.org/officeDocument/2006/relationships/hyperlink" Target="https://docs.google.com/forms/d/e/1FAIpQLSeEYwFnViiqk1AbexVe1VDR73UApmeuvfn6Yr2vN8WXjwGu2Q/viewform?edit2=2_ABaOnucQufz1tU2fER42OjiSvPq3LQdxlVaOog00iwi_k_rAaicdwk6p3KMO52up1vOqLho&amp;source=documentstudio&amp;timestamp=1749109152896" TargetMode="External"/><Relationship Id="rId2797" Type="http://schemas.openxmlformats.org/officeDocument/2006/relationships/hyperlink" Target="https://docs.google.com/forms/d/e/1FAIpQLSeEYwFnViiqk1AbexVe1VDR73UApmeuvfn6Yr2vN8WXjwGu2Q/viewform?edit2=2_ABaOnucyVeruQ494PFzWrU5G7sDxykWMVDb-UDsIBn34K425oQ6yxoMX_uT2Rj_nY0H2y_Q&amp;source=documentstudio&amp;timestamp=1769392192107" TargetMode="External"/><Relationship Id="rId117" Type="http://schemas.openxmlformats.org/officeDocument/2006/relationships/hyperlink" Target="https://drive.google.com/open?id=1gvfuB-shUvkIiSxolo7pjQSdAiu_ba8f" TargetMode="External"/><Relationship Id="rId671" Type="http://schemas.openxmlformats.org/officeDocument/2006/relationships/hyperlink" Target="https://docs.google.com/forms/d/e/1FAIpQLSeEYwFnViiqk1AbexVe1VDR73UApmeuvfn6Yr2vN8WXjwGu2Q/viewform?edit2=2_ABaOnud5tcGgAdHgJWAFDZkeK5hgGiv6S9lz7hqHp22NDE1opdEjyW8_v_7xPRKRu3qvrec&amp;source=documentstudio&amp;timestamp=1717389604192" TargetMode="External"/><Relationship Id="rId769" Type="http://schemas.openxmlformats.org/officeDocument/2006/relationships/hyperlink" Target="https://docs.google.com/forms/d/e/1FAIpQLSeEYwFnViiqk1AbexVe1VDR73UApmeuvfn6Yr2vN8WXjwGu2Q/viewform?edit2=2_ABaOnudzMwvSxq_xNmGExpci-2OxeqoBKfH35eHS1r5DdEGR7IvPruaefqeSWFA4ywyQIuI&amp;source=documentstudio&amp;timestamp=1718176537260" TargetMode="External"/><Relationship Id="rId976" Type="http://schemas.openxmlformats.org/officeDocument/2006/relationships/hyperlink" Target="https://drive.google.com/open?id=1nuvMzT7O4-iAhipUP79IgQ37Y46TupKh" TargetMode="External"/><Relationship Id="rId1399" Type="http://schemas.openxmlformats.org/officeDocument/2006/relationships/hyperlink" Target="https://docs.google.com/forms/d/e/1FAIpQLSeEYwFnViiqk1AbexVe1VDR73UApmeuvfn6Yr2vN8WXjwGu2Q/viewform?edit2=2_ABaOnudh2tioMSIBfU_fr7cKizuJJqJm3LxggAZgPbxUFBwmA4ljeKJHiF587MspWlrZ1oo&amp;source=documentstudio&amp;timestamp=1737334149435" TargetMode="External"/><Relationship Id="rId2352" Type="http://schemas.openxmlformats.org/officeDocument/2006/relationships/hyperlink" Target="https://drive.google.com/open?id=1tm9QYjT5ghFGCMd2mII1-rYUpmnl48ut" TargetMode="External"/><Relationship Id="rId2657" Type="http://schemas.openxmlformats.org/officeDocument/2006/relationships/hyperlink" Target="https://docs.google.com/forms/d/e/1FAIpQLSeEYwFnViiqk1AbexVe1VDR73UApmeuvfn6Yr2vN8WXjwGu2Q/viewform?edit2=2_ABaOnufEO8T-W74oF6qhyono95uzlMksNo-YtPCo3yr3P5ZhiXBFEFRiRhQreJa-mLgPfXY&amp;source=documentstudio&amp;timestamp=1768788088951" TargetMode="External"/><Relationship Id="rId324" Type="http://schemas.openxmlformats.org/officeDocument/2006/relationships/hyperlink" Target="https://drive.google.com/open?id=1BNQ9U9V68CFLeO8ZVfVejBC6RcBx_3WA" TargetMode="External"/><Relationship Id="rId531" Type="http://schemas.openxmlformats.org/officeDocument/2006/relationships/hyperlink" Target="https://drive.google.com/open?id=1P2Yzr0zjjX3m1qtE-8Kf96bH6BfgH8IQ" TargetMode="External"/><Relationship Id="rId629" Type="http://schemas.openxmlformats.org/officeDocument/2006/relationships/hyperlink" Target="https://docs.google.com/forms/d/e/1FAIpQLSeEYwFnViiqk1AbexVe1VDR73UApmeuvfn6Yr2vN8WXjwGu2Q/viewform?edit2=2_ABaOnufUJrCgT0ZCz9wim8eoYUmpJE0qyC2xzg16-DoActXMzlSEisn3YaWiCe0HYzJb1UM&amp;source=documentstudio&amp;timestamp=1715939265450" TargetMode="External"/><Relationship Id="rId1161" Type="http://schemas.openxmlformats.org/officeDocument/2006/relationships/hyperlink" Target="https://docs.google.com/forms/d/e/1FAIpQLSeEYwFnViiqk1AbexVe1VDR73UApmeuvfn6Yr2vN8WXjwGu2Q/viewform?edit2=2_ABaOnucihW3RuGc24llFNePKbBW5PQKOYMBFgA72GEtIThQ1Url6ubXfZ04jAbmefdn6AxU&amp;source=documentstudio&amp;timestamp=1728260220283" TargetMode="External"/><Relationship Id="rId1259" Type="http://schemas.openxmlformats.org/officeDocument/2006/relationships/hyperlink" Target="https://docs.google.com/forms/d/e/1FAIpQLSeEYwFnViiqk1AbexVe1VDR73UApmeuvfn6Yr2vN8WXjwGu2Q/viewform?edit2=2_ABaOnuczKIH8OscSsS3r36m2GZwx1Vak2Dgv930EfDzL8lnBvpVGKkG6sDqQmE5D7f2IObs&amp;source=documentstudio&amp;timestamp=1733372710924" TargetMode="External"/><Relationship Id="rId1466" Type="http://schemas.openxmlformats.org/officeDocument/2006/relationships/hyperlink" Target="https://drive.google.com/open?id=1Z4GpKV_Q7ePOdH9WovaPwmmRMme2qFge" TargetMode="External"/><Relationship Id="rId2005" Type="http://schemas.openxmlformats.org/officeDocument/2006/relationships/hyperlink" Target="https://docs.google.com/forms/d/e/1FAIpQLSeEYwFnViiqk1AbexVe1VDR73UApmeuvfn6Yr2vN8WXjwGu2Q/viewform?edit2=2_ABaOnudOEshgXSrwaOnsZjiH3qTQ2ekAiHN_gQOEKYHy7kQx4-vz7500iHbBuVnHMLusI7M&amp;source=documentstudio&amp;timestamp=1748831350543" TargetMode="External"/><Relationship Id="rId2212" Type="http://schemas.openxmlformats.org/officeDocument/2006/relationships/hyperlink" Target="https://drive.google.com/open?id=1oA0649iYvh0CpsJcHVFezhK6TjfiUHS7" TargetMode="External"/><Relationship Id="rId2864" Type="http://schemas.openxmlformats.org/officeDocument/2006/relationships/hyperlink" Target="https://drive.google.com/open?id=1ySNhB6f-7hbN8heHLk2jVacQTvuRQENr" TargetMode="External"/><Relationship Id="rId836" Type="http://schemas.openxmlformats.org/officeDocument/2006/relationships/hyperlink" Target="https://drive.google.com/open?id=1qLWNDzqMSNJj-ZMEa1l84lkqXagEpHHJ" TargetMode="External"/><Relationship Id="rId1021" Type="http://schemas.openxmlformats.org/officeDocument/2006/relationships/hyperlink" Target="https://docs.google.com/forms/d/e/1FAIpQLSeEYwFnViiqk1AbexVe1VDR73UApmeuvfn6Yr2vN8WXjwGu2Q/viewform?edit2=2_ABaOnufTZtPj75Omv0kPbbU_5f1_E8eR6OtYuTpd2bmLvXlkAou0ttRZuLtFEHUstxMCKGc&amp;source=documentstudio&amp;timestamp=1723616057484" TargetMode="External"/><Relationship Id="rId1119" Type="http://schemas.openxmlformats.org/officeDocument/2006/relationships/hyperlink" Target="https://docs.google.com/forms/d/e/1FAIpQLSeEYwFnViiqk1AbexVe1VDR73UApmeuvfn6Yr2vN8WXjwGu2Q/viewform?edit2=2_ABaOnucF68_HX9lY01frozTf4YOpYmft_qwkwVGLuq9xhN0RK0mf1cdeHXYRJgML1zAI2XA&amp;source=documentstudio&amp;timestamp=1727845151505" TargetMode="External"/><Relationship Id="rId1673" Type="http://schemas.openxmlformats.org/officeDocument/2006/relationships/hyperlink" Target="https://docs.google.com/forms/d/e/1FAIpQLSeEYwFnViiqk1AbexVe1VDR73UApmeuvfn6Yr2vN8WXjwGu2Q/viewform?edit2=2_ABaOnue1OAHPL2hF3wN_xsjClObrhbXVXNSiqyfX2mLA0kwkeb4vBrKUiWlBdLFAq-M6G34&amp;source=documentstudio&amp;timestamp=1741334546235" TargetMode="External"/><Relationship Id="rId1880" Type="http://schemas.openxmlformats.org/officeDocument/2006/relationships/hyperlink" Target="https://docs.google.com/forms/d/e/1FAIpQLSeEYwFnViiqk1AbexVe1VDR73UApmeuvfn6Yr2vN8WXjwGu2Q/viewform?edit2=2_ABaOnue-4Ynl57zky2NKpzXVNhim2a5pcivZ6AqyfWQANgffSBtuq9pRmeb3wWDtctnzwng&amp;source=documentstudio&amp;timestamp=1744682165488" TargetMode="External"/><Relationship Id="rId1978" Type="http://schemas.openxmlformats.org/officeDocument/2006/relationships/hyperlink" Target="https://drive.google.com/open?id=19zBBUnkp1kmk710c55rqRPlCAkHUfJqx" TargetMode="External"/><Relationship Id="rId2517" Type="http://schemas.openxmlformats.org/officeDocument/2006/relationships/hyperlink" Target="https://docs.google.com/forms/d/e/1FAIpQLSeEYwFnViiqk1AbexVe1VDR73UApmeuvfn6Yr2vN8WXjwGu2Q/viewform?edit2=2_ABaOnuevuiroUDWYWpzDtqPQgDXR3OIjAUQCQzc-Tdw_gOSt_skKKcKs5ECWG4X_0ENweiM&amp;source=documentstudio&amp;timestamp=1768444235713" TargetMode="External"/><Relationship Id="rId2724" Type="http://schemas.openxmlformats.org/officeDocument/2006/relationships/hyperlink" Target="https://drive.google.com/open?id=1moX0TaAwbpikuX12g-4yNdvjPEiuk09W" TargetMode="External"/><Relationship Id="rId2931" Type="http://schemas.openxmlformats.org/officeDocument/2006/relationships/hyperlink" Target="https://drive.google.com/open?id=1AsGfkFsn53-U4Qiz14HdmPt5Qrulh7oy" TargetMode="External"/><Relationship Id="rId903" Type="http://schemas.openxmlformats.org/officeDocument/2006/relationships/hyperlink" Target="https://docs.google.com/forms/d/e/1FAIpQLSeEYwFnViiqk1AbexVe1VDR73UApmeuvfn6Yr2vN8WXjwGu2Q/viewform?edit2=2_ABaOnufv4TR88pi0lUOBoxE82lQarICGcko5TNgs_njsS-bFx1r35d7mqvP9oVwJ3o0lBV8&amp;source=documentstudio&amp;timestamp=1721030107351" TargetMode="External"/><Relationship Id="rId1326" Type="http://schemas.openxmlformats.org/officeDocument/2006/relationships/hyperlink" Target="https://drive.google.com/open?id=1kPWyJxQND3Yf-NOH8YK7UQ6TI7gMn84Z" TargetMode="External"/><Relationship Id="rId1533" Type="http://schemas.openxmlformats.org/officeDocument/2006/relationships/hyperlink" Target="https://docs.google.com/forms/d/e/1FAIpQLSeEYwFnViiqk1AbexVe1VDR73UApmeuvfn6Yr2vN8WXjwGu2Q/viewform?edit2=2_ABaOnueeCUmryocgtJDy1MJCZRGLKWiMM2AqfzUuw65gO6nuvBiHiVIY4Sm8TneqqzTzbVI&amp;source=documentstudio&amp;timestamp=1739328205483" TargetMode="External"/><Relationship Id="rId1740" Type="http://schemas.openxmlformats.org/officeDocument/2006/relationships/hyperlink" Target="https://docs.google.com/forms/d/e/1FAIpQLSeEYwFnViiqk1AbexVe1VDR73UApmeuvfn6Yr2vN8WXjwGu2Q/viewform?edit2=2_ABaOnudoyDH4mAnhtkH9y0Zj8YdhInHAP0-WHC7EibDM5wYNmsVpv9jYaBeeFfWtFfnktXw&amp;source=documentstudio&amp;timestamp=1741567070391" TargetMode="External"/><Relationship Id="rId32" Type="http://schemas.openxmlformats.org/officeDocument/2006/relationships/hyperlink" Target="https://drive.google.com/open?id=1qtE-PY6HW8AM5AHp-PzNSslJuRlsFv21" TargetMode="External"/><Relationship Id="rId1600" Type="http://schemas.openxmlformats.org/officeDocument/2006/relationships/hyperlink" Target="https://drive.google.com/open?id=1qpFRi3BzZFtFHPTfP1WZIOk7_DxEFYYV" TargetMode="External"/><Relationship Id="rId1838" Type="http://schemas.openxmlformats.org/officeDocument/2006/relationships/hyperlink" Target="https://docs.google.com/forms/d/e/1FAIpQLSeEYwFnViiqk1AbexVe1VDR73UApmeuvfn6Yr2vN8WXjwGu2Q/viewform?edit2=2_ABaOnueybvdhsPW5thAi3FVUUkuuIHec9tv1PXUOVp04B93SDZbpcsBioYhR1XMl6iUmzUY&amp;source=documentstudio&amp;timestamp=1741925914343" TargetMode="External"/><Relationship Id="rId181" Type="http://schemas.openxmlformats.org/officeDocument/2006/relationships/hyperlink" Target="https://drive.google.com/open?id=1sGe-pZbituQpGItquuy6He5jhM-zpAbC" TargetMode="External"/><Relationship Id="rId1905" Type="http://schemas.openxmlformats.org/officeDocument/2006/relationships/hyperlink" Target="https://drive.google.com/open?id=15sixx_r_kWuVGIqB-tY2DJ3e1-iwhaKE" TargetMode="External"/><Relationship Id="rId279" Type="http://schemas.openxmlformats.org/officeDocument/2006/relationships/hyperlink" Target="https://drive.google.com/open?id=1xiyiKCQZvPix0vGkazOeL3_fkCxfGq7y" TargetMode="External"/><Relationship Id="rId486" Type="http://schemas.openxmlformats.org/officeDocument/2006/relationships/hyperlink" Target="https://drive.google.com/open?id=1vG7q3X0Ik3owXV5PGAPraT9V5UH97ywD" TargetMode="External"/><Relationship Id="rId693" Type="http://schemas.openxmlformats.org/officeDocument/2006/relationships/hyperlink" Target="https://docs.google.com/forms/d/e/1FAIpQLSeEYwFnViiqk1AbexVe1VDR73UApmeuvfn6Yr2vN8WXjwGu2Q/viewform?edit2=2_ABaOnueDjhKr2joB4gRG-qtuRKRsrhe8Fla-QPys__DmaUF467TqoEh_UTIkULFrpNctUTY&amp;source=documentstudio&amp;timestamp=1717466841865" TargetMode="External"/><Relationship Id="rId2167" Type="http://schemas.openxmlformats.org/officeDocument/2006/relationships/hyperlink" Target="https://docs.google.com/forms/d/e/1FAIpQLSeEYwFnViiqk1AbexVe1VDR73UApmeuvfn6Yr2vN8WXjwGu2Q/viewform?edit2=2_ABaOnufXeAdqV32hHB5-VKMawM3PDulwhu-6-6_KYcJSW5nxYNoPcA2mjLD19k47bLP_1MY&amp;source=documentstudio&amp;timestamp=1750310418911" TargetMode="External"/><Relationship Id="rId2374" Type="http://schemas.openxmlformats.org/officeDocument/2006/relationships/hyperlink" Target="https://drive.google.com/open?id=1qmYGGd8z4cm1kUBeXApyFeBH1CKHxeM3" TargetMode="External"/><Relationship Id="rId2581" Type="http://schemas.openxmlformats.org/officeDocument/2006/relationships/hyperlink" Target="https://docs.google.com/forms/d/e/1FAIpQLSeEYwFnViiqk1AbexVe1VDR73UApmeuvfn6Yr2vN8WXjwGu2Q/viewform?edit2=2_ABaOnueO8cAWE_WKiVDQhNPJhPgll44h_hnLCi9RT16LCZBnD2mnOWTtA-YBRrUTHDeHKxY&amp;source=documentstudio&amp;timestamp=1768463776392" TargetMode="External"/><Relationship Id="rId139" Type="http://schemas.openxmlformats.org/officeDocument/2006/relationships/hyperlink" Target="https://drive.google.com/open?id=1Uhh2U4MP4oGng_LctYzIfDbPJDfur4Qa" TargetMode="External"/><Relationship Id="rId346" Type="http://schemas.openxmlformats.org/officeDocument/2006/relationships/hyperlink" Target="https://drive.google.com/open?id=1x34jtF16Zv5rWQyPjlpUuSHLy02lQ31W" TargetMode="External"/><Relationship Id="rId553" Type="http://schemas.openxmlformats.org/officeDocument/2006/relationships/hyperlink" Target="https://drive.google.com/open?id=1WuOxmCbJKhEHfM3JTBLDB81GvTxfHzgn" TargetMode="External"/><Relationship Id="rId760" Type="http://schemas.openxmlformats.org/officeDocument/2006/relationships/hyperlink" Target="https://drive.google.com/open?id=1uw2sw-uaCBxn-sZ9fVZxywO2K_dgJZ9o" TargetMode="External"/><Relationship Id="rId998" Type="http://schemas.openxmlformats.org/officeDocument/2006/relationships/hyperlink" Target="https://drive.google.com/open?id=1Lyy49cvZ5bWNwtSYqRIwoW96U_7POJ8c" TargetMode="External"/><Relationship Id="rId1183" Type="http://schemas.openxmlformats.org/officeDocument/2006/relationships/hyperlink" Target="https://docs.google.com/forms/d/e/1FAIpQLSeEYwFnViiqk1AbexVe1VDR73UApmeuvfn6Yr2vN8WXjwGu2Q/viewform?edit2=2_ABaOnufT_sJRgzxzrktoUMAJsJSmW1UQSfVzOG5uAGu8F1w2tKfADCvd7uVr1fqZPIaKI9g&amp;source=documentstudio&amp;timestamp=1730880516928" TargetMode="External"/><Relationship Id="rId1390" Type="http://schemas.openxmlformats.org/officeDocument/2006/relationships/hyperlink" Target="https://drive.google.com/open?id=1PjvOj2kGmpwDkN8I1ZtHmnU8xY_g7Kzp" TargetMode="External"/><Relationship Id="rId2027" Type="http://schemas.openxmlformats.org/officeDocument/2006/relationships/hyperlink" Target="https://docs.google.com/forms/d/e/1FAIpQLSeEYwFnViiqk1AbexVe1VDR73UApmeuvfn6Yr2vN8WXjwGu2Q/viewform?edit2=2_ABaOnue2PqB9oBUWpGGdsEoLSNLmYYSvt-POfYvBEE2V9RY4HfTUfvsuKweZ5X6BpqzR7As&amp;source=documentstudio&amp;timestamp=1748831767077" TargetMode="External"/><Relationship Id="rId2234" Type="http://schemas.openxmlformats.org/officeDocument/2006/relationships/hyperlink" Target="https://drive.google.com/open?id=105XsAAclgVb3-RQFpSUQ_BzQjDoLH2gD" TargetMode="External"/><Relationship Id="rId2441" Type="http://schemas.openxmlformats.org/officeDocument/2006/relationships/hyperlink" Target="https://docs.google.com/forms/d/e/1FAIpQLSeEYwFnViiqk1AbexVe1VDR73UApmeuvfn6Yr2vN8WXjwGu2Q/viewform?edit2=2_ABaOnuc1n0eR2f7kSoPYsRMXfXhQ1erGomTOErLtouklIZn8YaYWuwcAXNggPJXTYKX5DlI&amp;source=documentstudio&amp;timestamp=1768441498976" TargetMode="External"/><Relationship Id="rId2679" Type="http://schemas.openxmlformats.org/officeDocument/2006/relationships/hyperlink" Target="https://docs.google.com/forms/d/e/1FAIpQLSeEYwFnViiqk1AbexVe1VDR73UApmeuvfn6Yr2vN8WXjwGu2Q/viewform?edit2=2_ABaOnuftL7k7EHwtWYn6kScJ_Up8Tcx-rBjiTKRRya_jb7UykXu0aKuH_-XyDvC_LAgm0z0&amp;source=documentstudio&amp;timestamp=1768791632456" TargetMode="External"/><Relationship Id="rId2886" Type="http://schemas.openxmlformats.org/officeDocument/2006/relationships/hyperlink" Target="https://docs.google.com/forms/d/e/1FAIpQLSeEYwFnViiqk1AbexVe1VDR73UApmeuvfn6Yr2vN8WXjwGu2Q/viewform?edit2=2_ABaOnudo7ZmpKck593Triv2-RQS_39H634D5Cj2IDO_l2RsRkA-d8ENRwslxZuYpou82l-w&amp;source=documentstudio&amp;timestamp=1769484320134" TargetMode="External"/><Relationship Id="rId206" Type="http://schemas.openxmlformats.org/officeDocument/2006/relationships/hyperlink" Target="https://drive.google.com/open?id=1MzgD5Zfz7Md4Du5Dn2E70z8FnnGJONY4" TargetMode="External"/><Relationship Id="rId413" Type="http://schemas.openxmlformats.org/officeDocument/2006/relationships/hyperlink" Target="https://drive.google.com/open?id=1WhJ9UTttVwjKi3Lmyn2r8IivIh4ihvvY" TargetMode="External"/><Relationship Id="rId858" Type="http://schemas.openxmlformats.org/officeDocument/2006/relationships/hyperlink" Target="https://drive.google.com/open?id=1L98qxb3s-pFw9unm3zYLfAO3INqx1JJ-" TargetMode="External"/><Relationship Id="rId1043" Type="http://schemas.openxmlformats.org/officeDocument/2006/relationships/hyperlink" Target="https://docs.google.com/forms/d/e/1FAIpQLSeEYwFnViiqk1AbexVe1VDR73UApmeuvfn6Yr2vN8WXjwGu2Q/viewform?edit2=2_ABaOnucE3t8jrcndiPQduLdIlvEWndK3ZKkxctsDPZ8p7A6tpbegbcvmIredyrN6QPel5dM&amp;source=documentstudio&amp;timestamp=1725433854771" TargetMode="External"/><Relationship Id="rId1488" Type="http://schemas.openxmlformats.org/officeDocument/2006/relationships/hyperlink" Target="https://drive.google.com/open?id=1W2-2cgBchuc7ZM00EuyX6CqEGmcmYIIT" TargetMode="External"/><Relationship Id="rId1695" Type="http://schemas.openxmlformats.org/officeDocument/2006/relationships/hyperlink" Target="https://drive.google.com/open?id=1a8WfTRbhQ2g6JIcUskwYlqEs24choxsM" TargetMode="External"/><Relationship Id="rId2539" Type="http://schemas.openxmlformats.org/officeDocument/2006/relationships/hyperlink" Target="https://docs.google.com/forms/d/e/1FAIpQLSeEYwFnViiqk1AbexVe1VDR73UApmeuvfn6Yr2vN8WXjwGu2Q/viewform?edit2=2_ABaOnucZQE9bzr3QpDsQ8b1E4bBCqDhW_wURZsKktByRSdWF-FQ8J7B7TVlizDaTdEb0O-0&amp;source=documentstudio&amp;timestamp=1768449997229" TargetMode="External"/><Relationship Id="rId2746" Type="http://schemas.openxmlformats.org/officeDocument/2006/relationships/hyperlink" Target="https://drive.google.com/open?id=1BCXLZCVrfvg_94gbWM40ccHnwrKWSUKJ" TargetMode="External"/><Relationship Id="rId2953" Type="http://schemas.openxmlformats.org/officeDocument/2006/relationships/hyperlink" Target="https://drive.google.com/open?id=1JAn3SwgUd72WOLjxVgdKa-dj2SeDI2in" TargetMode="External"/><Relationship Id="rId620" Type="http://schemas.openxmlformats.org/officeDocument/2006/relationships/hyperlink" Target="https://drive.google.com/open?id=1r3utf0PLI_FB1WWEkTFIqznYS3LogvnU" TargetMode="External"/><Relationship Id="rId718" Type="http://schemas.openxmlformats.org/officeDocument/2006/relationships/hyperlink" Target="https://drive.google.com/open?id=1g5yvsGMyeH1EyivKaaOLW9KiuhdmvjyD" TargetMode="External"/><Relationship Id="rId925" Type="http://schemas.openxmlformats.org/officeDocument/2006/relationships/hyperlink" Target="https://docs.google.com/forms/d/e/1FAIpQLSeEYwFnViiqk1AbexVe1VDR73UApmeuvfn6Yr2vN8WXjwGu2Q/viewform?edit2=2_ABaOnufX9P15mnxTZKNfI8SGj36B4kAJt6edQpywU0eGnQt1kAi7FaOrHjjuJJBZEZKvTLs&amp;source=documentstudio&amp;timestamp=1721620123810" TargetMode="External"/><Relationship Id="rId1250" Type="http://schemas.openxmlformats.org/officeDocument/2006/relationships/hyperlink" Target="https://drive.google.com/open?id=1VDiDBJZFAuj0YByU-2d7sCC7OA8BWqsV" TargetMode="External"/><Relationship Id="rId1348" Type="http://schemas.openxmlformats.org/officeDocument/2006/relationships/hyperlink" Target="https://drive.google.com/open?id=1zEqry33M-otCM-BTbfZ8PEm5JLENlR2U" TargetMode="External"/><Relationship Id="rId1555" Type="http://schemas.openxmlformats.org/officeDocument/2006/relationships/hyperlink" Target="https://docs.google.com/forms/d/e/1FAIpQLSeEYwFnViiqk1AbexVe1VDR73UApmeuvfn6Yr2vN8WXjwGu2Q/viewform?edit2=2_ABaOnudcpIQLNvQT6YdUMAOXT1dya32p4Br_yLQ8YuERgPzmh7-GCSQz33ECz4lYJ9arxww&amp;source=documentstudio&amp;timestamp=1739328896587" TargetMode="External"/><Relationship Id="rId1762" Type="http://schemas.openxmlformats.org/officeDocument/2006/relationships/hyperlink" Target="https://docs.google.com/forms/d/e/1FAIpQLSeEYwFnViiqk1AbexVe1VDR73UApmeuvfn6Yr2vN8WXjwGu2Q/viewform?edit2=2_ABaOnucOUWrZxtx0DKkcyYT1ROry5wvR85IFj1XvmOZ2fiZDFY5AQrYtAvMJuUqY1dh_16g&amp;source=documentstudio&amp;timestamp=1741573526243" TargetMode="External"/><Relationship Id="rId2301" Type="http://schemas.openxmlformats.org/officeDocument/2006/relationships/hyperlink" Target="https://docs.google.com/forms/d/e/1FAIpQLSeEYwFnViiqk1AbexVe1VDR73UApmeuvfn6Yr2vN8WXjwGu2Q/viewform?edit2=2_ABaOnuflLKq3qme_Rqls6Up1di8YwErIsWeOXSDtvdhMRpge0FdGxybfYdTdw_dudBt-Nfs&amp;source=documentstudio&amp;timestamp=1759998385439" TargetMode="External"/><Relationship Id="rId2606" Type="http://schemas.openxmlformats.org/officeDocument/2006/relationships/hyperlink" Target="https://drive.google.com/open?id=1rdT5qsplxGJfyZnrWgdy_7CB3bFC4frl" TargetMode="External"/><Relationship Id="rId1110" Type="http://schemas.openxmlformats.org/officeDocument/2006/relationships/hyperlink" Target="https://drive.google.com/open?id=1SltuqoybQUy5j3XX5_jYVvJuBU5Nt4pO" TargetMode="External"/><Relationship Id="rId1208" Type="http://schemas.openxmlformats.org/officeDocument/2006/relationships/hyperlink" Target="https://drive.google.com/open?id=1hf8TR5q2vfRBu92DZRcrr6c9KwXkMqLP" TargetMode="External"/><Relationship Id="rId1415" Type="http://schemas.openxmlformats.org/officeDocument/2006/relationships/hyperlink" Target="https://docs.google.com/forms/d/e/1FAIpQLSeEYwFnViiqk1AbexVe1VDR73UApmeuvfn6Yr2vN8WXjwGu2Q/viewform?edit2=2_ABaOnuemvJzrXuTJbYHxJtcdNu9Dh_cLj1izQDn3gKD8n3ssma4b5f-XmUtaNlFdwYartoI&amp;source=documentstudio&amp;timestamp=1737446225004" TargetMode="External"/><Relationship Id="rId2813" Type="http://schemas.openxmlformats.org/officeDocument/2006/relationships/hyperlink" Target="https://docs.google.com/forms/d/e/1FAIpQLSeEYwFnViiqk1AbexVe1VDR73UApmeuvfn6Yr2vN8WXjwGu2Q/viewform?edit2=2_ABaOnuf8WuRSUciarzK7MdEPoODFxI-eSBAZU5kRyxq3t-C6Cpt2bNRcqNfIHBj90D2gSrU&amp;source=documentstudio&amp;timestamp=1769394191709" TargetMode="External"/><Relationship Id="rId54" Type="http://schemas.openxmlformats.org/officeDocument/2006/relationships/hyperlink" Target="https://drive.google.com/open?id=1e0LoyzU-cie-4XthHo3kZGnqaOdg6h5q" TargetMode="External"/><Relationship Id="rId1622" Type="http://schemas.openxmlformats.org/officeDocument/2006/relationships/hyperlink" Target="https://drive.google.com/open?id=1ZUC7oU02FHcrsOue0YlbdD6nhuV8hhc-" TargetMode="External"/><Relationship Id="rId1927" Type="http://schemas.openxmlformats.org/officeDocument/2006/relationships/hyperlink" Target="https://drive.google.com/open?id=1z31bFKdMBBYgz0kyVIGltzgMZ5gYrWAg" TargetMode="External"/><Relationship Id="rId2091" Type="http://schemas.openxmlformats.org/officeDocument/2006/relationships/hyperlink" Target="https://docs.google.com/forms/d/e/1FAIpQLSeEYwFnViiqk1AbexVe1VDR73UApmeuvfn6Yr2vN8WXjwGu2Q/viewform?edit2=2_ABaOnucrWWrtF5FXvNYrACCqhXH8H8nYuqpQED5VAJdep7VVyZbofjt8zSf8Pz6_h2IZODU&amp;source=documentstudio&amp;timestamp=1748917122919" TargetMode="External"/><Relationship Id="rId2189" Type="http://schemas.openxmlformats.org/officeDocument/2006/relationships/hyperlink" Target="https://docs.google.com/forms/d/e/1FAIpQLSeEYwFnViiqk1AbexVe1VDR73UApmeuvfn6Yr2vN8WXjwGu2Q/viewform?edit2=2_ABaOnudQ-AoaFt04hSHjclxVGufO5YEPQgGmHe7MUfnV99BTpvWpRWYRNsnfHAwqzTGIJiQ&amp;source=documentstudio&amp;timestamp=1750754047484" TargetMode="External"/><Relationship Id="rId270" Type="http://schemas.openxmlformats.org/officeDocument/2006/relationships/hyperlink" Target="https://drive.google.com/open?id=1n-n5pcw5p-M4wvBxTxKWtpi1D2DGAOG8" TargetMode="External"/><Relationship Id="rId2396" Type="http://schemas.openxmlformats.org/officeDocument/2006/relationships/hyperlink" Target="https://drive.google.com/open?id=1qUc9qba8hPi_yGVdziiggAPvVlDpca34" TargetMode="External"/><Relationship Id="rId130" Type="http://schemas.openxmlformats.org/officeDocument/2006/relationships/hyperlink" Target="https://drive.google.com/open?id=1CtHPgGhfBqRWKv4GNpHhsRs79zn1fZwl" TargetMode="External"/><Relationship Id="rId368" Type="http://schemas.openxmlformats.org/officeDocument/2006/relationships/hyperlink" Target="https://drive.google.com/open?id=1KMV3LNspi_xIuKG3pLZjmqE-MaTYDOUM" TargetMode="External"/><Relationship Id="rId575" Type="http://schemas.openxmlformats.org/officeDocument/2006/relationships/hyperlink" Target="https://drive.google.com/open?id=1OpNtxOCMuJL03S9C9wwB1c28LcUhgA4u" TargetMode="External"/><Relationship Id="rId782" Type="http://schemas.openxmlformats.org/officeDocument/2006/relationships/hyperlink" Target="https://drive.google.com/open?id=1TVf_vUEuQg7WbAN52iNHrUmTse4CqLCK" TargetMode="External"/><Relationship Id="rId2049" Type="http://schemas.openxmlformats.org/officeDocument/2006/relationships/hyperlink" Target="https://docs.google.com/forms/d/e/1FAIpQLSeEYwFnViiqk1AbexVe1VDR73UApmeuvfn6Yr2vN8WXjwGu2Q/viewform?edit2=2_ABaOnudJmbvBzuAFqgaQfLwftC5g_Js_J53zLUucZo8kNzgMAJmSvDMdElwglCQRwzVYfsw&amp;source=documentstudio&amp;timestamp=1748839560318" TargetMode="External"/><Relationship Id="rId2256" Type="http://schemas.openxmlformats.org/officeDocument/2006/relationships/hyperlink" Target="https://drive.google.com/open?id=1vE6EC3J_VOKFdCQZkvPILuuA3TM1I683" TargetMode="External"/><Relationship Id="rId2463" Type="http://schemas.openxmlformats.org/officeDocument/2006/relationships/hyperlink" Target="https://docs.google.com/forms/d/e/1FAIpQLSeEYwFnViiqk1AbexVe1VDR73UApmeuvfn6Yr2vN8WXjwGu2Q/viewform?edit2=2_ABaOnuetHOYF8xhi3Dpnl0WcxBvAfBbTuf4MvLe6mw7O-W2Lf-oZZmkxWY-jgl0Cc_Gyn4w&amp;source=documentstudio&amp;timestamp=1768442362248" TargetMode="External"/><Relationship Id="rId2670" Type="http://schemas.openxmlformats.org/officeDocument/2006/relationships/hyperlink" Target="https://drive.google.com/open?id=13qqPORD18xbdVTow1U-aRIbw08mYVVLi" TargetMode="External"/><Relationship Id="rId228" Type="http://schemas.openxmlformats.org/officeDocument/2006/relationships/hyperlink" Target="https://drive.google.com/open?id=19Ffjp6FP0BnIy-ah6WMuswkHhJ6c8cK2" TargetMode="External"/><Relationship Id="rId435" Type="http://schemas.openxmlformats.org/officeDocument/2006/relationships/hyperlink" Target="https://drive.google.com/open?id=18G9a1gJObE83VvCYprN9jSHxQ_xTTPaY" TargetMode="External"/><Relationship Id="rId642" Type="http://schemas.openxmlformats.org/officeDocument/2006/relationships/hyperlink" Target="https://drive.google.com/open?id=1g4aSQTw0T4Pj6cMnVOQzORzuA0HckoxY" TargetMode="External"/><Relationship Id="rId1065" Type="http://schemas.openxmlformats.org/officeDocument/2006/relationships/hyperlink" Target="https://docs.google.com/forms/d/e/1FAIpQLSeEYwFnViiqk1AbexVe1VDR73UApmeuvfn6Yr2vN8WXjwGu2Q/viewform?edit2=2_ABaOnufm4TKvvX2E3vYtibXbJMIQ9Pe2qDmHxuDuLcQAU_8VHXVzWjW2j0z7VI8lRHMN4NE&amp;source=documentstudio&amp;timestamp=1725613225322" TargetMode="External"/><Relationship Id="rId1272" Type="http://schemas.openxmlformats.org/officeDocument/2006/relationships/hyperlink" Target="https://drive.google.com/open?id=1LqyHbq4PQptCawqBVc7Yb13QxtuliqIK" TargetMode="External"/><Relationship Id="rId2116" Type="http://schemas.openxmlformats.org/officeDocument/2006/relationships/hyperlink" Target="https://drive.google.com/open?id=1tcdwUlZ9y5n_25XJsOPf4PBRxu64SmkB" TargetMode="External"/><Relationship Id="rId2323" Type="http://schemas.openxmlformats.org/officeDocument/2006/relationships/hyperlink" Target="https://docs.google.com/forms/d/e/1FAIpQLSeEYwFnViiqk1AbexVe1VDR73UApmeuvfn6Yr2vN8WXjwGu2Q/viewform?edit2=2_ABaOnuc2FxARMWr6hq-PETxgefG_VKhfpkiJSVhW5iIPlvq2xVIdFCuWN76IPNuFah7BYGE&amp;source=documentstudio&amp;timestamp=1761269956429" TargetMode="External"/><Relationship Id="rId2530" Type="http://schemas.openxmlformats.org/officeDocument/2006/relationships/hyperlink" Target="https://drive.google.com/open?id=1a5N8wbOL0mJsSULxMoNEk9NigcAEreau" TargetMode="External"/><Relationship Id="rId2768" Type="http://schemas.openxmlformats.org/officeDocument/2006/relationships/hyperlink" Target="https://drive.google.com/open?id=1c5nMazEkUPywNjvtL3DQPaJoycwBoP4k" TargetMode="External"/><Relationship Id="rId502" Type="http://schemas.openxmlformats.org/officeDocument/2006/relationships/hyperlink" Target="https://drive.google.com/open?id=1-nwbUUk14M0-CBz2TVsRmfxrK9e51wun" TargetMode="External"/><Relationship Id="rId947" Type="http://schemas.openxmlformats.org/officeDocument/2006/relationships/hyperlink" Target="https://docs.google.com/forms/d/e/1FAIpQLSeEYwFnViiqk1AbexVe1VDR73UApmeuvfn6Yr2vN8WXjwGu2Q/viewform?edit2=2_ABaOnuc3pm95QJv6UvebfqK7SzxGCJFep_VUhYmhnySC8nsb_zrjQmUr3NYk_C5RD6cseP0&amp;source=documentstudio&amp;timestamp=1721625790659" TargetMode="External"/><Relationship Id="rId1132" Type="http://schemas.openxmlformats.org/officeDocument/2006/relationships/hyperlink" Target="https://drive.google.com/open?id=1d8oSZFHrvNN_ZrDCFI0mc1q1xJXhQBpm" TargetMode="External"/><Relationship Id="rId1577" Type="http://schemas.openxmlformats.org/officeDocument/2006/relationships/hyperlink" Target="https://docs.google.com/forms/d/e/1FAIpQLSeEYwFnViiqk1AbexVe1VDR73UApmeuvfn6Yr2vN8WXjwGu2Q/viewform?edit2=2_ABaOnufeqf_XcLhOf3YTjCURo4gY5-TQhXMAPn-vvBNiUycVDOPCwr_UEoZw8p6s05auo54&amp;source=documentstudio&amp;timestamp=1739329346915" TargetMode="External"/><Relationship Id="rId1784" Type="http://schemas.openxmlformats.org/officeDocument/2006/relationships/hyperlink" Target="https://docs.google.com/forms/d/e/1FAIpQLSeEYwFnViiqk1AbexVe1VDR73UApmeuvfn6Yr2vN8WXjwGu2Q/viewform?edit2=2_ABaOnucS97ywTIoEe0RFsvChG7OsZiihKDu0ddAyO6A4pIn8jABTtX5uzBAhxyZlXtH6RUk&amp;source=documentstudio&amp;timestamp=1741575633146" TargetMode="External"/><Relationship Id="rId1991" Type="http://schemas.openxmlformats.org/officeDocument/2006/relationships/hyperlink" Target="https://docs.google.com/forms/d/e/1FAIpQLSeEYwFnViiqk1AbexVe1VDR73UApmeuvfn6Yr2vN8WXjwGu2Q/viewform?edit2=2_ABaOnuc60sas3DjLI8tVOEXya4CyMMlHQ6hyNV3T0ff5qKQ7v_eQ5xogolVb69A3yJpeSTA&amp;source=documentstudio&amp;timestamp=1748491079143" TargetMode="External"/><Relationship Id="rId2628" Type="http://schemas.openxmlformats.org/officeDocument/2006/relationships/hyperlink" Target="https://drive.google.com/open?id=1JIeIC79PASei5HIf842UWOA4HLrIJBCY" TargetMode="External"/><Relationship Id="rId2835" Type="http://schemas.openxmlformats.org/officeDocument/2006/relationships/hyperlink" Target="https://docs.google.com/forms/d/e/1FAIpQLSeEYwFnViiqk1AbexVe1VDR73UApmeuvfn6Yr2vN8WXjwGu2Q/viewform?edit2=2_ABaOnuef0QyOQsNa_yNkPz6aktAGFoxetbRb_hq4o1LlewDximB6XG0AAW2KaYejxv29QtY&amp;source=documentstudio&amp;timestamp=1769402462139" TargetMode="External"/><Relationship Id="rId76" Type="http://schemas.openxmlformats.org/officeDocument/2006/relationships/hyperlink" Target="https://drive.google.com/open?id=1pF6P4ZFFvX-Ta2ap37ujQjMoPlOM5RVL" TargetMode="External"/><Relationship Id="rId807" Type="http://schemas.openxmlformats.org/officeDocument/2006/relationships/hyperlink" Target="https://docs.google.com/forms/d/e/1FAIpQLSeEYwFnViiqk1AbexVe1VDR73UApmeuvfn6Yr2vN8WXjwGu2Q/viewform?edit2=2_ABaOnucQgnMuGbkTQmLNVUJs50_QVmsiXom8pOnVFJOg2F_3O6i1Wfn3T2ACZaokJab00qU&amp;source=documentstudio&amp;timestamp=1720406866474" TargetMode="External"/><Relationship Id="rId1437" Type="http://schemas.openxmlformats.org/officeDocument/2006/relationships/hyperlink" Target="https://docs.google.com/forms/d/e/1FAIpQLSeEYwFnViiqk1AbexVe1VDR73UApmeuvfn6Yr2vN8WXjwGu2Q/viewform?edit2=2_ABaOnufM0TNarZJcmTQdhoCFy_HPwcbdfIVY4c5ABfCJLJ4bi9xnO7hnbbyn6u5J2Hx12EQ&amp;source=documentstudio&amp;timestamp=1737446850097" TargetMode="External"/><Relationship Id="rId1644" Type="http://schemas.openxmlformats.org/officeDocument/2006/relationships/hyperlink" Target="https://drive.google.com/open?id=1c_xFuVjoZ7nchVpis4_T6hfUFXknwYSz" TargetMode="External"/><Relationship Id="rId1851" Type="http://schemas.openxmlformats.org/officeDocument/2006/relationships/hyperlink" Target="https://drive.google.com/open?id=1nJsKBLcujPon_H-05p_2SObRmpwlDz2c" TargetMode="External"/><Relationship Id="rId2902" Type="http://schemas.openxmlformats.org/officeDocument/2006/relationships/hyperlink" Target="https://docs.google.com/forms/d/e/1FAIpQLSeEYwFnViiqk1AbexVe1VDR73UApmeuvfn6Yr2vN8WXjwGu2Q/viewform?edit2=2_ABaOnucGGGvHgOHJtSugSEGApllfcNPL1ZHZ6Z9fm1ptmrhg13s8lOHVZJPzv2F7i2gHkd0&amp;source=documentstudio&amp;timestamp=1769500729007" TargetMode="External"/><Relationship Id="rId1504" Type="http://schemas.openxmlformats.org/officeDocument/2006/relationships/hyperlink" Target="https://drive.google.com/open?id=12tqi4S1OrNt-bfhNnEysG4QAFQZpnAqd" TargetMode="External"/><Relationship Id="rId1711" Type="http://schemas.openxmlformats.org/officeDocument/2006/relationships/hyperlink" Target="https://docs.google.com/forms/d/e/1FAIpQLSeEYwFnViiqk1AbexVe1VDR73UApmeuvfn6Yr2vN8WXjwGu2Q/viewform?edit2=2_ABaOnuc6JGZ-FBmEy5HdPEsZYY-6VG0UQgUOKGUPqG30EtaisvdvzK-V1K4LAQtn938MZD8&amp;source=documentstudio&amp;timestamp=1741337100731" TargetMode="External"/><Relationship Id="rId1949" Type="http://schemas.openxmlformats.org/officeDocument/2006/relationships/hyperlink" Target="https://drive.google.com/open?id=1-zW4s1bCA0n8Yi1Aa-yzIR9-KK20JteM" TargetMode="External"/><Relationship Id="rId292" Type="http://schemas.openxmlformats.org/officeDocument/2006/relationships/hyperlink" Target="https://drive.google.com/open?id=1fh9Q8m9dvEnXknefiOzojPQrJQVdqRLh" TargetMode="External"/><Relationship Id="rId1809" Type="http://schemas.openxmlformats.org/officeDocument/2006/relationships/hyperlink" Target="https://drive.google.com/open?id=1bzhx060m3ep1ukkLPmACcmzozoGqmBmV" TargetMode="External"/><Relationship Id="rId597" Type="http://schemas.openxmlformats.org/officeDocument/2006/relationships/hyperlink" Target="https://drive.google.com/open?id=1wEVcd_9QNiFC7Tz6H8VZzVELbej6v9RC" TargetMode="External"/><Relationship Id="rId2180" Type="http://schemas.openxmlformats.org/officeDocument/2006/relationships/hyperlink" Target="https://drive.google.com/open?id=1FsHI_HNWBZZNkILPAl398nyE80GUblQD" TargetMode="External"/><Relationship Id="rId2278" Type="http://schemas.openxmlformats.org/officeDocument/2006/relationships/hyperlink" Target="https://drive.google.com/open?id=1mSalXuiGrRA3q7VOZJ4uiti2c4WO4JXK" TargetMode="External"/><Relationship Id="rId2485" Type="http://schemas.openxmlformats.org/officeDocument/2006/relationships/hyperlink" Target="https://docs.google.com/forms/d/e/1FAIpQLSeEYwFnViiqk1AbexVe1VDR73UApmeuvfn6Yr2vN8WXjwGu2Q/viewform?edit2=2_ABaOnue5Xm8l4eR4M0cDUvSVDC43NOsvYxYiQF1ewkLYNcEbQLlLPVoo5h3ZSOaurQY5i4s&amp;source=documentstudio&amp;timestamp=1768443149773" TargetMode="External"/><Relationship Id="rId152" Type="http://schemas.openxmlformats.org/officeDocument/2006/relationships/hyperlink" Target="https://drive.google.com/open?id=1PdcSBzILOdc7OtxsYupPFQWeEKjcU1cR" TargetMode="External"/><Relationship Id="rId457" Type="http://schemas.openxmlformats.org/officeDocument/2006/relationships/hyperlink" Target="https://drive.google.com/open?id=1Fo9OENXRxKhtf_BuiHB8G1D6QJ_yT-EV" TargetMode="External"/><Relationship Id="rId1087" Type="http://schemas.openxmlformats.org/officeDocument/2006/relationships/hyperlink" Target="https://docs.google.com/forms/d/e/1FAIpQLSeEYwFnViiqk1AbexVe1VDR73UApmeuvfn6Yr2vN8WXjwGu2Q/viewform?edit2=2_ABaOnufVh1DlRMPqTHJgRuh7h0g5Q_A6J6OgZdMbz0KngkpdA7XrAYFEIqJDzCOsEQ91HAM&amp;source=documentstudio&amp;timestamp=1726038657873" TargetMode="External"/><Relationship Id="rId1294" Type="http://schemas.openxmlformats.org/officeDocument/2006/relationships/hyperlink" Target="https://drive.google.com/open?id=16Qv_VgIADXVn7x-Eug_JbT0Bngm5unma" TargetMode="External"/><Relationship Id="rId2040" Type="http://schemas.openxmlformats.org/officeDocument/2006/relationships/hyperlink" Target="https://drive.google.com/open?id=1BMaesuoDnrRWr8rgRc6k36Ow2Cy1zckt" TargetMode="External"/><Relationship Id="rId2138" Type="http://schemas.openxmlformats.org/officeDocument/2006/relationships/hyperlink" Target="https://drive.google.com/open?id=1SW3hin9olVfWB8sHd7Hu88UDKgxqtmgt" TargetMode="External"/><Relationship Id="rId2692" Type="http://schemas.openxmlformats.org/officeDocument/2006/relationships/hyperlink" Target="https://drive.google.com/open?id=1YAqTX7LVsL27pWqz7JB-AP39TetpUhl2" TargetMode="External"/><Relationship Id="rId664" Type="http://schemas.openxmlformats.org/officeDocument/2006/relationships/hyperlink" Target="https://drive.google.com/open?id=10rDINct-OMXRAzKvh5j62gjWQVux8WEI" TargetMode="External"/><Relationship Id="rId871" Type="http://schemas.openxmlformats.org/officeDocument/2006/relationships/hyperlink" Target="https://docs.google.com/forms/d/e/1FAIpQLSeEYwFnViiqk1AbexVe1VDR73UApmeuvfn6Yr2vN8WXjwGu2Q/viewform?edit2=2_ABaOnueLrKkOXGQKNo45D9796QW3k-UkM4nfv4Dgaq6-lVIQfRZy3s4JnJu9zLzFOdkkQQo&amp;source=documentstudio&amp;timestamp=1720488672433" TargetMode="External"/><Relationship Id="rId969" Type="http://schemas.openxmlformats.org/officeDocument/2006/relationships/hyperlink" Target="https://docs.google.com/forms/d/e/1FAIpQLSeEYwFnViiqk1AbexVe1VDR73UApmeuvfn6Yr2vN8WXjwGu2Q/viewform?edit2=2_ABaOnuevHxNggwDDtEYCRCpwk6TbWExF9nT6lv0xTDiLLXdCNE18FXUGcc_XYx07_6JmLAs&amp;source=documentstudio&amp;timestamp=1721799754680" TargetMode="External"/><Relationship Id="rId1599" Type="http://schemas.openxmlformats.org/officeDocument/2006/relationships/hyperlink" Target="https://docs.google.com/forms/d/e/1FAIpQLSeEYwFnViiqk1AbexVe1VDR73UApmeuvfn6Yr2vN8WXjwGu2Q/viewform?edit2=2_ABaOnuefkKjfaCOYDab_oBjGXRAOvadSsn97RMlBJSI7pYoUvhnD2tN3av6xVUrS0lbV9II&amp;source=documentstudio&amp;timestamp=1739329548382" TargetMode="External"/><Relationship Id="rId2345" Type="http://schemas.openxmlformats.org/officeDocument/2006/relationships/hyperlink" Target="https://docs.google.com/forms/d/e/1FAIpQLSeEYwFnViiqk1AbexVe1VDR73UApmeuvfn6Yr2vN8WXjwGu2Q/viewform?edit2=2_ABaOnueaZpBTuG2LxdpyGFNNFa9VZ0z7YujpVFLeDoCXCEGUIWT1bfRyenefRoxzF9eeS_A&amp;source=documentstudio&amp;timestamp=1768353724953" TargetMode="External"/><Relationship Id="rId2552" Type="http://schemas.openxmlformats.org/officeDocument/2006/relationships/hyperlink" Target="https://drive.google.com/open?id=14hHlWTZH3PHXiYaVtbZhal_LBWdO0ndR" TargetMode="External"/><Relationship Id="rId317" Type="http://schemas.openxmlformats.org/officeDocument/2006/relationships/hyperlink" Target="https://drive.google.com/open?id=1ayxqtN186LYJvkXWOH2dEW5KZN1grFbd" TargetMode="External"/><Relationship Id="rId524" Type="http://schemas.openxmlformats.org/officeDocument/2006/relationships/hyperlink" Target="https://drive.google.com/open?id=124VAxqYhPg46nb8O9mGHtWSr5b1JHsda" TargetMode="External"/><Relationship Id="rId731" Type="http://schemas.openxmlformats.org/officeDocument/2006/relationships/hyperlink" Target="https://docs.google.com/forms/d/e/1FAIpQLSeEYwFnViiqk1AbexVe1VDR73UApmeuvfn6Yr2vN8WXjwGu2Q/viewform?edit2=2_ABaOnucjoW-1mLQGW0pCpR1UwQgq8EuOQP-RXEuPP41l0mBDkxK6fqJTM6yUZ-EBwhf9b2I&amp;source=documentstudio&amp;timestamp=1717987321382" TargetMode="External"/><Relationship Id="rId1154" Type="http://schemas.openxmlformats.org/officeDocument/2006/relationships/hyperlink" Target="https://drive.google.com/open?id=1AUQ2F35g-f8YvoA4VGgdPFxZYpIHw3E2" TargetMode="External"/><Relationship Id="rId1361" Type="http://schemas.openxmlformats.org/officeDocument/2006/relationships/hyperlink" Target="https://docs.google.com/forms/d/e/1FAIpQLSeEYwFnViiqk1AbexVe1VDR73UApmeuvfn6Yr2vN8WXjwGu2Q/viewform?edit2=2_ABaOnudnpyvPDJ-cw6KnA2jwJNAB21zblqB97ajbhZAWcBjVPmof8n7A-eAkezdlFJsyjs0&amp;source=documentstudio&amp;timestamp=1736216576855" TargetMode="External"/><Relationship Id="rId1459" Type="http://schemas.openxmlformats.org/officeDocument/2006/relationships/hyperlink" Target="https://docs.google.com/forms/d/e/1FAIpQLSeEYwFnViiqk1AbexVe1VDR73UApmeuvfn6Yr2vN8WXjwGu2Q/viewform?edit2=2_ABaOnudLUmXZEA7xenLNxFY1WpsxSbDIoDf-qvckoXyM7-wLIlVTg__KI5vAXMBqgVhLYvw&amp;source=documentstudio&amp;timestamp=1737447572048" TargetMode="External"/><Relationship Id="rId2205" Type="http://schemas.openxmlformats.org/officeDocument/2006/relationships/hyperlink" Target="https://docs.google.com/forms/d/e/1FAIpQLSeEYwFnViiqk1AbexVe1VDR73UApmeuvfn6Yr2vN8WXjwGu2Q/viewform?edit2=2_ABaOnuc5aqUN_T2g-Ly48J3DQCslq5zKC6sjsRc9_LUXysItkiPu8bK8wdnQEq0IDs5zCus&amp;source=documentstudio&amp;timestamp=1751337183328" TargetMode="External"/><Relationship Id="rId2412" Type="http://schemas.openxmlformats.org/officeDocument/2006/relationships/hyperlink" Target="https://drive.google.com/open?id=1w3kFN5Qocxlef6gTaOJB2HMgwOHl8HQF" TargetMode="External"/><Relationship Id="rId2857" Type="http://schemas.openxmlformats.org/officeDocument/2006/relationships/hyperlink" Target="https://docs.google.com/forms/d/e/1FAIpQLSeEYwFnViiqk1AbexVe1VDR73UApmeuvfn6Yr2vN8WXjwGu2Q/viewform?edit2=2_ABaOnud8Ue7qyPZWZ0Xo2hWA44-pgMpIcDOGTyYHJzcBH8HZIGRHQCg0xZ0Clb0rzWGJ9rs&amp;source=documentstudio&amp;timestamp=1769416118842" TargetMode="External"/><Relationship Id="rId98" Type="http://schemas.openxmlformats.org/officeDocument/2006/relationships/hyperlink" Target="https://drive.google.com/open?id=1I04ijBKkHnpo2BPXv3XEJvhkwvMUrc3Y" TargetMode="External"/><Relationship Id="rId829" Type="http://schemas.openxmlformats.org/officeDocument/2006/relationships/hyperlink" Target="https://docs.google.com/forms/d/e/1FAIpQLSeEYwFnViiqk1AbexVe1VDR73UApmeuvfn6Yr2vN8WXjwGu2Q/viewform?edit2=2_ABaOnudlfKDDaMbI2iN0eBSgrYz1h_G7kxypWHpHyfG8J94kO4emAg4PLJbWDtWY72SSd2o&amp;source=documentstudio&amp;timestamp=1720428227507" TargetMode="External"/><Relationship Id="rId1014" Type="http://schemas.openxmlformats.org/officeDocument/2006/relationships/hyperlink" Target="https://drive.google.com/open?id=1iXfSwJB26ZsKkP3x3nc57PlbbEDdRx9h" TargetMode="External"/><Relationship Id="rId1221" Type="http://schemas.openxmlformats.org/officeDocument/2006/relationships/hyperlink" Target="https://docs.google.com/forms/d/e/1FAIpQLSeEYwFnViiqk1AbexVe1VDR73UApmeuvfn6Yr2vN8WXjwGu2Q/viewform?edit2=2_ABaOnuf1watF53nWj5JIVH4i3cTkTL1Iy4T7SUHo21Fcfs1FaFfBOrbaS0l-o09g4Pq1ndU&amp;source=documentstudio&amp;timestamp=1731551843245" TargetMode="External"/><Relationship Id="rId1666" Type="http://schemas.openxmlformats.org/officeDocument/2006/relationships/hyperlink" Target="https://drive.google.com/open?id=1OhR6VoqWxihceVd4W4Rg88Qg_5bkAwWS" TargetMode="External"/><Relationship Id="rId1873" Type="http://schemas.openxmlformats.org/officeDocument/2006/relationships/hyperlink" Target="https://drive.google.com/open?id=15AjBMjb62oYQDilIoFRxBM63T0IkyS0A" TargetMode="External"/><Relationship Id="rId2717" Type="http://schemas.openxmlformats.org/officeDocument/2006/relationships/hyperlink" Target="https://docs.google.com/forms/d/e/1FAIpQLSeEYwFnViiqk1AbexVe1VDR73UApmeuvfn6Yr2vN8WXjwGu2Q/viewform?edit2=2_ABaOnufzXwlr3dXAmFkUVO0Df5ciGq8oSwlW4uwDSh2iQbNBOGQPevpgD2dTNoMj0KC_loI&amp;source=documentstudio&amp;timestamp=1768794781916" TargetMode="External"/><Relationship Id="rId2924" Type="http://schemas.openxmlformats.org/officeDocument/2006/relationships/hyperlink" Target="https://docs.google.com/forms/d/e/1FAIpQLSeEYwFnViiqk1AbexVe1VDR73UApmeuvfn6Yr2vN8WXjwGu2Q/viewform?edit2=2_ABaOnudkAmlUyt5oORD8pLqb2gBD1VGtQha-npFFR49sSqwO1kcrpcxfl7LRfd6gjK7e0-4&amp;source=documentstudio&amp;timestamp=1769588102030" TargetMode="External"/><Relationship Id="rId1319" Type="http://schemas.openxmlformats.org/officeDocument/2006/relationships/hyperlink" Target="https://docs.google.com/forms/d/e/1FAIpQLSeEYwFnViiqk1AbexVe1VDR73UApmeuvfn6Yr2vN8WXjwGu2Q/viewform?edit2=2_ABaOnudIaAm7OHViW3mF0leoaVBGMWxbklh5egNztzdF2pNvsSHmMxv6YWEB7YdyTy742Ho&amp;source=documentstudio&amp;timestamp=1735891247668" TargetMode="External"/><Relationship Id="rId1526" Type="http://schemas.openxmlformats.org/officeDocument/2006/relationships/hyperlink" Target="https://drive.google.com/open?id=14Y4C4SC9zivR6ncZd1JP9-3Ih5UwRxki" TargetMode="External"/><Relationship Id="rId1733" Type="http://schemas.openxmlformats.org/officeDocument/2006/relationships/hyperlink" Target="https://docs.google.com/forms/d/e/1FAIpQLSeEYwFnViiqk1AbexVe1VDR73UApmeuvfn6Yr2vN8WXjwGu2Q/viewform?edit2=2_ABaOnudxXR9FHUXPa47QrCngs-5wl7ZweGT7QWoZbIaxh4JM_gyP6AcmWb22tXYLC4Y2u00&amp;source=documentstudio&amp;timestamp=1741407486722" TargetMode="External"/><Relationship Id="rId1940" Type="http://schemas.openxmlformats.org/officeDocument/2006/relationships/hyperlink" Target="https://docs.google.com/forms/d/e/1FAIpQLSeEYwFnViiqk1AbexVe1VDR73UApmeuvfn6Yr2vN8WXjwGu2Q/viewform?edit2=2_ABaOnufeCDk5dXeQVEEExDITsrL21H718fJoErKlHd3Tfzo8doqnfwcbnr7RbFcP-sW-Ufs&amp;source=documentstudio&amp;timestamp=1745813609913" TargetMode="External"/><Relationship Id="rId25" Type="http://schemas.openxmlformats.org/officeDocument/2006/relationships/hyperlink" Target="https://drive.google.com/open?id=1SyZU8n2mVRGdF-pwKOIB94A_5R01v-18" TargetMode="External"/><Relationship Id="rId1800" Type="http://schemas.openxmlformats.org/officeDocument/2006/relationships/hyperlink" Target="https://docs.google.com/forms/d/e/1FAIpQLSeEYwFnViiqk1AbexVe1VDR73UApmeuvfn6Yr2vN8WXjwGu2Q/viewform?edit2=2_ABaOnudKR58GY_ksYmmW0u2S7fLCnwZN43hA4YCN7M0A3auEYegHXzDS75UrVVra_ATeNMg&amp;source=documentstudio&amp;timestamp=1741747026337" TargetMode="External"/><Relationship Id="rId174" Type="http://schemas.openxmlformats.org/officeDocument/2006/relationships/hyperlink" Target="https://drive.google.com/open?id=1F3KNykHcedvT0IQppnfbig82mdF3pbpR" TargetMode="External"/><Relationship Id="rId381" Type="http://schemas.openxmlformats.org/officeDocument/2006/relationships/hyperlink" Target="https://drive.google.com/open?id=1QPVlKAfQ0MzYqaLzT07kWxP86lPE9LVE" TargetMode="External"/><Relationship Id="rId2062" Type="http://schemas.openxmlformats.org/officeDocument/2006/relationships/hyperlink" Target="https://drive.google.com/open?id=1O1h7kTqivN_WUHkw3X5YhCXwW8aicIWo" TargetMode="External"/><Relationship Id="rId241" Type="http://schemas.openxmlformats.org/officeDocument/2006/relationships/hyperlink" Target="https://drive.google.com/open?id=1MGVyXwWyJR2hfzfZSkssAhk61nYNZSPB" TargetMode="External"/><Relationship Id="rId479" Type="http://schemas.openxmlformats.org/officeDocument/2006/relationships/hyperlink" Target="https://drive.google.com/open?id=1hBXY60SVl1jr4toiYqVVeIWCmjDasIc8" TargetMode="External"/><Relationship Id="rId686" Type="http://schemas.openxmlformats.org/officeDocument/2006/relationships/hyperlink" Target="https://drive.google.com/open?id=13U7EVeXrjtAS8IynmqRY86eLhDrciAWm" TargetMode="External"/><Relationship Id="rId893" Type="http://schemas.openxmlformats.org/officeDocument/2006/relationships/hyperlink" Target="https://docs.google.com/forms/d/e/1FAIpQLSeEYwFnViiqk1AbexVe1VDR73UApmeuvfn6Yr2vN8WXjwGu2Q/viewform?edit2=2_ABaOnudQTIxzhW1PbyfR74FPiLrAjDVoCLDTOEKjuzWWr-fDTw_xwkMv0FwzsvZbVkFUORE&amp;source=documentstudio&amp;timestamp=1720492852191" TargetMode="External"/><Relationship Id="rId2367" Type="http://schemas.openxmlformats.org/officeDocument/2006/relationships/hyperlink" Target="https://docs.google.com/forms/d/e/1FAIpQLSeEYwFnViiqk1AbexVe1VDR73UApmeuvfn6Yr2vN8WXjwGu2Q/viewform?edit2=2_ABaOnueIaGqP-87uo9keHLPvKnPGIwzLbXnEVnRN9Z2Eqe6cJ8RQ9avysrVUWoQN2NYL060&amp;source=documentstudio&amp;timestamp=1768379737060" TargetMode="External"/><Relationship Id="rId2574" Type="http://schemas.openxmlformats.org/officeDocument/2006/relationships/hyperlink" Target="https://drive.google.com/open?id=1-GSSsPhpZilMxshC-Kx8nj1HGM2uh9Bn" TargetMode="External"/><Relationship Id="rId2781" Type="http://schemas.openxmlformats.org/officeDocument/2006/relationships/hyperlink" Target="https://docs.google.com/forms/d/e/1FAIpQLSeEYwFnViiqk1AbexVe1VDR73UApmeuvfn6Yr2vN8WXjwGu2Q/viewform?edit2=2_ABaOnueYuIOxGJyB35n98eg7W2IoM0wQrFuLdZE6SCal507re5RgsK4DVKwJQNrNJ9VGyY8&amp;source=documentstudio&amp;timestamp=1768960549571" TargetMode="External"/><Relationship Id="rId339" Type="http://schemas.openxmlformats.org/officeDocument/2006/relationships/hyperlink" Target="https://drive.google.com/open?id=1tV9jLogC62J_K_yp1cnBuJeXhXYVILBG" TargetMode="External"/><Relationship Id="rId546" Type="http://schemas.openxmlformats.org/officeDocument/2006/relationships/hyperlink" Target="https://drive.google.com/open?id=1fOoadtmOHex1-KkbSLc8lW-pcIwafnUI" TargetMode="External"/><Relationship Id="rId753" Type="http://schemas.openxmlformats.org/officeDocument/2006/relationships/hyperlink" Target="https://docs.google.com/forms/d/e/1FAIpQLSeEYwFnViiqk1AbexVe1VDR73UApmeuvfn6Yr2vN8WXjwGu2Q/viewform?edit2=2_ABaOnuexzWYgQvtg4k6aFJn6Y6C5f54m2p64uEleao4gMS6WKQVNGBHF_B_wxqxpfywKtFs&amp;source=documentstudio&amp;timestamp=1718175872259" TargetMode="External"/><Relationship Id="rId1176" Type="http://schemas.openxmlformats.org/officeDocument/2006/relationships/hyperlink" Target="https://drive.google.com/open?id=1JADSDUb_X7bgiigIdkfHDev0ZkjJaYYl" TargetMode="External"/><Relationship Id="rId1383" Type="http://schemas.openxmlformats.org/officeDocument/2006/relationships/hyperlink" Target="https://docs.google.com/forms/d/e/1FAIpQLSeEYwFnViiqk1AbexVe1VDR73UApmeuvfn6Yr2vN8WXjwGu2Q/viewform?edit2=2_ABaOnueGdKckBpdqynNZ_DfgsKO9uPpacFKCuUwI3yQVXPMT5Bkciq40kzE8tbWgPeYnMaA&amp;source=documentstudio&amp;timestamp=1736474206903" TargetMode="External"/><Relationship Id="rId2227" Type="http://schemas.openxmlformats.org/officeDocument/2006/relationships/hyperlink" Target="https://docs.google.com/forms/d/e/1FAIpQLSeEYwFnViiqk1AbexVe1VDR73UApmeuvfn6Yr2vN8WXjwGu2Q/viewform?edit2=2_ABaOnucTKfvyuicGi-jDmqgKMkwJSHaZSSUWbTke1tpM9UY-Pp_HsdBn0ZGG2RtMsMlGsSI&amp;source=documentstudio&amp;timestamp=1752655946958" TargetMode="External"/><Relationship Id="rId2434" Type="http://schemas.openxmlformats.org/officeDocument/2006/relationships/hyperlink" Target="https://drive.google.com/open?id=1q5qTpDLSznnJTjBR47QXcR4hghOo_6bW" TargetMode="External"/><Relationship Id="rId2879" Type="http://schemas.openxmlformats.org/officeDocument/2006/relationships/hyperlink" Target="https://docs.google.com/forms/d/e/1FAIpQLSeEYwFnViiqk1AbexVe1VDR73UApmeuvfn6Yr2vN8WXjwGu2Q/viewform?edit2=2_ABaOnucnW4lwKutrEA1-L_yxdWUtqHCArFVrd3N0QIwsNzG9YnVMlF1dNQc2zMXTuPlgBR8&amp;source=documentstudio&amp;timestamp=1769417511753" TargetMode="External"/><Relationship Id="rId101" Type="http://schemas.openxmlformats.org/officeDocument/2006/relationships/hyperlink" Target="https://drive.google.com/open?id=1TM9soPfb_E72XT6ywgnM976jjEdjYvUo" TargetMode="External"/><Relationship Id="rId406" Type="http://schemas.openxmlformats.org/officeDocument/2006/relationships/hyperlink" Target="https://drive.google.com/open?id=1qRqKcVo58Rl3FQHfFDRakhxwwy8Qk_lH" TargetMode="External"/><Relationship Id="rId960" Type="http://schemas.openxmlformats.org/officeDocument/2006/relationships/hyperlink" Target="https://drive.google.com/open?id=1ygpiK94iIl6yFWzif1VUWa647mlcQzWp" TargetMode="External"/><Relationship Id="rId1036" Type="http://schemas.openxmlformats.org/officeDocument/2006/relationships/hyperlink" Target="https://drive.google.com/open?id=1vukODp0zaeUQO9eJkbA8xWDDZirX_KZ-" TargetMode="External"/><Relationship Id="rId1243" Type="http://schemas.openxmlformats.org/officeDocument/2006/relationships/hyperlink" Target="https://docs.google.com/forms/d/e/1FAIpQLSeEYwFnViiqk1AbexVe1VDR73UApmeuvfn6Yr2vN8WXjwGu2Q/viewform?edit2=2_ABaOnudx7thLZoVgySqatPABGBAJ8hKWvCBiku6a7ozkuHLuhO3pm2a6h04PIoAbUVaUGgo&amp;source=documentstudio&amp;timestamp=1731895423088" TargetMode="External"/><Relationship Id="rId1590" Type="http://schemas.openxmlformats.org/officeDocument/2006/relationships/hyperlink" Target="https://drive.google.com/open?id=1isaQ8CV4QcVSLGK8_gX_oEPtK7T51gd1" TargetMode="External"/><Relationship Id="rId1688" Type="http://schemas.openxmlformats.org/officeDocument/2006/relationships/hyperlink" Target="https://drive.google.com/open?id=1b68-RJhL--5Qqm6Uzs3naIewetvIdrA6" TargetMode="External"/><Relationship Id="rId1895" Type="http://schemas.openxmlformats.org/officeDocument/2006/relationships/hyperlink" Target="https://drive.google.com/open?id=1mgrmsR-p92UAqGAl5Na3Zgb1jgSaXk4F" TargetMode="External"/><Relationship Id="rId2641" Type="http://schemas.openxmlformats.org/officeDocument/2006/relationships/hyperlink" Target="https://docs.google.com/forms/d/e/1FAIpQLSeEYwFnViiqk1AbexVe1VDR73UApmeuvfn6Yr2vN8WXjwGu2Q/viewform?edit2=2_ABaOnuc2NZOiGOdgpYEapX4UXDeUTt_FZJv36HtnNgEijwkK6otJphVCaWFAwM7JEt3gPzA&amp;source=documentstudio&amp;timestamp=1768787856806" TargetMode="External"/><Relationship Id="rId2739" Type="http://schemas.openxmlformats.org/officeDocument/2006/relationships/hyperlink" Target="https://docs.google.com/forms/d/e/1FAIpQLSeEYwFnViiqk1AbexVe1VDR73UApmeuvfn6Yr2vN8WXjwGu2Q/viewform?edit2=2_ABaOnufC2k-8cQEOiwpOyO5iqCbh8qEefgpd8t2eJUOiuOL3_8XQK5Kvq1MGmc9ABPBc1Q4&amp;source=documentstudio&amp;timestamp=1768813802127" TargetMode="External"/><Relationship Id="rId2946" Type="http://schemas.openxmlformats.org/officeDocument/2006/relationships/hyperlink" Target="https://docs.google.com/forms/d/e/1FAIpQLSeEYwFnViiqk1AbexVe1VDR73UApmeuvfn6Yr2vN8WXjwGu2Q/viewform?edit2=2_ABaOnufcwbZ2fQoIoTm5ysODMhGFMAB0wUrFSdjsRzlWD2ky_btmGrt6ja1WZxGbdsXKYIo&amp;source=documentstudio&amp;timestamp=1769595708990" TargetMode="External"/><Relationship Id="rId613" Type="http://schemas.openxmlformats.org/officeDocument/2006/relationships/hyperlink" Target="https://docs.google.com/forms/d/e/1FAIpQLSeEYwFnViiqk1AbexVe1VDR73UApmeuvfn6Yr2vN8WXjwGu2Q/viewform?edit2=2_ABaOnuckTyf2Hnfuh02o49q_VmQBnHx0EbJumv1fjsKum_kywTqkc4tmnvTQ7wHYhp4RhBc&amp;source=documentstudio&amp;timestamp=1715566209355" TargetMode="External"/><Relationship Id="rId820" Type="http://schemas.openxmlformats.org/officeDocument/2006/relationships/hyperlink" Target="https://drive.google.com/open?id=1IChm8nAChO_NYhaeVlmLKHxlydu3oG0G" TargetMode="External"/><Relationship Id="rId918" Type="http://schemas.openxmlformats.org/officeDocument/2006/relationships/hyperlink" Target="https://drive.google.com/open?id=1gkaT-YehKRhCrv0YsmY4-PFqx_SgYEHF" TargetMode="External"/><Relationship Id="rId1450" Type="http://schemas.openxmlformats.org/officeDocument/2006/relationships/hyperlink" Target="https://drive.google.com/open?id=1eAvLtlsqBYY9JhnyqKjeryhsFAW9VMK2" TargetMode="External"/><Relationship Id="rId1548" Type="http://schemas.openxmlformats.org/officeDocument/2006/relationships/hyperlink" Target="https://drive.google.com/open?id=1lSNI3uV0NizPqWfyQe7ik_fBn7Yvbd53" TargetMode="External"/><Relationship Id="rId1755" Type="http://schemas.openxmlformats.org/officeDocument/2006/relationships/hyperlink" Target="https://drive.google.com/open?id=1s5OAOPFykyZ1N2lToPPtX7f0SIozx2nZ" TargetMode="External"/><Relationship Id="rId2501" Type="http://schemas.openxmlformats.org/officeDocument/2006/relationships/hyperlink" Target="https://docs.google.com/forms/d/e/1FAIpQLSeEYwFnViiqk1AbexVe1VDR73UApmeuvfn6Yr2vN8WXjwGu2Q/viewform?edit2=2_ABaOnufXznqzDvhypB30Y-Jl2DpiqXLq-4sqNOuqQ8wVK5Jkn5z_rtPPapgF8NmFMdsG_9s&amp;source=documentstudio&amp;timestamp=1768443379657" TargetMode="External"/><Relationship Id="rId1103" Type="http://schemas.openxmlformats.org/officeDocument/2006/relationships/hyperlink" Target="https://docs.google.com/forms/d/e/1FAIpQLSeEYwFnViiqk1AbexVe1VDR73UApmeuvfn6Yr2vN8WXjwGu2Q/viewform?edit2=2_ABaOnuevfkvu5oQ1Do65Zgz8umjy2zkbXyWRC4SXrHH8HM-brJYIbenjWrhx-kt-k7Rid5w&amp;source=documentstudio&amp;timestamp=1726619274664" TargetMode="External"/><Relationship Id="rId1310" Type="http://schemas.openxmlformats.org/officeDocument/2006/relationships/hyperlink" Target="https://drive.google.com/open?id=1oDh6SpY19XT2Qv8CczJjgBSxJtmma_Cv" TargetMode="External"/><Relationship Id="rId1408" Type="http://schemas.openxmlformats.org/officeDocument/2006/relationships/hyperlink" Target="https://drive.google.com/open?id=11eIxu97QNgctLTC-RiPyHBer9mxcsBfL" TargetMode="External"/><Relationship Id="rId1962" Type="http://schemas.openxmlformats.org/officeDocument/2006/relationships/hyperlink" Target="https://docs.google.com/forms/d/e/1FAIpQLSeEYwFnViiqk1AbexVe1VDR73UApmeuvfn6Yr2vN8WXjwGu2Q/viewform?edit2=2_ABaOnudZmpcRnXtFZJ6QaoCouJHmyMFZNjyfSOX86k61-JcwNnhBnmwtVAjPhBCSTKdTyXc&amp;source=documentstudio&amp;timestamp=1747296073892" TargetMode="External"/><Relationship Id="rId2806" Type="http://schemas.openxmlformats.org/officeDocument/2006/relationships/hyperlink" Target="https://drive.google.com/open?id=1fAsXdxQ_eb8it5KdLyL6zEliBD3bqyqB" TargetMode="External"/><Relationship Id="rId47" Type="http://schemas.openxmlformats.org/officeDocument/2006/relationships/hyperlink" Target="https://drive.google.com/open?id=1mEYZIHIIcSclA1Y9FWa0giawpA3GZhRL" TargetMode="External"/><Relationship Id="rId1615" Type="http://schemas.openxmlformats.org/officeDocument/2006/relationships/hyperlink" Target="https://docs.google.com/forms/d/e/1FAIpQLSeEYwFnViiqk1AbexVe1VDR73UApmeuvfn6Yr2vN8WXjwGu2Q/viewform?edit2=2_ABaOnufT9WuoIdUQhf8rCHcmhSuAxvMJRmgjsk3BnoSMIue5BaM7AETaiAftN_YohWu2qJ8&amp;source=documentstudio&amp;timestamp=1739330250007" TargetMode="External"/><Relationship Id="rId1822" Type="http://schemas.openxmlformats.org/officeDocument/2006/relationships/hyperlink" Target="https://docs.google.com/forms/d/e/1FAIpQLSeEYwFnViiqk1AbexVe1VDR73UApmeuvfn6Yr2vN8WXjwGu2Q/viewform?edit2=2_ABaOnucecY_Z9GiywM7Uba_g5vMYlVwdRumqZ5LYCAx_WezV8MKvIF9zyzjdvC-6U3pXFl0&amp;source=documentstudio&amp;timestamp=1741760083590" TargetMode="External"/><Relationship Id="rId196" Type="http://schemas.openxmlformats.org/officeDocument/2006/relationships/hyperlink" Target="https://drive.google.com/open?id=12WxsiDMzPA932nYiL9q0DtKuZdGaiDRd" TargetMode="External"/><Relationship Id="rId2084" Type="http://schemas.openxmlformats.org/officeDocument/2006/relationships/hyperlink" Target="https://drive.google.com/open?id=1XE79IBDvVWDIhxdMaOQFQpgg2k685alj" TargetMode="External"/><Relationship Id="rId2291" Type="http://schemas.openxmlformats.org/officeDocument/2006/relationships/hyperlink" Target="https://docs.google.com/forms/d/e/1FAIpQLSeEYwFnViiqk1AbexVe1VDR73UApmeuvfn6Yr2vN8WXjwGu2Q/viewform?edit2=2_ABaOnueL1T3XUItTIKtoZNMGGbVO-LNgf8pb8Rz8q32szrUTeKNzGx56snDnV1fOxCX1Oto&amp;source=documentstudio&amp;timestamp=1759363393303" TargetMode="External"/><Relationship Id="rId263" Type="http://schemas.openxmlformats.org/officeDocument/2006/relationships/hyperlink" Target="https://drive.google.com/open?id=1RKXye_aV0w7jL0g7lMt0VUdxQQOeY47b" TargetMode="External"/><Relationship Id="rId470" Type="http://schemas.openxmlformats.org/officeDocument/2006/relationships/hyperlink" Target="https://drive.google.com/open?id=11GmEAFDSkec4lBq5N8xhpyzS8uBERxZa" TargetMode="External"/><Relationship Id="rId2151" Type="http://schemas.openxmlformats.org/officeDocument/2006/relationships/hyperlink" Target="https://docs.google.com/forms/d/e/1FAIpQLSeEYwFnViiqk1AbexVe1VDR73UApmeuvfn6Yr2vN8WXjwGu2Q/viewform?edit2=2_ABaOnudwsPym1sdXi_UTGt-jCjkmDjdIIng0wNiPzVvE75D581qGLM9EQyaYA3_2nszCSSE&amp;source=documentstudio&amp;timestamp=1749519554710" TargetMode="External"/><Relationship Id="rId2389" Type="http://schemas.openxmlformats.org/officeDocument/2006/relationships/hyperlink" Target="https://docs.google.com/forms/d/e/1FAIpQLSeEYwFnViiqk1AbexVe1VDR73UApmeuvfn6Yr2vN8WXjwGu2Q/viewform?edit2=2_ABaOnuc9oJNlXJWxVNNkkVILcLKrsqeSPCEbt9X2dyLk6CpV7nebdMs7Tt__K3Ivw5Puodc&amp;source=documentstudio&amp;timestamp=1768437743482" TargetMode="External"/><Relationship Id="rId2596" Type="http://schemas.openxmlformats.org/officeDocument/2006/relationships/hyperlink" Target="https://drive.google.com/open?id=1BO2fwAlOVlHsCWcrMxjJ1ye0gmJH2ORF" TargetMode="External"/><Relationship Id="rId123" Type="http://schemas.openxmlformats.org/officeDocument/2006/relationships/hyperlink" Target="https://drive.google.com/open?id=16mjXn3MF5salgfc-di3NkwT70FybrOm8" TargetMode="External"/><Relationship Id="rId330" Type="http://schemas.openxmlformats.org/officeDocument/2006/relationships/hyperlink" Target="https://drive.google.com/open?id=17xDRSnXXNvdBrkL0Uqqjq63DzvvI-OjU" TargetMode="External"/><Relationship Id="rId568" Type="http://schemas.openxmlformats.org/officeDocument/2006/relationships/hyperlink" Target="https://drive.google.com/open?id=1lXvCKeSS02rlAqT9YUp4Zim7PqcjzBsW" TargetMode="External"/><Relationship Id="rId775" Type="http://schemas.openxmlformats.org/officeDocument/2006/relationships/hyperlink" Target="https://docs.google.com/forms/d/e/1FAIpQLSeEYwFnViiqk1AbexVe1VDR73UApmeuvfn6Yr2vN8WXjwGu2Q/viewform?edit2=2_ABaOnudDtF0nQCO4AULxxrg8bkC1iu29Y_scz3ghzvTzkNfAWSSzzoeX244-d-ew3HkbyaQ&amp;source=documentstudio&amp;timestamp=1718176736985" TargetMode="External"/><Relationship Id="rId982" Type="http://schemas.openxmlformats.org/officeDocument/2006/relationships/hyperlink" Target="https://drive.google.com/open?id=1TKaHkIYTJB3Li33FMGIaWvjS8IiigefV" TargetMode="External"/><Relationship Id="rId1198" Type="http://schemas.openxmlformats.org/officeDocument/2006/relationships/hyperlink" Target="https://drive.google.com/open?id=1VAEoJ2ajZtWFm4h77qhmbUX3djE9sGWn" TargetMode="External"/><Relationship Id="rId2011" Type="http://schemas.openxmlformats.org/officeDocument/2006/relationships/hyperlink" Target="https://docs.google.com/forms/d/e/1FAIpQLSeEYwFnViiqk1AbexVe1VDR73UApmeuvfn6Yr2vN8WXjwGu2Q/viewform?edit2=2_ABaOnucBEDkdl7jj82eGTddllVnv-H2chpN_ulaYqfR3GogmlolRPclmtlaN1oAja5tM6CY&amp;source=documentstudio&amp;timestamp=1748831412532" TargetMode="External"/><Relationship Id="rId2249" Type="http://schemas.openxmlformats.org/officeDocument/2006/relationships/hyperlink" Target="https://docs.google.com/forms/d/e/1FAIpQLSeEYwFnViiqk1AbexVe1VDR73UApmeuvfn6Yr2vN8WXjwGu2Q/viewform?edit2=2_ABaOnueKxv7ym_ahlELlYHLYeqIuXqc9K1dPFDtQkRRgvReGmuASk7Qtqrbekk_jTPRqYEE&amp;source=documentstudio&amp;timestamp=1756800640021" TargetMode="External"/><Relationship Id="rId2456" Type="http://schemas.openxmlformats.org/officeDocument/2006/relationships/hyperlink" Target="https://drive.google.com/open?id=1LUwdrNFQ2EPJkKy1B1lstCjiSOGvujn3" TargetMode="External"/><Relationship Id="rId2663" Type="http://schemas.openxmlformats.org/officeDocument/2006/relationships/hyperlink" Target="https://docs.google.com/forms/d/e/1FAIpQLSeEYwFnViiqk1AbexVe1VDR73UApmeuvfn6Yr2vN8WXjwGu2Q/viewform?edit2=2_ABaOnud6N8vb-ap5srFL5EDgojpc_kNrLscBXb_Pwch5fVi7aVF0EgXtV_f_x5UlKqcqfpI&amp;source=documentstudio&amp;timestamp=1768789621613" TargetMode="External"/><Relationship Id="rId2870" Type="http://schemas.openxmlformats.org/officeDocument/2006/relationships/hyperlink" Target="https://drive.google.com/open?id=1UfSm8UAGzZpxSiBdfGbBQntTx-G_m57s" TargetMode="External"/><Relationship Id="rId428" Type="http://schemas.openxmlformats.org/officeDocument/2006/relationships/hyperlink" Target="https://drive.google.com/open?id=13mA5-5K5p988MWCs0Ju22NukT1pvcwBZ" TargetMode="External"/><Relationship Id="rId635" Type="http://schemas.openxmlformats.org/officeDocument/2006/relationships/hyperlink" Target="https://docs.google.com/forms/d/e/1FAIpQLSeEYwFnViiqk1AbexVe1VDR73UApmeuvfn6Yr2vN8WXjwGu2Q/viewform?edit2=2_ABaOnudDVArnc6ZBOGmPzPLRboa0FgHMkl3J20Lol6WKmYhanAHpu7l0AeQCzE7Ft0Yv1fU&amp;source=documentstudio&amp;timestamp=1717383913470" TargetMode="External"/><Relationship Id="rId842" Type="http://schemas.openxmlformats.org/officeDocument/2006/relationships/hyperlink" Target="https://drive.google.com/open?id=13dRjCd7XfbfWHCVAHDz9JSHGUargLr2Z" TargetMode="External"/><Relationship Id="rId1058" Type="http://schemas.openxmlformats.org/officeDocument/2006/relationships/hyperlink" Target="https://drive.google.com/open?id=1hoNZthS3FbXJo5AET5Drswut0XBXhGgw" TargetMode="External"/><Relationship Id="rId1265" Type="http://schemas.openxmlformats.org/officeDocument/2006/relationships/hyperlink" Target="https://docs.google.com/forms/d/e/1FAIpQLSeEYwFnViiqk1AbexVe1VDR73UApmeuvfn6Yr2vN8WXjwGu2Q/viewform?edit2=2_ABaOnuchjnvIbJs2JtdbgrfZNZJH3kUP6SGjRp5hWAsmZdvvKgo1v8PdKjTfKzG8lAM-OT8&amp;source=documentstudio&amp;timestamp=1733451481255" TargetMode="External"/><Relationship Id="rId1472" Type="http://schemas.openxmlformats.org/officeDocument/2006/relationships/hyperlink" Target="https://drive.google.com/open?id=1ILHL3Y375rAQBL1nw5I6mOIi7Y4eOaRO" TargetMode="External"/><Relationship Id="rId2109" Type="http://schemas.openxmlformats.org/officeDocument/2006/relationships/hyperlink" Target="https://docs.google.com/forms/d/e/1FAIpQLSeEYwFnViiqk1AbexVe1VDR73UApmeuvfn6Yr2vN8WXjwGu2Q/viewform?edit2=2_ABaOnudw4vFPwwFCwdtm0KfcJMD1OZ5a-2iCI7COHMxzdDW-8A8ABevBzixo7AHdYMEX4Go&amp;source=documentstudio&amp;timestamp=1748917391382" TargetMode="External"/><Relationship Id="rId2316" Type="http://schemas.openxmlformats.org/officeDocument/2006/relationships/hyperlink" Target="https://drive.google.com/open?id=1jAT2HG81fyaWgrZJZBV7d_vWMzf7r1go" TargetMode="External"/><Relationship Id="rId2523" Type="http://schemas.openxmlformats.org/officeDocument/2006/relationships/hyperlink" Target="https://docs.google.com/forms/d/e/1FAIpQLSeEYwFnViiqk1AbexVe1VDR73UApmeuvfn6Yr2vN8WXjwGu2Q/viewform?edit2=2_ABaOnueT4TOzP-L-JRaF8nOeLKikeYcuDqMdY4_6IFbT1ovSn-fyqEn9VEjEVagfuxparW8&amp;source=documentstudio&amp;timestamp=1768444552192" TargetMode="External"/><Relationship Id="rId2730" Type="http://schemas.openxmlformats.org/officeDocument/2006/relationships/hyperlink" Target="https://drive.google.com/open?id=1PNYYsGhKjOHRkE99CGzIEWs3XYBBnSy4" TargetMode="External"/><Relationship Id="rId702" Type="http://schemas.openxmlformats.org/officeDocument/2006/relationships/hyperlink" Target="https://drive.google.com/open?id=1g04H1p5Z5f6yuRhLs3yKQ7P5hJ4fWyzn" TargetMode="External"/><Relationship Id="rId1125" Type="http://schemas.openxmlformats.org/officeDocument/2006/relationships/hyperlink" Target="https://docs.google.com/forms/d/e/1FAIpQLSeEYwFnViiqk1AbexVe1VDR73UApmeuvfn6Yr2vN8WXjwGu2Q/viewform?edit2=2_ABaOnuckAkNfMDBgilUb_rw15FUHN_9qIEAAd34YRS4c7PnbqRxJfGxDq-cNuHQgyfPMdjA&amp;source=documentstudio&amp;timestamp=1727859353462" TargetMode="External"/><Relationship Id="rId1332" Type="http://schemas.openxmlformats.org/officeDocument/2006/relationships/hyperlink" Target="https://drive.google.com/open?id=1Nt_YsqQX0G16B6iwOsmanz4bkheewNt8" TargetMode="External"/><Relationship Id="rId1777" Type="http://schemas.openxmlformats.org/officeDocument/2006/relationships/hyperlink" Target="https://drive.google.com/open?id=11uk_yJi3p1Wah_8JBzBOOSU4sJa8RnlL" TargetMode="External"/><Relationship Id="rId1984" Type="http://schemas.openxmlformats.org/officeDocument/2006/relationships/hyperlink" Target="https://drive.google.com/open?id=1qUSffEL9MATHP1h-6EKmuAz2sofqkjaT" TargetMode="External"/><Relationship Id="rId2828" Type="http://schemas.openxmlformats.org/officeDocument/2006/relationships/hyperlink" Target="https://drive.google.com/open?id=1rlVk_YMIxFNW7Dw0odMqyw-5l--oLyj9" TargetMode="External"/><Relationship Id="rId69" Type="http://schemas.openxmlformats.org/officeDocument/2006/relationships/hyperlink" Target="https://drive.google.com/open?id=1kZcj1AwC0f1SVS9rCiPVS9o0vLquMMwP" TargetMode="External"/><Relationship Id="rId1637" Type="http://schemas.openxmlformats.org/officeDocument/2006/relationships/hyperlink" Target="https://docs.google.com/forms/d/e/1FAIpQLSeEYwFnViiqk1AbexVe1VDR73UApmeuvfn6Yr2vN8WXjwGu2Q/viewform?edit2=2_ABaOnufqrqxLrz7RkExRTq7Ux-tueyML9o68p4F5IcysWYMHA0yInOLjFk7rfhWmybQF4jY&amp;source=documentstudio&amp;timestamp=1741332601238" TargetMode="External"/><Relationship Id="rId1844" Type="http://schemas.openxmlformats.org/officeDocument/2006/relationships/hyperlink" Target="https://docs.google.com/forms/d/e/1FAIpQLSeEYwFnViiqk1AbexVe1VDR73UApmeuvfn6Yr2vN8WXjwGu2Q/viewform?edit2=2_ABaOnucs2pJlP6UF1l7H3oNwCNDW1J69CJM8TXzhhwiQE5pLyZAACAdOTaRv3Nhr6jSlh8k&amp;source=documentstudio&amp;timestamp=1742021158620" TargetMode="External"/><Relationship Id="rId1704" Type="http://schemas.openxmlformats.org/officeDocument/2006/relationships/hyperlink" Target="https://docs.google.com/forms/d/e/1FAIpQLSeEYwFnViiqk1AbexVe1VDR73UApmeuvfn6Yr2vN8WXjwGu2Q/viewform?edit2=2_ABaOnufUwFJ1kTydYq5920BN7uCHwlM6E9mof36OUS7X5BYd0Mx9VMIkFfz--3WbzeeH8O0&amp;source=documentstudio&amp;timestamp=1741336343703" TargetMode="External"/><Relationship Id="rId285" Type="http://schemas.openxmlformats.org/officeDocument/2006/relationships/hyperlink" Target="https://drive.google.com/open?id=1-OOUxNSY6oRc94yu5H2FocyHrU_8qf15" TargetMode="External"/><Relationship Id="rId1911" Type="http://schemas.openxmlformats.org/officeDocument/2006/relationships/hyperlink" Target="https://drive.google.com/open?id=1V6FkPyKxsxW8Q83w5dD70jjqiN0tHOUI" TargetMode="External"/><Relationship Id="rId492" Type="http://schemas.openxmlformats.org/officeDocument/2006/relationships/hyperlink" Target="https://drive.google.com/open?id=1EQ4q9qF56g9wXlfDq_1lBj_aCzn6o5yG" TargetMode="External"/><Relationship Id="rId797" Type="http://schemas.openxmlformats.org/officeDocument/2006/relationships/hyperlink" Target="https://docs.google.com/forms/d/e/1FAIpQLSeEYwFnViiqk1AbexVe1VDR73UApmeuvfn6Yr2vN8WXjwGu2Q/viewform?edit2=2_ABaOnueiPMR4zsAD8XneRQ66solHMtq0RMFhZpH5vEy2UVSYjEqC3rw0jE3Hi49dqWqKY2w&amp;source=documentstudio&amp;timestamp=1719968135860" TargetMode="External"/><Relationship Id="rId2173" Type="http://schemas.openxmlformats.org/officeDocument/2006/relationships/hyperlink" Target="https://docs.google.com/forms/d/e/1FAIpQLSeEYwFnViiqk1AbexVe1VDR73UApmeuvfn6Yr2vN8WXjwGu2Q/viewform?edit2=2_ABaOnueqV6QUnWj3goYFKVq4VUSR2GzeiV-RjbXcha3bCIM18hsnEPZfRJYUrcWFWS0lfFA&amp;source=documentstudio&amp;timestamp=1750642973007" TargetMode="External"/><Relationship Id="rId2380" Type="http://schemas.openxmlformats.org/officeDocument/2006/relationships/hyperlink" Target="https://drive.google.com/open?id=1L-BmHW_FGZ8MMhJ7kvz9az1JxBqM-koU" TargetMode="External"/><Relationship Id="rId2478" Type="http://schemas.openxmlformats.org/officeDocument/2006/relationships/hyperlink" Target="https://drive.google.com/open?id=1vcPwkTQhXaj2bwJu5Csocm1rG7lq5TG-" TargetMode="External"/><Relationship Id="rId145" Type="http://schemas.openxmlformats.org/officeDocument/2006/relationships/hyperlink" Target="https://drive.google.com/open?id=1Aoav3ERU-Mzgdx8-kG5MdCT4_L7NS5aT" TargetMode="External"/><Relationship Id="rId352" Type="http://schemas.openxmlformats.org/officeDocument/2006/relationships/hyperlink" Target="https://drive.google.com/open?id=1EWndCNwf0zvrMUN3D_3J_V-nfRSh22w2" TargetMode="External"/><Relationship Id="rId1287" Type="http://schemas.openxmlformats.org/officeDocument/2006/relationships/hyperlink" Target="https://docs.google.com/forms/d/e/1FAIpQLSeEYwFnViiqk1AbexVe1VDR73UApmeuvfn6Yr2vN8WXjwGu2Q/viewform?edit2=2_ABaOnud7LGcBC9xe_SiQmfb3p3sZrW9e8HMpvOrpoUjU0Fa3RUCggYkSFRimeOoA98KRz4I&amp;source=documentstudio&amp;timestamp=1733707762871" TargetMode="External"/><Relationship Id="rId2033" Type="http://schemas.openxmlformats.org/officeDocument/2006/relationships/hyperlink" Target="https://docs.google.com/forms/d/e/1FAIpQLSeEYwFnViiqk1AbexVe1VDR73UApmeuvfn6Yr2vN8WXjwGu2Q/viewform?edit2=2_ABaOnuccg5KoM4-qBeQAjJLrDA0-f5OlkXDAlf0fbZjBM5TkI0A_2umj4jldFMVYU4si1G8&amp;source=documentstudio&amp;timestamp=1748832060614" TargetMode="External"/><Relationship Id="rId2240" Type="http://schemas.openxmlformats.org/officeDocument/2006/relationships/hyperlink" Target="https://drive.google.com/open?id=1R_Am6JouBMxU44Q2tFRhwV1TIw_g2sZF" TargetMode="External"/><Relationship Id="rId2685" Type="http://schemas.openxmlformats.org/officeDocument/2006/relationships/hyperlink" Target="https://docs.google.com/forms/d/e/1FAIpQLSeEYwFnViiqk1AbexVe1VDR73UApmeuvfn6Yr2vN8WXjwGu2Q/viewform?edit2=2_ABaOnudesPUtan56lgK_gozZu0NUeWWRslpbd7QSjksYIu4k2AT2PUEfMz3V9owWDzunXfA&amp;source=documentstudio&amp;timestamp=1768791784918" TargetMode="External"/><Relationship Id="rId2892" Type="http://schemas.openxmlformats.org/officeDocument/2006/relationships/hyperlink" Target="https://docs.google.com/forms/d/e/1FAIpQLSeEYwFnViiqk1AbexVe1VDR73UApmeuvfn6Yr2vN8WXjwGu2Q/viewform?edit2=2_ABaOnueFBHZ-xuJwxyP26sfToIEjqYtWvzYEEhJeIyrMtcEx3hbHRCzqeG_UlNiqoj6Lhc8&amp;source=documentstudio&amp;timestamp=1769485163149" TargetMode="External"/><Relationship Id="rId212" Type="http://schemas.openxmlformats.org/officeDocument/2006/relationships/hyperlink" Target="https://drive.google.com/open?id=1v0KxJNWgSBQUKDasO1glRSxcQ1_vCRVh" TargetMode="External"/><Relationship Id="rId657" Type="http://schemas.openxmlformats.org/officeDocument/2006/relationships/hyperlink" Target="https://docs.google.com/forms/d/e/1FAIpQLSeEYwFnViiqk1AbexVe1VDR73UApmeuvfn6Yr2vN8WXjwGu2Q/viewform?edit2=2_ABaOnueYaX5sZy3_J3R3dY3phvtR7QcjOrRm91EIXtsnd-RgZYOl4WCgHYMsjql_AcGE13k&amp;source=documentstudio&amp;timestamp=1717385847980" TargetMode="External"/><Relationship Id="rId864" Type="http://schemas.openxmlformats.org/officeDocument/2006/relationships/hyperlink" Target="https://drive.google.com/open?id=1nxxdB3gbqk8XAeJlCbM5JUudW_feeTBf" TargetMode="External"/><Relationship Id="rId1494" Type="http://schemas.openxmlformats.org/officeDocument/2006/relationships/hyperlink" Target="https://drive.google.com/open?id=10EI50ygau4DpCgvm7Me9F0euM7KWnAsG" TargetMode="External"/><Relationship Id="rId1799" Type="http://schemas.openxmlformats.org/officeDocument/2006/relationships/hyperlink" Target="https://drive.google.com/open?id=1jn8MoRfnqDoVAJNXuY_KU0xChy2xj9hl" TargetMode="External"/><Relationship Id="rId2100" Type="http://schemas.openxmlformats.org/officeDocument/2006/relationships/hyperlink" Target="https://drive.google.com/open?id=1bcPi23UXqsyvDRwyJvSic1rlY_NdJWv3" TargetMode="External"/><Relationship Id="rId2338" Type="http://schemas.openxmlformats.org/officeDocument/2006/relationships/hyperlink" Target="https://drive.google.com/open?id=13MVsJmWIXLjYbU7ApLJNDa680FqEI1U7" TargetMode="External"/><Relationship Id="rId2545" Type="http://schemas.openxmlformats.org/officeDocument/2006/relationships/hyperlink" Target="https://docs.google.com/forms/d/e/1FAIpQLSeEYwFnViiqk1AbexVe1VDR73UApmeuvfn6Yr2vN8WXjwGu2Q/viewform?edit2=2_ABaOnuemJsdsnVYUacQUCAensHHiMKOxhkVERhwOlOYDmh8UxFuH3ZJ9Ym91xMzt9_n8PKk&amp;source=documentstudio&amp;timestamp=1768460374607" TargetMode="External"/><Relationship Id="rId2752" Type="http://schemas.openxmlformats.org/officeDocument/2006/relationships/hyperlink" Target="https://drive.google.com/open?id=1uNpw0uLrySC61cermHA3-HkInCV9rIXA" TargetMode="External"/><Relationship Id="rId517" Type="http://schemas.openxmlformats.org/officeDocument/2006/relationships/hyperlink" Target="https://drive.google.com/open?id=1VeseGM3jD06qhFpG8t6SkWkrkgwbDNWm" TargetMode="External"/><Relationship Id="rId724" Type="http://schemas.openxmlformats.org/officeDocument/2006/relationships/hyperlink" Target="https://drive.google.com/open?id=12msx6aZggKfOpTJYcXLUKi7Zk8zDRA9O" TargetMode="External"/><Relationship Id="rId931" Type="http://schemas.openxmlformats.org/officeDocument/2006/relationships/hyperlink" Target="https://docs.google.com/forms/d/e/1FAIpQLSeEYwFnViiqk1AbexVe1VDR73UApmeuvfn6Yr2vN8WXjwGu2Q/viewform?edit2=2_ABaOnue5jWZtM1Q05zjz0tHlSl8JAdbsGaeKisL5jrm65nFNYZjiVOGCgZpvnwi4dFpX2G0&amp;source=documentstudio&amp;timestamp=1721620432895" TargetMode="External"/><Relationship Id="rId1147" Type="http://schemas.openxmlformats.org/officeDocument/2006/relationships/hyperlink" Target="https://docs.google.com/forms/d/e/1FAIpQLSeEYwFnViiqk1AbexVe1VDR73UApmeuvfn6Yr2vN8WXjwGu2Q/viewform?edit2=2_ABaOnufsv6QDddnzWnEGkCGEl4cqZB0WBGn5kukFttENUQcIH_pdmOY-SzF_KVnpstdE9Yk&amp;source=documentstudio&amp;timestamp=1728015566918" TargetMode="External"/><Relationship Id="rId1354" Type="http://schemas.openxmlformats.org/officeDocument/2006/relationships/hyperlink" Target="https://drive.google.com/open?id=1zyclcyrxntSZG0j4ViQt4kOC6F1QGzxe" TargetMode="External"/><Relationship Id="rId1561" Type="http://schemas.openxmlformats.org/officeDocument/2006/relationships/hyperlink" Target="https://docs.google.com/forms/d/e/1FAIpQLSeEYwFnViiqk1AbexVe1VDR73UApmeuvfn6Yr2vN8WXjwGu2Q/viewform?edit2=2_ABaOnueEuCjPuvebjWMox4pkghYXNsbh4tL5fL5nNI4izQuJTOE8r1RwaQiOuph7yOOxy-U&amp;source=documentstudio&amp;timestamp=1739328938861" TargetMode="External"/><Relationship Id="rId2405" Type="http://schemas.openxmlformats.org/officeDocument/2006/relationships/hyperlink" Target="https://docs.google.com/forms/d/e/1FAIpQLSeEYwFnViiqk1AbexVe1VDR73UApmeuvfn6Yr2vN8WXjwGu2Q/viewform?edit2=2_ABaOnufcWYJuHVlwIMpGELHajbnturTk-B4Xw_6h_MRJtBv8VMPu2zu-YyioRxvQrz6bdBs&amp;source=documentstudio&amp;timestamp=1768439317032" TargetMode="External"/><Relationship Id="rId2612" Type="http://schemas.openxmlformats.org/officeDocument/2006/relationships/hyperlink" Target="https://drive.google.com/open?id=11Ada6mTLI331uGQ1N5oyMdaM5DQ5KmyN" TargetMode="External"/><Relationship Id="rId60" Type="http://schemas.openxmlformats.org/officeDocument/2006/relationships/hyperlink" Target="https://drive.google.com/open?id=1YX9Z1tH4Bqg1r-iAPzWyzn_p1WhUr5K-" TargetMode="External"/><Relationship Id="rId1007" Type="http://schemas.openxmlformats.org/officeDocument/2006/relationships/hyperlink" Target="https://docs.google.com/forms/d/e/1FAIpQLSeEYwFnViiqk1AbexVe1VDR73UApmeuvfn6Yr2vN8WXjwGu2Q/viewform?edit2=2_ABaOnucuYqdDH2u_IxfXsZgHtCPsTIg8hYe9rScXC7LavYtMN4Us52w8xrDEv0QzquqOYrQ&amp;source=documentstudio&amp;timestamp=1723536631969" TargetMode="External"/><Relationship Id="rId1214" Type="http://schemas.openxmlformats.org/officeDocument/2006/relationships/hyperlink" Target="https://drive.google.com/open?id=1GkMP10lamvKSRg9s1LFdObCRSmQpjV0M" TargetMode="External"/><Relationship Id="rId1421" Type="http://schemas.openxmlformats.org/officeDocument/2006/relationships/hyperlink" Target="https://docs.google.com/forms/d/e/1FAIpQLSeEYwFnViiqk1AbexVe1VDR73UApmeuvfn6Yr2vN8WXjwGu2Q/viewform?edit2=2_ABaOnufhi66xMXl5dsPn3yMgtwreiy5gJbTqCDmXAvCUNERu4fUzlY1lF2ruhAf94F92V_Q&amp;source=documentstudio&amp;timestamp=1737446337553" TargetMode="External"/><Relationship Id="rId1659" Type="http://schemas.openxmlformats.org/officeDocument/2006/relationships/hyperlink" Target="https://docs.google.com/forms/d/e/1FAIpQLSeEYwFnViiqk1AbexVe1VDR73UApmeuvfn6Yr2vN8WXjwGu2Q/viewform?edit2=2_ABaOnufsgELK8ZH6bzF-4wVf9sBEI8FMzKK_YRIuDCcpFA2H07Zl2p8Jw8wdxgziPWobbkA&amp;source=documentstudio&amp;timestamp=1741333681815" TargetMode="External"/><Relationship Id="rId1866" Type="http://schemas.openxmlformats.org/officeDocument/2006/relationships/hyperlink" Target="https://docs.google.com/forms/d/e/1FAIpQLSeEYwFnViiqk1AbexVe1VDR73UApmeuvfn6Yr2vN8WXjwGu2Q/viewform?edit2=2_ABaOnuczxgO-T1-4DoWeVezZjJeVuAUuY-HM8u8o8QmfczstkiUFOOJf4jA6zb2ODR1Ym7Q&amp;source=documentstudio&amp;timestamp=1742185175716" TargetMode="External"/><Relationship Id="rId2917" Type="http://schemas.openxmlformats.org/officeDocument/2006/relationships/hyperlink" Target="https://drive.google.com/open?id=1cztuCemi27rnO6xl9P-h-_wjGJm5Li0f" TargetMode="External"/><Relationship Id="rId1519" Type="http://schemas.openxmlformats.org/officeDocument/2006/relationships/hyperlink" Target="https://docs.google.com/forms/d/e/1FAIpQLSeEYwFnViiqk1AbexVe1VDR73UApmeuvfn6Yr2vN8WXjwGu2Q/viewform?edit2=2_ABaOnudyBSXcIffPZYoUJb9Ts9236v8l5lkiVEU0hFgo2d5WaCacqxT0GhgPGs-14wgaNIU&amp;source=documentstudio&amp;timestamp=1739327965523" TargetMode="External"/><Relationship Id="rId1726" Type="http://schemas.openxmlformats.org/officeDocument/2006/relationships/hyperlink" Target="https://drive.google.com/open?id=1YbU324wifKmoZBnxKMcfMFym23uLPfc4" TargetMode="External"/><Relationship Id="rId1933" Type="http://schemas.openxmlformats.org/officeDocument/2006/relationships/hyperlink" Target="https://drive.google.com/open?id=1XhfFPNhvm34dHC03iwCfe431ryoZiAzZ" TargetMode="External"/><Relationship Id="rId18" Type="http://schemas.openxmlformats.org/officeDocument/2006/relationships/hyperlink" Target="https://drive.google.com/open?id=1IuxKkxilHPJHHRFcjuffJz1SvCMoKl7p" TargetMode="External"/><Relationship Id="rId2195" Type="http://schemas.openxmlformats.org/officeDocument/2006/relationships/hyperlink" Target="https://docs.google.com/forms/d/e/1FAIpQLSeEYwFnViiqk1AbexVe1VDR73UApmeuvfn6Yr2vN8WXjwGu2Q/viewform?edit2=2_ABaOnudPXOGRudSr2zEs_dwKX8GNMC8jfmW8jr9xGp7uV-wb_KAeRyufKM8mMzG9HIsXbX8&amp;source=documentstudio&amp;timestamp=1751197612554" TargetMode="External"/><Relationship Id="rId167" Type="http://schemas.openxmlformats.org/officeDocument/2006/relationships/hyperlink" Target="https://drive.google.com/open?id=1xCJFacmf78ghjZ4n2KW4ax7u5BZD32tM" TargetMode="External"/><Relationship Id="rId374" Type="http://schemas.openxmlformats.org/officeDocument/2006/relationships/hyperlink" Target="https://drive.google.com/open?id=1p5F1klLZRx80GIJPCMV1n4SnqB9VANtS" TargetMode="External"/><Relationship Id="rId581" Type="http://schemas.openxmlformats.org/officeDocument/2006/relationships/hyperlink" Target="https://drive.google.com/open?id=1vwqA1vq7ij2_U9ywFwGw67NCDsP_X0Be" TargetMode="External"/><Relationship Id="rId2055" Type="http://schemas.openxmlformats.org/officeDocument/2006/relationships/hyperlink" Target="https://docs.google.com/forms/d/e/1FAIpQLSeEYwFnViiqk1AbexVe1VDR73UApmeuvfn6Yr2vN8WXjwGu2Q/viewform?edit2=2_ABaOnueB4xA8O8y86XkmnLnoYPM0Fxg_THTu0i5tAFJTpGaGppnBE8xWvftEVbQZUWwGylw&amp;source=documentstudio&amp;timestamp=1748844058249" TargetMode="External"/><Relationship Id="rId2262" Type="http://schemas.openxmlformats.org/officeDocument/2006/relationships/hyperlink" Target="https://drive.google.com/open?id=1yBnbH2xq-QPsX0dfAhu0AfcfiAARmuZQ" TargetMode="External"/><Relationship Id="rId234" Type="http://schemas.openxmlformats.org/officeDocument/2006/relationships/hyperlink" Target="https://drive.google.com/open?id=1p1xzKFakFNdSiMvmcrRVfxXq_ffGnvs3" TargetMode="External"/><Relationship Id="rId679" Type="http://schemas.openxmlformats.org/officeDocument/2006/relationships/hyperlink" Target="https://docs.google.com/forms/d/e/1FAIpQLSeEYwFnViiqk1AbexVe1VDR73UApmeuvfn6Yr2vN8WXjwGu2Q/viewform?edit2=2_ABaOnuc6oCGDMBQHA_4yqP-dF2dIss-aRdE470_jRUbPehoaiDBEWa-VBo-3PoSh6wucms8&amp;source=documentstudio&amp;timestamp=1717394828997" TargetMode="External"/><Relationship Id="rId886" Type="http://schemas.openxmlformats.org/officeDocument/2006/relationships/hyperlink" Target="https://drive.google.com/open?id=1V9WU1lnTtuoXksZPqD5CZq2oLybWXKQa" TargetMode="External"/><Relationship Id="rId2567" Type="http://schemas.openxmlformats.org/officeDocument/2006/relationships/hyperlink" Target="https://docs.google.com/forms/d/e/1FAIpQLSeEYwFnViiqk1AbexVe1VDR73UApmeuvfn6Yr2vN8WXjwGu2Q/viewform?edit2=2_ABaOnueIAf88B8lsjRhQfaGHBQAmzRFk2XX6Rr1nU5gKCLw0sDja47BfAON9L2VWqSwKh6g&amp;source=documentstudio&amp;timestamp=1768461807688" TargetMode="External"/><Relationship Id="rId2774" Type="http://schemas.openxmlformats.org/officeDocument/2006/relationships/hyperlink" Target="https://drive.google.com/open?id=1OrJYbSPH569YTktsYuob6hWg3NL0zk6M" TargetMode="External"/><Relationship Id="rId2" Type="http://schemas.openxmlformats.org/officeDocument/2006/relationships/hyperlink" Target="https://drive.google.com/open?id=1KbMugAf8b_5iAreU1_MAHAY8QWrAH_g_" TargetMode="External"/><Relationship Id="rId441" Type="http://schemas.openxmlformats.org/officeDocument/2006/relationships/hyperlink" Target="https://drive.google.com/open?id=1BB3s3Qw03S7aNHwJLLKbzGUHNXsyp_QM" TargetMode="External"/><Relationship Id="rId539" Type="http://schemas.openxmlformats.org/officeDocument/2006/relationships/hyperlink" Target="https://drive.google.com/open?id=1Hji2dTPMY2xtOZ10FpJL2O--LIXnLwM_" TargetMode="External"/><Relationship Id="rId746" Type="http://schemas.openxmlformats.org/officeDocument/2006/relationships/hyperlink" Target="https://drive.google.com/open?id=1BjJuipq95xuorOp0mamXX2YHEx3s9_sG" TargetMode="External"/><Relationship Id="rId1071" Type="http://schemas.openxmlformats.org/officeDocument/2006/relationships/hyperlink" Target="https://docs.google.com/forms/d/e/1FAIpQLSeEYwFnViiqk1AbexVe1VDR73UApmeuvfn6Yr2vN8WXjwGu2Q/viewform?edit2=2_ABaOnueI3XPrW0SgxCdyfIautrpMp0EP-x3r206jYxhpDntXyoK5YmP1YeQGnMqwy6wp2wo&amp;source=documentstudio&amp;timestamp=1725852900503" TargetMode="External"/><Relationship Id="rId1169" Type="http://schemas.openxmlformats.org/officeDocument/2006/relationships/hyperlink" Target="https://docs.google.com/forms/d/e/1FAIpQLSeEYwFnViiqk1AbexVe1VDR73UApmeuvfn6Yr2vN8WXjwGu2Q/viewform?edit2=2_ABaOnudn-SVDsAeGYTq83lL5OrW4OYcM2nzpOLcN4xRN20cOJz6ih9DJ46H32kllDwWrg4g&amp;source=documentstudio&amp;timestamp=1728350325843" TargetMode="External"/><Relationship Id="rId1376" Type="http://schemas.openxmlformats.org/officeDocument/2006/relationships/hyperlink" Target="https://drive.google.com/open?id=19s7f60nHoyIHV5R2UYPAn8exavaW2vIW" TargetMode="External"/><Relationship Id="rId1583" Type="http://schemas.openxmlformats.org/officeDocument/2006/relationships/hyperlink" Target="https://docs.google.com/forms/d/e/1FAIpQLSeEYwFnViiqk1AbexVe1VDR73UApmeuvfn6Yr2vN8WXjwGu2Q/viewform?edit2=2_ABaOnuenHB_egvOTd-X6GDxb_O3TmoUm3echTZbSYayAXz7vwlF4_ueCaQbtCeZGAptqAI0&amp;source=documentstudio&amp;timestamp=1739329406499" TargetMode="External"/><Relationship Id="rId2122" Type="http://schemas.openxmlformats.org/officeDocument/2006/relationships/hyperlink" Target="https://drive.google.com/open?id=1KAUv6uszWWzHMdYYpLMzRDjFdBvc6nPH" TargetMode="External"/><Relationship Id="rId2427" Type="http://schemas.openxmlformats.org/officeDocument/2006/relationships/hyperlink" Target="https://docs.google.com/forms/d/e/1FAIpQLSeEYwFnViiqk1AbexVe1VDR73UApmeuvfn6Yr2vN8WXjwGu2Q/viewform?edit2=2_ABaOnuduchVXiz3jcQr3dlmBeI7427Mp0SGfFmg-OgipXXK-bLS5q5LKjNNjpRold2HEZD8&amp;source=documentstudio&amp;timestamp=1768439670248" TargetMode="External"/><Relationship Id="rId301" Type="http://schemas.openxmlformats.org/officeDocument/2006/relationships/hyperlink" Target="https://drive.google.com/open?id=1WjBGbVHBymsHntXl3krtpGT2eqqU8u7z" TargetMode="External"/><Relationship Id="rId953" Type="http://schemas.openxmlformats.org/officeDocument/2006/relationships/hyperlink" Target="https://docs.google.com/forms/d/e/1FAIpQLSeEYwFnViiqk1AbexVe1VDR73UApmeuvfn6Yr2vN8WXjwGu2Q/viewform?edit2=2_ABaOnufclHGqTBVZ-SWxrzb8HDqPzQJVHWO3KUdUtT36gQXpQXrlxfZYpJh_ASacuV2AYXc&amp;source=documentstudio&amp;timestamp=1721629302520" TargetMode="External"/><Relationship Id="rId1029" Type="http://schemas.openxmlformats.org/officeDocument/2006/relationships/hyperlink" Target="https://docs.google.com/forms/d/e/1FAIpQLSeEYwFnViiqk1AbexVe1VDR73UApmeuvfn6Yr2vN8WXjwGu2Q/viewform?edit2=2_ABaOnudHSNSfN8cVcmAU84m6V-71Um0PACKkdP5Q1uDlHiApJ48U20IGqP9a8pRzHoahcXc&amp;source=documentstudio&amp;timestamp=1723685151175" TargetMode="External"/><Relationship Id="rId1236" Type="http://schemas.openxmlformats.org/officeDocument/2006/relationships/hyperlink" Target="https://drive.google.com/open?id=1BEKEXDYcfXpCxaAgFAVxnJxyY_BbTgW3" TargetMode="External"/><Relationship Id="rId1790" Type="http://schemas.openxmlformats.org/officeDocument/2006/relationships/hyperlink" Target="https://docs.google.com/forms/d/e/1FAIpQLSeEYwFnViiqk1AbexVe1VDR73UApmeuvfn6Yr2vN8WXjwGu2Q/viewform?edit2=2_ABaOnufv2nQLOQbHDOyiDX-mcbY76RsEyNixv4_WdomXBMgzeFpyH21J3l8h9uQNGrUVtP4&amp;source=documentstudio&amp;timestamp=1741576530795" TargetMode="External"/><Relationship Id="rId1888" Type="http://schemas.openxmlformats.org/officeDocument/2006/relationships/hyperlink" Target="https://docs.google.com/forms/d/e/1FAIpQLSeEYwFnViiqk1AbexVe1VDR73UApmeuvfn6Yr2vN8WXjwGu2Q/viewform?edit2=2_ABaOnufV1og6ubeuDl4Ix3XeIc2_Ktg7iLi9Qnttwrzn85aV7fGRbtN4RpP30-TOQRivlxc&amp;source=documentstudio&amp;timestamp=1744861898414" TargetMode="External"/><Relationship Id="rId2634" Type="http://schemas.openxmlformats.org/officeDocument/2006/relationships/hyperlink" Target="https://drive.google.com/open?id=1qAAF0y-ch_vZzOJE-DKQR0DNKWEU3HDa" TargetMode="External"/><Relationship Id="rId2841" Type="http://schemas.openxmlformats.org/officeDocument/2006/relationships/hyperlink" Target="https://docs.google.com/forms/d/e/1FAIpQLSeEYwFnViiqk1AbexVe1VDR73UApmeuvfn6Yr2vN8WXjwGu2Q/viewform?edit2=2_ABaOnucMVeS0Bll0Rt9XtK4OUbdisjh--f_DHLT3y24b_AbYT74o7JEzPzkFOmeBxtRDzDc&amp;source=documentstudio&amp;timestamp=1769405975431" TargetMode="External"/><Relationship Id="rId2939" Type="http://schemas.openxmlformats.org/officeDocument/2006/relationships/hyperlink" Target="https://drive.google.com/open?id=1hx2uYL5PPXc9Wf48mVqC1IR4K-IMSqNe" TargetMode="External"/><Relationship Id="rId82" Type="http://schemas.openxmlformats.org/officeDocument/2006/relationships/hyperlink" Target="https://drive.google.com/open?id=1f2GAjEEFRSrlQmJlUcb6cO4f4f9CNc6m" TargetMode="External"/><Relationship Id="rId606" Type="http://schemas.openxmlformats.org/officeDocument/2006/relationships/hyperlink" Target="https://drive.google.com/open?id=1u0gtShmzq-BMPCJJQsV5Ka4htLLaWMoD" TargetMode="External"/><Relationship Id="rId813" Type="http://schemas.openxmlformats.org/officeDocument/2006/relationships/hyperlink" Target="https://docs.google.com/forms/d/e/1FAIpQLSeEYwFnViiqk1AbexVe1VDR73UApmeuvfn6Yr2vN8WXjwGu2Q/viewform?edit2=2_ABaOnuextTE7LnMSVhCaSQt8RVVYAuzhl5YdOL7UPtAsMqN-cebs9Gj7N85AfFylWdL9Pt8&amp;source=documentstudio&amp;timestamp=1720410205717" TargetMode="External"/><Relationship Id="rId1443" Type="http://schemas.openxmlformats.org/officeDocument/2006/relationships/hyperlink" Target="https://docs.google.com/forms/d/e/1FAIpQLSeEYwFnViiqk1AbexVe1VDR73UApmeuvfn6Yr2vN8WXjwGu2Q/viewform?edit2=2_ABaOnucI7GbX1j8b0ytbOUTsE7h-dxEyxaxMcPqXSCa-F0VNGSz85H1_AlWn0YWWc6tO0CA&amp;source=documentstudio&amp;timestamp=1737446964831" TargetMode="External"/><Relationship Id="rId1650" Type="http://schemas.openxmlformats.org/officeDocument/2006/relationships/hyperlink" Target="https://drive.google.com/open?id=1PTu51J3KTH88f29TirBOIeHa_RaBH3f8" TargetMode="External"/><Relationship Id="rId1748" Type="http://schemas.openxmlformats.org/officeDocument/2006/relationships/hyperlink" Target="https://docs.google.com/forms/d/e/1FAIpQLSeEYwFnViiqk1AbexVe1VDR73UApmeuvfn6Yr2vN8WXjwGu2Q/viewform?edit2=2_ABaOnudRu4Qfd896ondl3zIOOH98QptMYxvKmBNGfx-0DkkR1E5kbEoSwcqMKWQj5YbS7C4&amp;source=documentstudio&amp;timestamp=1741568068045" TargetMode="External"/><Relationship Id="rId2701" Type="http://schemas.openxmlformats.org/officeDocument/2006/relationships/hyperlink" Target="https://docs.google.com/forms/d/e/1FAIpQLSeEYwFnViiqk1AbexVe1VDR73UApmeuvfn6Yr2vN8WXjwGu2Q/viewform?edit2=2_ABaOnucKqs97RaHUoDhoD3uVeoQOnn2kx61M5d4hsMOphSSKEnuF4BGFnIxvoWIH7zFD5VA&amp;source=documentstudio&amp;timestamp=1768794302376" TargetMode="External"/><Relationship Id="rId1303" Type="http://schemas.openxmlformats.org/officeDocument/2006/relationships/hyperlink" Target="https://docs.google.com/forms/d/e/1FAIpQLSeEYwFnViiqk1AbexVe1VDR73UApmeuvfn6Yr2vN8WXjwGu2Q/viewform?edit2=2_ABaOnucss6AvFevi8T5mcyHyuWGj-GuEXNNojuou_aptK1NBi86a3HI1Lv_C_Hwb613fFrk&amp;source=documentstudio&amp;timestamp=1733792422689" TargetMode="External"/><Relationship Id="rId1510" Type="http://schemas.openxmlformats.org/officeDocument/2006/relationships/hyperlink" Target="https://drive.google.com/open?id=1OFVzFKGlbplM2ucP6c0u9mWCwxA8Fk-e" TargetMode="External"/><Relationship Id="rId1955" Type="http://schemas.openxmlformats.org/officeDocument/2006/relationships/hyperlink" Target="https://drive.google.com/open?id=1J0W0b-7yIf3Q8PqHjmHco6KDvKDtuWhu" TargetMode="External"/><Relationship Id="rId1608" Type="http://schemas.openxmlformats.org/officeDocument/2006/relationships/hyperlink" Target="https://drive.google.com/open?id=1jrooTJMjvF_TsnDcwQBHO9P9F-ggSlyA" TargetMode="External"/><Relationship Id="rId1815" Type="http://schemas.openxmlformats.org/officeDocument/2006/relationships/hyperlink" Target="https://drive.google.com/open?id=1ghn-8QuLd1Mmxt3CxSO6W3U5aggT1b1f" TargetMode="External"/><Relationship Id="rId189" Type="http://schemas.openxmlformats.org/officeDocument/2006/relationships/hyperlink" Target="https://drive.google.com/open?id=14Gxa4_uvZkWdFvKZzgajSPCwymYlBADF" TargetMode="External"/><Relationship Id="rId396" Type="http://schemas.openxmlformats.org/officeDocument/2006/relationships/hyperlink" Target="https://drive.google.com/open?id=16uodOZ3jDEFkqy3phYfASUpR97H_pAlV" TargetMode="External"/><Relationship Id="rId2077" Type="http://schemas.openxmlformats.org/officeDocument/2006/relationships/hyperlink" Target="https://docs.google.com/forms/d/e/1FAIpQLSeEYwFnViiqk1AbexVe1VDR73UApmeuvfn6Yr2vN8WXjwGu2Q/viewform?edit2=2_ABaOnucgJaUAjZ7nKWaJxtabsjCpr3ZHlVlM_xTd5euTQTjzY95DPgZ2FFMukb4Gale2nN8&amp;source=documentstudio&amp;timestamp=1748846604998" TargetMode="External"/><Relationship Id="rId2284" Type="http://schemas.openxmlformats.org/officeDocument/2006/relationships/hyperlink" Target="https://drive.google.com/open?id=1RClLaiPpAZ8UXfPhMEPb7JIHc8RYFgZW" TargetMode="External"/><Relationship Id="rId2491" Type="http://schemas.openxmlformats.org/officeDocument/2006/relationships/hyperlink" Target="https://docs.google.com/forms/d/e/1FAIpQLSeEYwFnViiqk1AbexVe1VDR73UApmeuvfn6Yr2vN8WXjwGu2Q/viewform?edit2=2_ABaOnuf_50PdthSpaXT9ns1z4sUIAr-HvHTxpI2M2oLKUJ1yzvLKzqojyhqrjSKct6o-ihA&amp;source=documentstudio&amp;timestamp=1768443202157" TargetMode="External"/><Relationship Id="rId256" Type="http://schemas.openxmlformats.org/officeDocument/2006/relationships/hyperlink" Target="https://drive.google.com/open?id=1YISud_sGjTScFC57v6RaYVwfyvZmJwMj" TargetMode="External"/><Relationship Id="rId463" Type="http://schemas.openxmlformats.org/officeDocument/2006/relationships/hyperlink" Target="https://drive.google.com/open?id=1D7_Y3NUR6Rhvf5B78xjixs8cGwqesOjc" TargetMode="External"/><Relationship Id="rId670" Type="http://schemas.openxmlformats.org/officeDocument/2006/relationships/hyperlink" Target="https://drive.google.com/open?id=1bYYLubKCKA9kEqwTX9MzEs-ouncOK4gj" TargetMode="External"/><Relationship Id="rId1093" Type="http://schemas.openxmlformats.org/officeDocument/2006/relationships/hyperlink" Target="https://docs.google.com/forms/d/e/1FAIpQLSeEYwFnViiqk1AbexVe1VDR73UApmeuvfn6Yr2vN8WXjwGu2Q/viewform?edit2=2_ABaOnueKIwBLtcDeT7IU0jDS87xnfZhAbBVyT6eyDG7LOWLP7udi6P9NUKFTX1t4igXIxgg&amp;source=documentstudio&amp;timestamp=1726538023600" TargetMode="External"/><Relationship Id="rId2144" Type="http://schemas.openxmlformats.org/officeDocument/2006/relationships/hyperlink" Target="https://drive.google.com/open?id=15JPW4Jxfv8UsTMpKynCGFz5EmdAOdv2t" TargetMode="External"/><Relationship Id="rId2351" Type="http://schemas.openxmlformats.org/officeDocument/2006/relationships/hyperlink" Target="https://docs.google.com/forms/d/e/1FAIpQLSeEYwFnViiqk1AbexVe1VDR73UApmeuvfn6Yr2vN8WXjwGu2Q/viewform?edit2=2_ABaOnuf1KRPas_mLXZHhZ_W8j898vz1OugNY43ylVqrO5h78mxqsqiztpf3GaCUAnpcJJSs&amp;source=documentstudio&amp;timestamp=1768362797637" TargetMode="External"/><Relationship Id="rId2589" Type="http://schemas.openxmlformats.org/officeDocument/2006/relationships/hyperlink" Target="https://docs.google.com/forms/d/e/1FAIpQLSeEYwFnViiqk1AbexVe1VDR73UApmeuvfn6Yr2vN8WXjwGu2Q/viewform?edit2=2_ABaOnucvZNc1vlyyMC5deJ0Qobs2-uUbK44M3EXy6Z2S3I06iQ5dl33gba4n4elsMMybIsc&amp;source=documentstudio&amp;timestamp=1768464358351" TargetMode="External"/><Relationship Id="rId2796" Type="http://schemas.openxmlformats.org/officeDocument/2006/relationships/hyperlink" Target="https://drive.google.com/open?id=13HRoTSLN0u8OCDcT3gwVyXvpBUvpxaj5" TargetMode="External"/><Relationship Id="rId116" Type="http://schemas.openxmlformats.org/officeDocument/2006/relationships/hyperlink" Target="https://drive.google.com/open?id=1vQADMI3S82FqncrAFzFQ98WdgR488p-J" TargetMode="External"/><Relationship Id="rId323" Type="http://schemas.openxmlformats.org/officeDocument/2006/relationships/hyperlink" Target="https://drive.google.com/open?id=1G_ldfg7QuNPY0NeWj3sxlnSCNY3XSa1t" TargetMode="External"/><Relationship Id="rId530" Type="http://schemas.openxmlformats.org/officeDocument/2006/relationships/hyperlink" Target="https://drive.google.com/open?id=1E1qHj1GwcgbnXRgf0ZmkvMAaVXMiLJCX" TargetMode="External"/><Relationship Id="rId768" Type="http://schemas.openxmlformats.org/officeDocument/2006/relationships/hyperlink" Target="https://drive.google.com/open?id=1F5IlxLqwtJzLBB5dzKVb0goGFFCLGwjX" TargetMode="External"/><Relationship Id="rId975" Type="http://schemas.openxmlformats.org/officeDocument/2006/relationships/hyperlink" Target="https://docs.google.com/forms/d/e/1FAIpQLSeEYwFnViiqk1AbexVe1VDR73UApmeuvfn6Yr2vN8WXjwGu2Q/viewform?edit2=2_ABaOnucul9rvu7-4v5EdxSDmbNoIwSoxJil3OcqpEk-Go8A2OAwDcYeoK3qx3siwGuAXD8Q&amp;source=documentstudio&amp;timestamp=1723000920300" TargetMode="External"/><Relationship Id="rId1160" Type="http://schemas.openxmlformats.org/officeDocument/2006/relationships/hyperlink" Target="https://drive.google.com/open?id=1P0pDLGRKd1MkElLggwfsM_W604EXmfFy" TargetMode="External"/><Relationship Id="rId1398" Type="http://schemas.openxmlformats.org/officeDocument/2006/relationships/hyperlink" Target="https://drive.google.com/open?id=1MJWZlujMfbvwcOFs4nTRDhLd8_wBjvtW" TargetMode="External"/><Relationship Id="rId2004" Type="http://schemas.openxmlformats.org/officeDocument/2006/relationships/hyperlink" Target="https://drive.google.com/open?id=1TfN6zzUbYluw5xdunTlM8B_GiZXJHx9i" TargetMode="External"/><Relationship Id="rId2211" Type="http://schemas.openxmlformats.org/officeDocument/2006/relationships/hyperlink" Target="https://docs.google.com/forms/d/e/1FAIpQLSeEYwFnViiqk1AbexVe1VDR73UApmeuvfn6Yr2vN8WXjwGu2Q/viewform?edit2=2_ABaOnufx7ES2p3FIRaeZl1x9u0j1gwaok0drdbvL83VgA68LI5CiYa3x3VQ38YuE5QSnFk0&amp;source=documentstudio&amp;timestamp=1752043261727" TargetMode="External"/><Relationship Id="rId2449" Type="http://schemas.openxmlformats.org/officeDocument/2006/relationships/hyperlink" Target="https://docs.google.com/forms/d/e/1FAIpQLSeEYwFnViiqk1AbexVe1VDR73UApmeuvfn6Yr2vN8WXjwGu2Q/viewform?edit2=2_ABaOnudS213db87RoXyt9Bcf0TmC1aosChoX60wZVAMdQt0PLSBJIwrru4_MFjt1bHTnqPk&amp;source=documentstudio&amp;timestamp=1768441667429" TargetMode="External"/><Relationship Id="rId2656" Type="http://schemas.openxmlformats.org/officeDocument/2006/relationships/hyperlink" Target="https://drive.google.com/open?id=1YGpDX_oe3dLi_0TSDe9llrNQzoGF2nx5" TargetMode="External"/><Relationship Id="rId2863" Type="http://schemas.openxmlformats.org/officeDocument/2006/relationships/hyperlink" Target="https://docs.google.com/forms/d/e/1FAIpQLSeEYwFnViiqk1AbexVe1VDR73UApmeuvfn6Yr2vN8WXjwGu2Q/viewform?edit2=2_ABaOnudgdm7qhlHTkqjRGY9i8E6fUxt5YRsagYV3MNlzRLzugEEkTscxk0nQMXdxZXXjmLw&amp;source=documentstudio&amp;timestamp=1769416264900" TargetMode="External"/><Relationship Id="rId628" Type="http://schemas.openxmlformats.org/officeDocument/2006/relationships/hyperlink" Target="https://drive.google.com/open?id=11Em-dvV7komY159oh8k2lz35S2MnFpBr" TargetMode="External"/><Relationship Id="rId835" Type="http://schemas.openxmlformats.org/officeDocument/2006/relationships/hyperlink" Target="https://docs.google.com/forms/d/e/1FAIpQLSeEYwFnViiqk1AbexVe1VDR73UApmeuvfn6Yr2vN8WXjwGu2Q/viewform?edit2=2_ABaOnucVQ3O6P89Bgr5-PwMS3xgL4KW18NYm8Cp_5u2wZsN-nEFyrcLTRnNWrSf8SlJvDIk&amp;source=documentstudio&amp;timestamp=1720486624042" TargetMode="External"/><Relationship Id="rId1258" Type="http://schemas.openxmlformats.org/officeDocument/2006/relationships/hyperlink" Target="https://drive.google.com/open?id=1UwyJ7Vxd9uIT1wUHDSUCYIkZcUKcGsGM" TargetMode="External"/><Relationship Id="rId1465" Type="http://schemas.openxmlformats.org/officeDocument/2006/relationships/hyperlink" Target="https://docs.google.com/forms/d/e/1FAIpQLSeEYwFnViiqk1AbexVe1VDR73UApmeuvfn6Yr2vN8WXjwGu2Q/viewform?edit2=2_ABaOnue3l7jfMeT8hOUCKe5TDelceG6Z6Qpr7Jil-EQehVOZnoIAsmu3eCGbf8XQWEQXRjo&amp;source=documentstudio&amp;timestamp=1737447780993" TargetMode="External"/><Relationship Id="rId1672" Type="http://schemas.openxmlformats.org/officeDocument/2006/relationships/hyperlink" Target="https://drive.google.com/open?id=1t1FEjbC6s8YSrSm7t8-pMvZ_VEpfbryL" TargetMode="External"/><Relationship Id="rId2309" Type="http://schemas.openxmlformats.org/officeDocument/2006/relationships/hyperlink" Target="https://docs.google.com/forms/d/e/1FAIpQLSeEYwFnViiqk1AbexVe1VDR73UApmeuvfn6Yr2vN8WXjwGu2Q/viewform?edit2=2_ABaOnuf1J7oMN8qmDvQ8Qc8lR0TIWxbAYFmO5Cm_ebsLys4c6HdTmIj62IGAPwVZONSrWR4&amp;source=documentstudio&amp;timestamp=1760414647240" TargetMode="External"/><Relationship Id="rId2516" Type="http://schemas.openxmlformats.org/officeDocument/2006/relationships/hyperlink" Target="https://drive.google.com/open?id=1HLuB6SiRlJGjd3bUGmwB0Az5D4LnGyaY" TargetMode="External"/><Relationship Id="rId2723" Type="http://schemas.openxmlformats.org/officeDocument/2006/relationships/hyperlink" Target="https://docs.google.com/forms/d/e/1FAIpQLSeEYwFnViiqk1AbexVe1VDR73UApmeuvfn6Yr2vN8WXjwGu2Q/viewform?edit2=2_ABaOnucVwPdEmBFTCF6bXHfLiV4tDqV6iceK-7W5-XhkNw9i2FkibAFRmesn8aIORHnC5AM&amp;source=documentstudio&amp;timestamp=1768794868799" TargetMode="External"/><Relationship Id="rId1020" Type="http://schemas.openxmlformats.org/officeDocument/2006/relationships/hyperlink" Target="https://drive.google.com/open?id=1dtYz09RE7AxblARpCSZJPjJ3Nv4Kapue" TargetMode="External"/><Relationship Id="rId1118" Type="http://schemas.openxmlformats.org/officeDocument/2006/relationships/hyperlink" Target="https://drive.google.com/open?id=12CKLjXLxVLoMjmVT3psMgXdNPC4I-68e" TargetMode="External"/><Relationship Id="rId1325" Type="http://schemas.openxmlformats.org/officeDocument/2006/relationships/hyperlink" Target="https://docs.google.com/forms/d/e/1FAIpQLSeEYwFnViiqk1AbexVe1VDR73UApmeuvfn6Yr2vN8WXjwGu2Q/viewform?edit2=2_ABaOnud62F-GTLJkOL_08IGeq2OOnTu0knIsVDMdN7jgTy9N737o470p04khBBkV-V_hnko&amp;source=documentstudio&amp;timestamp=1736124626745" TargetMode="External"/><Relationship Id="rId1532" Type="http://schemas.openxmlformats.org/officeDocument/2006/relationships/hyperlink" Target="https://drive.google.com/open?id=1UlkG9KUdunJ7seGntcd_4MF--9NbKpe_" TargetMode="External"/><Relationship Id="rId1977" Type="http://schemas.openxmlformats.org/officeDocument/2006/relationships/hyperlink" Target="https://docs.google.com/forms/d/e/1FAIpQLSeEYwFnViiqk1AbexVe1VDR73UApmeuvfn6Yr2vN8WXjwGu2Q/viewform?edit2=2_ABaOnufsoCa4UVY_Yp2uCPs6kBMDumgvETzWBQSg1GjUzVOXWwmbGD7LSkKPnJNBcRspci8&amp;source=documentstudio&amp;timestamp=1747883011935" TargetMode="External"/><Relationship Id="rId2930" Type="http://schemas.openxmlformats.org/officeDocument/2006/relationships/hyperlink" Target="https://docs.google.com/forms/d/e/1FAIpQLSeEYwFnViiqk1AbexVe1VDR73UApmeuvfn6Yr2vN8WXjwGu2Q/viewform?edit2=2_ABaOnuf61d4Zk0tyIMdAlhMQoa0c60o6_cr718hPc-tykzF2ETH_PT8B8EKQUNAOpp9JGLQ&amp;source=documentstudio&amp;timestamp=1769588215566" TargetMode="External"/><Relationship Id="rId902" Type="http://schemas.openxmlformats.org/officeDocument/2006/relationships/hyperlink" Target="https://drive.google.com/open?id=1HpE02PrgrXaNCKxBWlz-kgwidhLIx1uI" TargetMode="External"/><Relationship Id="rId1837" Type="http://schemas.openxmlformats.org/officeDocument/2006/relationships/hyperlink" Target="https://drive.google.com/open?id=1NQbLfNWcNARZIuDkogoBiA1mFUU-MObC" TargetMode="External"/><Relationship Id="rId31" Type="http://schemas.openxmlformats.org/officeDocument/2006/relationships/hyperlink" Target="https://drive.google.com/open?id=1hHUlGLFDjtGuXmagGmsMczQqkldCER7P" TargetMode="External"/><Relationship Id="rId2099" Type="http://schemas.openxmlformats.org/officeDocument/2006/relationships/hyperlink" Target="https://docs.google.com/forms/d/e/1FAIpQLSeEYwFnViiqk1AbexVe1VDR73UApmeuvfn6Yr2vN8WXjwGu2Q/viewform?edit2=2_ABaOnucVvZ0cCYOJKF8XhwtaLum8FOEW1G8LbnyhLHn0q2EHYW3lF_U7RhIe1ZCMNJawdfE&amp;source=documentstudio&amp;timestamp=1748917201732" TargetMode="External"/><Relationship Id="rId180" Type="http://schemas.openxmlformats.org/officeDocument/2006/relationships/hyperlink" Target="https://drive.google.com/open?id=1cXzf-HK8D5JlEKaxWNN7Mk29hK-mEHqX" TargetMode="External"/><Relationship Id="rId278" Type="http://schemas.openxmlformats.org/officeDocument/2006/relationships/hyperlink" Target="https://drive.google.com/open?id=1SW0p5GSTpPvieyKvNCL3g9c34RNNS18Y" TargetMode="External"/><Relationship Id="rId1904" Type="http://schemas.openxmlformats.org/officeDocument/2006/relationships/hyperlink" Target="https://docs.google.com/forms/d/e/1FAIpQLSeEYwFnViiqk1AbexVe1VDR73UApmeuvfn6Yr2vN8WXjwGu2Q/viewform?edit2=2_ABaOnuey8KC0ASElJxQTiQqUDzIdvDmRXZ8Vgi0ccPX9yXP1_gtTMTAGfn4yD44mzThstwk&amp;source=documentstudio&amp;timestamp=1745310677537" TargetMode="External"/><Relationship Id="rId485" Type="http://schemas.openxmlformats.org/officeDocument/2006/relationships/hyperlink" Target="https://drive.google.com/open?id=10MBEMqtGr9pwsq-jc5MdC-dxnag1qm6M" TargetMode="External"/><Relationship Id="rId692" Type="http://schemas.openxmlformats.org/officeDocument/2006/relationships/hyperlink" Target="https://drive.google.com/open?id=1TtXwPHWZgIdm-m_rdKBpBfZjOg7RZ-IR" TargetMode="External"/><Relationship Id="rId2166" Type="http://schemas.openxmlformats.org/officeDocument/2006/relationships/hyperlink" Target="https://drive.google.com/open?id=1tFDCXzeBSgdpAts3TNn3qHqkGOq4dBji" TargetMode="External"/><Relationship Id="rId2373" Type="http://schemas.openxmlformats.org/officeDocument/2006/relationships/hyperlink" Target="https://docs.google.com/forms/d/e/1FAIpQLSeEYwFnViiqk1AbexVe1VDR73UApmeuvfn6Yr2vN8WXjwGu2Q/viewform?edit2=2_ABaOnucW1CRWqUAhgOEMOnnCN0ddBOXOjPoqvdkDHwmOpeIoFxwfs7f_AQ_Q2Bc70TpHxck&amp;source=documentstudio&amp;timestamp=1768379858955" TargetMode="External"/><Relationship Id="rId2580" Type="http://schemas.openxmlformats.org/officeDocument/2006/relationships/hyperlink" Target="https://drive.google.com/open?id=1qlK0ecm34aTjAeskSPDbuZqS_YO79z94" TargetMode="External"/><Relationship Id="rId138" Type="http://schemas.openxmlformats.org/officeDocument/2006/relationships/hyperlink" Target="https://drive.google.com/open?id=1G6CdJXKziCTJO_iRCvZBQgfdIRQtA5g0" TargetMode="External"/><Relationship Id="rId345" Type="http://schemas.openxmlformats.org/officeDocument/2006/relationships/hyperlink" Target="https://drive.google.com/open?id=1yu3VIPxyL_oFCTAGz5o-0-Usreyvl03o" TargetMode="External"/><Relationship Id="rId552" Type="http://schemas.openxmlformats.org/officeDocument/2006/relationships/hyperlink" Target="https://drive.google.com/open?id=1AqHmVOKgCqYZxQ89rnz0gneDXpz14eRT" TargetMode="External"/><Relationship Id="rId997" Type="http://schemas.openxmlformats.org/officeDocument/2006/relationships/hyperlink" Target="https://docs.google.com/forms/d/e/1FAIpQLSeEYwFnViiqk1AbexVe1VDR73UApmeuvfn6Yr2vN8WXjwGu2Q/viewform?edit2=2_ABaOnuegGKLcbPbcCR9CnZA9u_C7CL5uOrpR1G1q6dt_d5bIpf1VSSrfmGVUZGpYeRb-W_0&amp;source=documentstudio&amp;timestamp=1723513392552" TargetMode="External"/><Relationship Id="rId1182" Type="http://schemas.openxmlformats.org/officeDocument/2006/relationships/hyperlink" Target="https://drive.google.com/open?id=15ntBbCqDeeqtCoxMuEm9N_VQwQrZAfPn" TargetMode="External"/><Relationship Id="rId2026" Type="http://schemas.openxmlformats.org/officeDocument/2006/relationships/hyperlink" Target="https://drive.google.com/open?id=1Hcdg3ruXAiInAbgJxAa3ieXhWR2aodgn" TargetMode="External"/><Relationship Id="rId2233" Type="http://schemas.openxmlformats.org/officeDocument/2006/relationships/hyperlink" Target="https://docs.google.com/forms/d/e/1FAIpQLSeEYwFnViiqk1AbexVe1VDR73UApmeuvfn6Yr2vN8WXjwGu2Q/viewform?edit2=2_ABaOnudCjRJtVOsklnibaL-bCRsNKrR5N8gnYjYBYFkoT7MrC0Y6VpeTfbxhBzWxmRvtm6Y&amp;source=documentstudio&amp;timestamp=1753920642790" TargetMode="External"/><Relationship Id="rId2440" Type="http://schemas.openxmlformats.org/officeDocument/2006/relationships/hyperlink" Target="https://drive.google.com/open?id=1wCBNjN_K0yDD47x-AbjsDWyXSnb1SdTU" TargetMode="External"/><Relationship Id="rId2678" Type="http://schemas.openxmlformats.org/officeDocument/2006/relationships/hyperlink" Target="https://drive.google.com/open?id=1aioJtIMzDcq8utkX7y1CgNcVHCAB5-Rm" TargetMode="External"/><Relationship Id="rId2885" Type="http://schemas.openxmlformats.org/officeDocument/2006/relationships/hyperlink" Target="https://drive.google.com/open?id=1w8jQVFC-s9ThSkWakq820_jeuzgteFng" TargetMode="External"/><Relationship Id="rId205" Type="http://schemas.openxmlformats.org/officeDocument/2006/relationships/hyperlink" Target="https://drive.google.com/open?id=1GWpizGnmlMO3E8bcB3kKcYYIZwBxwsat" TargetMode="External"/><Relationship Id="rId412" Type="http://schemas.openxmlformats.org/officeDocument/2006/relationships/hyperlink" Target="https://drive.google.com/open?id=17gVWXP1oSXlM71xg3bnlz4-sqWgLoABT" TargetMode="External"/><Relationship Id="rId857" Type="http://schemas.openxmlformats.org/officeDocument/2006/relationships/hyperlink" Target="https://docs.google.com/forms/d/e/1FAIpQLSeEYwFnViiqk1AbexVe1VDR73UApmeuvfn6Yr2vN8WXjwGu2Q/viewform?edit2=2_ABaOnudrvpCnnyhg_8wKootvap6eh5Btizo_p-mKHoZ2uIhmvQJkID0pT36vhzQjEUAHJyA&amp;source=documentstudio&amp;timestamp=1720488104958" TargetMode="External"/><Relationship Id="rId1042" Type="http://schemas.openxmlformats.org/officeDocument/2006/relationships/hyperlink" Target="https://drive.google.com/open?id=1eNdacevY_YorPQmfxh-tCqyZ8F-NAP3z" TargetMode="External"/><Relationship Id="rId1487" Type="http://schemas.openxmlformats.org/officeDocument/2006/relationships/hyperlink" Target="https://docs.google.com/forms/d/e/1FAIpQLSeEYwFnViiqk1AbexVe1VDR73UApmeuvfn6Yr2vN8WXjwGu2Q/viewform?edit2=2_ABaOnudYiyyhal2US8gSsAbjE26RXGcCPX65BIoWDMwS877OYpXs2Vs5t_zj_YlTvR_sCwk&amp;source=documentstudio&amp;timestamp=1737514509203" TargetMode="External"/><Relationship Id="rId1694" Type="http://schemas.openxmlformats.org/officeDocument/2006/relationships/hyperlink" Target="https://docs.google.com/forms/d/e/1FAIpQLSeEYwFnViiqk1AbexVe1VDR73UApmeuvfn6Yr2vN8WXjwGu2Q/viewform?edit2=2_ABaOnuczEBtoMxlWdjvxvjzmAz_mS-j9yr3sr7FZ6UUSunN5lp2JgiBVNVnlItSEO_iEnlw&amp;source=documentstudio&amp;timestamp=1741334895985" TargetMode="External"/><Relationship Id="rId2300" Type="http://schemas.openxmlformats.org/officeDocument/2006/relationships/hyperlink" Target="https://drive.google.com/open?id=1ZNJCnideFSCssuWXq02uAHq9HtGWYD49" TargetMode="External"/><Relationship Id="rId2538" Type="http://schemas.openxmlformats.org/officeDocument/2006/relationships/hyperlink" Target="https://drive.google.com/open?id=1zRVRQmYZXHe1ieE33ctAXvjKfxzb4ntK" TargetMode="External"/><Relationship Id="rId2745" Type="http://schemas.openxmlformats.org/officeDocument/2006/relationships/hyperlink" Target="https://docs.google.com/forms/d/e/1FAIpQLSeEYwFnViiqk1AbexVe1VDR73UApmeuvfn6Yr2vN8WXjwGu2Q/viewform?edit2=2_ABaOnufoH2MstOve5_ojvCHFl9BlRrrJridJcdsWCmVEUyDfLn_X6zz-o_YRMgQscLK6XeE&amp;source=documentstudio&amp;timestamp=1768813905490" TargetMode="External"/><Relationship Id="rId2952" Type="http://schemas.openxmlformats.org/officeDocument/2006/relationships/hyperlink" Target="https://docs.google.com/forms/d/e/1FAIpQLSeEYwFnViiqk1AbexVe1VDR73UApmeuvfn6Yr2vN8WXjwGu2Q/viewform?edit2=2_ABaOnuek9l2z_xxnev7q2G3P7I2XdAzrvatt3okg8rpbABSF8e9W7O0JmPbxjx8JsRZFBp4&amp;source=documentstudio&amp;timestamp=1769595885325" TargetMode="External"/><Relationship Id="rId717" Type="http://schemas.openxmlformats.org/officeDocument/2006/relationships/hyperlink" Target="https://docs.google.com/forms/d/e/1FAIpQLSeEYwFnViiqk1AbexVe1VDR73UApmeuvfn6Yr2vN8WXjwGu2Q/viewform?edit2=2_ABaOnufYXD5UmlRa4UT0sNsVenfZP6zRfQBKxqpYkRMkYlIMCuWe_wIT5UBqszt8qMBqZQI&amp;source=documentstudio&amp;timestamp=1717568595113" TargetMode="External"/><Relationship Id="rId924" Type="http://schemas.openxmlformats.org/officeDocument/2006/relationships/hyperlink" Target="https://drive.google.com/open?id=1tlVqGJz66bj8gFX1MVSi0TDidfHrJg4j" TargetMode="External"/><Relationship Id="rId1347" Type="http://schemas.openxmlformats.org/officeDocument/2006/relationships/hyperlink" Target="https://docs.google.com/forms/d/e/1FAIpQLSeEYwFnViiqk1AbexVe1VDR73UApmeuvfn6Yr2vN8WXjwGu2Q/viewform?edit2=2_ABaOnuer4aqOFIBcgQHcGN13wZkTv_I9lbkHi_BEnKRVs9NX4Kl3nCvr3fLcGhBEyX6LJfg&amp;source=documentstudio&amp;timestamp=1736136830602" TargetMode="External"/><Relationship Id="rId1554" Type="http://schemas.openxmlformats.org/officeDocument/2006/relationships/hyperlink" Target="https://drive.google.com/open?id=1Fd2F8XPXYRcvo8fs4C25zb6NecS98O4Y" TargetMode="External"/><Relationship Id="rId1761" Type="http://schemas.openxmlformats.org/officeDocument/2006/relationships/hyperlink" Target="https://drive.google.com/open?id=118OZ4t6FCsm4pR3hJPs0tK7MkUHSXZYp" TargetMode="External"/><Relationship Id="rId1999" Type="http://schemas.openxmlformats.org/officeDocument/2006/relationships/hyperlink" Target="https://docs.google.com/forms/d/e/1FAIpQLSeEYwFnViiqk1AbexVe1VDR73UApmeuvfn6Yr2vN8WXjwGu2Q/viewform?edit2=2_ABaOnuep3kOgcTfJ9-Wyob6AVfruwPiK2bn2DnvVhM1hzW2hgSh_dk6KoLwDHm32DuI8PDE&amp;source=documentstudio&amp;timestamp=1748831123562" TargetMode="External"/><Relationship Id="rId2605" Type="http://schemas.openxmlformats.org/officeDocument/2006/relationships/hyperlink" Target="https://docs.google.com/forms/d/e/1FAIpQLSeEYwFnViiqk1AbexVe1VDR73UApmeuvfn6Yr2vN8WXjwGu2Q/viewform?edit2=2_ABaOnufQtx8IiSFxazhFj7bnYGLN3NrkQ9BT_ZxpCRsc6gE2_f5G2roDW6q-Y5P5Hnloe68&amp;source=documentstudio&amp;timestamp=1768464558624" TargetMode="External"/><Relationship Id="rId2812" Type="http://schemas.openxmlformats.org/officeDocument/2006/relationships/hyperlink" Target="https://drive.google.com/open?id=1uddYxsO4w0pmvRp2pPe8MpYWdvOkuW5M" TargetMode="External"/><Relationship Id="rId53" Type="http://schemas.openxmlformats.org/officeDocument/2006/relationships/hyperlink" Target="https://drive.google.com/open?id=1r1sNbJqBnITG8j-qFA-mVCp3ilPPuocM" TargetMode="External"/><Relationship Id="rId1207" Type="http://schemas.openxmlformats.org/officeDocument/2006/relationships/hyperlink" Target="https://docs.google.com/forms/d/e/1FAIpQLSeEYwFnViiqk1AbexVe1VDR73UApmeuvfn6Yr2vN8WXjwGu2Q/viewform?edit2=2_ABaOnudZ4DtwZtS3vNNvajfFuMQEmrpjqji8E4vwEEXgdDSst6WXVmHxuTcCerUUdnJ3j3Y&amp;source=documentstudio&amp;timestamp=1731056072227" TargetMode="External"/><Relationship Id="rId1414" Type="http://schemas.openxmlformats.org/officeDocument/2006/relationships/hyperlink" Target="https://drive.google.com/open?id=1VWUvsv0hbqMMWGSloWLTJmtTXzWs84e-" TargetMode="External"/><Relationship Id="rId1621" Type="http://schemas.openxmlformats.org/officeDocument/2006/relationships/hyperlink" Target="https://docs.google.com/forms/d/e/1FAIpQLSeEYwFnViiqk1AbexVe1VDR73UApmeuvfn6Yr2vN8WXjwGu2Q/viewform?edit2=2_ABaOnuekXPk85yjkBApIFDI0kF_7uFeIuF7QEVMInSUxXHkBBdUt_-KBlOagTKn4qJkC5VM&amp;source=documentstudio&amp;timestamp=1741331758028" TargetMode="External"/><Relationship Id="rId1859" Type="http://schemas.openxmlformats.org/officeDocument/2006/relationships/hyperlink" Target="https://drive.google.com/open?id=1pYSZanq5pNC3wZkKOR3cTdtJCKbePrDo" TargetMode="External"/><Relationship Id="rId1719" Type="http://schemas.openxmlformats.org/officeDocument/2006/relationships/hyperlink" Target="https://docs.google.com/forms/d/e/1FAIpQLSeEYwFnViiqk1AbexVe1VDR73UApmeuvfn6Yr2vN8WXjwGu2Q/viewform?edit2=2_ABaOnueTYR2Par-0TAQPf1Ic0eK063N8eYZLMbfg_DorHsfxANyOJOky95wK-2NVj-p-Gaw&amp;source=documentstudio&amp;timestamp=1741340623118" TargetMode="External"/><Relationship Id="rId1926" Type="http://schemas.openxmlformats.org/officeDocument/2006/relationships/hyperlink" Target="https://docs.google.com/forms/d/e/1FAIpQLSeEYwFnViiqk1AbexVe1VDR73UApmeuvfn6Yr2vN8WXjwGu2Q/viewform?edit2=2_ABaOnuddelCfoW10_D81Q4LzpTEbFJwmwtdXn5FFfIATrp_QMlLq6r13K5-w3V63o6nzI9k&amp;source=documentstudio&amp;timestamp=1745481509033" TargetMode="External"/><Relationship Id="rId2090" Type="http://schemas.openxmlformats.org/officeDocument/2006/relationships/hyperlink" Target="https://drive.google.com/open?id=1z9I083idEAQTv0QNUmOW53h8pCB4c0N5" TargetMode="External"/><Relationship Id="rId2188" Type="http://schemas.openxmlformats.org/officeDocument/2006/relationships/hyperlink" Target="https://drive.google.com/open?id=1Tqwh63OUi1PAVoDsvPuFdne9C6sZwz5l" TargetMode="External"/><Relationship Id="rId2395" Type="http://schemas.openxmlformats.org/officeDocument/2006/relationships/hyperlink" Target="https://docs.google.com/forms/d/e/1FAIpQLSeEYwFnViiqk1AbexVe1VDR73UApmeuvfn6Yr2vN8WXjwGu2Q/viewform?edit2=2_ABaOnufdmhE7xPjZa2ZDltf-gPGdvB6IKQuTqlYo6-TtzXm7TojLATRwyQkg0jVRzUtv_kE&amp;source=documentstudio&amp;timestamp=1768437834442" TargetMode="External"/><Relationship Id="rId367" Type="http://schemas.openxmlformats.org/officeDocument/2006/relationships/hyperlink" Target="https://drive.google.com/open?id=1Ji-2dr_vOH9sZv5zoI_6cjKN-42FUeCO" TargetMode="External"/><Relationship Id="rId574" Type="http://schemas.openxmlformats.org/officeDocument/2006/relationships/hyperlink" Target="https://drive.google.com/open?id=165lmQBKM20fBNHbzQKSv_89Ir_jDQGmy" TargetMode="External"/><Relationship Id="rId2048" Type="http://schemas.openxmlformats.org/officeDocument/2006/relationships/hyperlink" Target="https://drive.google.com/open?id=1twXZ0s8M9f_0JbvYYwKiZKmYGHDglI7x" TargetMode="External"/><Relationship Id="rId2255" Type="http://schemas.openxmlformats.org/officeDocument/2006/relationships/hyperlink" Target="https://docs.google.com/forms/d/e/1FAIpQLSeEYwFnViiqk1AbexVe1VDR73UApmeuvfn6Yr2vN8WXjwGu2Q/viewform?edit2=2_ABaOnueQ_gsz9NcH5WPThFvXKiIRn70b9RV9xHTw956tkHyxQMRknV4plsK9SC1MDxyU8Q4&amp;source=documentstudio&amp;timestamp=1757399964206" TargetMode="External"/><Relationship Id="rId227" Type="http://schemas.openxmlformats.org/officeDocument/2006/relationships/hyperlink" Target="https://drive.google.com/open?id=1cgGFWovJcgFFifh3og19ej61pd9G49Mf" TargetMode="External"/><Relationship Id="rId781" Type="http://schemas.openxmlformats.org/officeDocument/2006/relationships/hyperlink" Target="https://docs.google.com/forms/d/e/1FAIpQLSeEYwFnViiqk1AbexVe1VDR73UApmeuvfn6Yr2vN8WXjwGu2Q/viewform?edit2=2_ABaOnudY3vPsv5CWy1SITxYFPrM7Uo0hoB9Dj5CukNpfqvJLmozruTNg0tWxm_U54CH73ho&amp;source=documentstudio&amp;timestamp=1718177031032" TargetMode="External"/><Relationship Id="rId879" Type="http://schemas.openxmlformats.org/officeDocument/2006/relationships/hyperlink" Target="https://docs.google.com/forms/d/e/1FAIpQLSeEYwFnViiqk1AbexVe1VDR73UApmeuvfn6Yr2vN8WXjwGu2Q/viewform?edit2=2_ABaOnucdnpE2PXpzLEKlFloSCx6e_Y-GUtUCCMLZ41t7X_mupgvPbTa59TDTMezyNt3qEWg&amp;source=documentstudio&amp;timestamp=1720490189112" TargetMode="External"/><Relationship Id="rId2462" Type="http://schemas.openxmlformats.org/officeDocument/2006/relationships/hyperlink" Target="https://drive.google.com/open?id=1sFWP_P0nof0bZbHmGdWG77QuSeHbqEdv" TargetMode="External"/><Relationship Id="rId2767" Type="http://schemas.openxmlformats.org/officeDocument/2006/relationships/hyperlink" Target="https://docs.google.com/forms/d/e/1FAIpQLSeEYwFnViiqk1AbexVe1VDR73UApmeuvfn6Yr2vN8WXjwGu2Q/viewform?edit2=2_ABaOnuctXvUmkQi6qUpoO61FGazTwphDMr1CdFAx4ljyXF6HlpbtTJBYOWMZ-IL66W-OG1Q&amp;source=documentstudio&amp;timestamp=1768888605776" TargetMode="External"/><Relationship Id="rId434" Type="http://schemas.openxmlformats.org/officeDocument/2006/relationships/hyperlink" Target="https://drive.google.com/open?id=16iyrxX738uaWYijdS_O92dxD_DgGp3Sc" TargetMode="External"/><Relationship Id="rId641" Type="http://schemas.openxmlformats.org/officeDocument/2006/relationships/hyperlink" Target="https://docs.google.com/forms/d/e/1FAIpQLSeEYwFnViiqk1AbexVe1VDR73UApmeuvfn6Yr2vN8WXjwGu2Q/viewform?edit2=2_ABaOnufuz431wrp8eyEJ6b9GEE8AR7uqz4p7AbLmJZpES3peg1TzFe3iW1jcZzPoTMSsd0s&amp;source=documentstudio&amp;timestamp=1717384505647" TargetMode="External"/><Relationship Id="rId739" Type="http://schemas.openxmlformats.org/officeDocument/2006/relationships/hyperlink" Target="https://docs.google.com/forms/d/e/1FAIpQLSeEYwFnViiqk1AbexVe1VDR73UApmeuvfn6Yr2vN8WXjwGu2Q/viewform?edit2=2_ABaOnue-bpmNotIAENjQmm2Xf1nQstz_gqeffnd3DgSyB-OV4k-MBos55qiEzgWqlmMKovY&amp;source=documentstudio&amp;timestamp=1718068120832" TargetMode="External"/><Relationship Id="rId1064" Type="http://schemas.openxmlformats.org/officeDocument/2006/relationships/hyperlink" Target="https://drive.google.com/open?id=1SfFXfHCK1SeuVCRBUBWGUbD9C1_oKMK3" TargetMode="External"/><Relationship Id="rId1271" Type="http://schemas.openxmlformats.org/officeDocument/2006/relationships/hyperlink" Target="https://docs.google.com/forms/d/e/1FAIpQLSeEYwFnViiqk1AbexVe1VDR73UApmeuvfn6Yr2vN8WXjwGu2Q/viewform?edit2=2_ABaOnuflaJ0Q_v8g-1W_QejHbifx_V7rQMG-XqmnXxHUnSw3FPWaWRODHfO3b3mupeSVHgA&amp;source=documentstudio&amp;timestamp=1733469051958" TargetMode="External"/><Relationship Id="rId1369" Type="http://schemas.openxmlformats.org/officeDocument/2006/relationships/hyperlink" Target="https://docs.google.com/forms/d/e/1FAIpQLSeEYwFnViiqk1AbexVe1VDR73UApmeuvfn6Yr2vN8WXjwGu2Q/viewform?edit2=2_ABaOnuf4hczCgDsMfyLuwlPE1BsPbCnbfHiZXYP7KLHuBz5aiejCyh28ZglpFVN4sZ9AyhU&amp;source=documentstudio&amp;timestamp=1736300901432" TargetMode="External"/><Relationship Id="rId1576" Type="http://schemas.openxmlformats.org/officeDocument/2006/relationships/hyperlink" Target="https://drive.google.com/open?id=17Y6yTJXC3XIc3S3Km2a0B_1vIYy9FlOM" TargetMode="External"/><Relationship Id="rId2115" Type="http://schemas.openxmlformats.org/officeDocument/2006/relationships/hyperlink" Target="https://docs.google.com/forms/d/e/1FAIpQLSeEYwFnViiqk1AbexVe1VDR73UApmeuvfn6Yr2vN8WXjwGu2Q/viewform?edit2=2_ABaOnufOboYXt3CMnnm66Kpc_9hfLeOtyGoJPDYPZgvv1UR9ll5MtgCEw8giv5SN_JwRntw&amp;source=documentstudio&amp;timestamp=1748918046561" TargetMode="External"/><Relationship Id="rId2322" Type="http://schemas.openxmlformats.org/officeDocument/2006/relationships/hyperlink" Target="https://drive.google.com/open?id=1hB84aVoVVyw6c1Bdqdi2AcOeULTLkMCs" TargetMode="External"/><Relationship Id="rId501" Type="http://schemas.openxmlformats.org/officeDocument/2006/relationships/hyperlink" Target="https://drive.google.com/open?id=1XQrtlEIPwhKf7eO-0X9P5_ogyMaYapDd" TargetMode="External"/><Relationship Id="rId946" Type="http://schemas.openxmlformats.org/officeDocument/2006/relationships/hyperlink" Target="https://drive.google.com/open?id=1iAO4QscPObzaQDNu5JATpfcbwnRk8U6m" TargetMode="External"/><Relationship Id="rId1131" Type="http://schemas.openxmlformats.org/officeDocument/2006/relationships/hyperlink" Target="https://docs.google.com/forms/d/e/1FAIpQLSeEYwFnViiqk1AbexVe1VDR73UApmeuvfn6Yr2vN8WXjwGu2Q/viewform?edit2=2_ABaOnudxuyubov43oLc_R1IjB6205GhH7r8Z4W1GD5rod1XZSOwza-pFo1-IpdGrSntceL4&amp;source=documentstudio&amp;timestamp=1727916342844" TargetMode="External"/><Relationship Id="rId1229" Type="http://schemas.openxmlformats.org/officeDocument/2006/relationships/hyperlink" Target="https://docs.google.com/forms/d/e/1FAIpQLSeEYwFnViiqk1AbexVe1VDR73UApmeuvfn6Yr2vN8WXjwGu2Q/viewform?edit2=2_ABaOnueaWoiKb8hq6DhBRBtRWSd6A9fSjEIo33stzqDyAhn2eJrguAfOXQV5J1PoQSoyPzE&amp;source=documentstudio&amp;timestamp=1731636891717" TargetMode="External"/><Relationship Id="rId1783" Type="http://schemas.openxmlformats.org/officeDocument/2006/relationships/hyperlink" Target="https://drive.google.com/open?id=1jQFrFbh_ux3yayBO2Bxt2L3jT0E8bUJG" TargetMode="External"/><Relationship Id="rId1990" Type="http://schemas.openxmlformats.org/officeDocument/2006/relationships/hyperlink" Target="https://drive.google.com/open?id=1KET2eGjwQOUqQavbT1WRbf0fiyDETIaJ" TargetMode="External"/><Relationship Id="rId2627" Type="http://schemas.openxmlformats.org/officeDocument/2006/relationships/hyperlink" Target="https://docs.google.com/forms/d/e/1FAIpQLSeEYwFnViiqk1AbexVe1VDR73UApmeuvfn6Yr2vN8WXjwGu2Q/viewform?edit2=2_ABaOnufF7siszGX123vtDyo8DJU7uoxUoxVPwdSfCkBM7XPGVOxpj_1NxDuMBo0Swwrbd-Q&amp;source=documentstudio&amp;timestamp=1768467280351" TargetMode="External"/><Relationship Id="rId2834" Type="http://schemas.openxmlformats.org/officeDocument/2006/relationships/hyperlink" Target="https://drive.google.com/open?id=1yY7siJr8y3DncsD-UJDhEu0Co60M4MaU" TargetMode="External"/><Relationship Id="rId75" Type="http://schemas.openxmlformats.org/officeDocument/2006/relationships/hyperlink" Target="https://drive.google.com/open?id=1gxbTwuha330_N9VumZp4HmBBJYQxPiRm" TargetMode="External"/><Relationship Id="rId806" Type="http://schemas.openxmlformats.org/officeDocument/2006/relationships/hyperlink" Target="https://drive.google.com/open?id=1jcKGCp8rcCTZYjYjGmB-fvchQtNNNUFH" TargetMode="External"/><Relationship Id="rId1436" Type="http://schemas.openxmlformats.org/officeDocument/2006/relationships/hyperlink" Target="https://drive.google.com/open?id=1vXWY0NhYBr6ARq3W0oA73t36nLNfbdes" TargetMode="External"/><Relationship Id="rId1643" Type="http://schemas.openxmlformats.org/officeDocument/2006/relationships/hyperlink" Target="https://docs.google.com/forms/d/e/1FAIpQLSeEYwFnViiqk1AbexVe1VDR73UApmeuvfn6Yr2vN8WXjwGu2Q/viewform?edit2=2_ABaOnufJnImbMv5Dn5H8o7aVEiRKMsIhnncgHxsm26DsBIwD_1k0UsbCh9W5bGak7-ZEHos&amp;source=documentstudio&amp;timestamp=1741333027061" TargetMode="External"/><Relationship Id="rId1850" Type="http://schemas.openxmlformats.org/officeDocument/2006/relationships/hyperlink" Target="https://docs.google.com/forms/d/e/1FAIpQLSeEYwFnViiqk1AbexVe1VDR73UApmeuvfn6Yr2vN8WXjwGu2Q/viewform?edit2=2_ABaOnueUsyRI1rdNO2PfnXoCNUTATAro9_Hvw4y9anmY9HsY5TIgLATugR6uMEt2vHi6NoA&amp;source=documentstudio&amp;timestamp=1742177017785" TargetMode="External"/><Relationship Id="rId2901" Type="http://schemas.openxmlformats.org/officeDocument/2006/relationships/hyperlink" Target="https://drive.google.com/open?id=1qI2199Si4CObgzpLOD4DYOrytJ0_jlqZ" TargetMode="External"/><Relationship Id="rId1503" Type="http://schemas.openxmlformats.org/officeDocument/2006/relationships/hyperlink" Target="https://docs.google.com/forms/d/e/1FAIpQLSeEYwFnViiqk1AbexVe1VDR73UApmeuvfn6Yr2vN8WXjwGu2Q/viewform?edit2=2_ABaOnud2C0aof4OIBbelUBjyyFpM6ammdY6FQTEIvlQq2v_ZjcxszPY7u5VvX2W2JbaPKWs&amp;source=documentstudio&amp;timestamp=1739327469864" TargetMode="External"/><Relationship Id="rId1710" Type="http://schemas.openxmlformats.org/officeDocument/2006/relationships/hyperlink" Target="https://drive.google.com/open?id=12tanyRjS4Iblivn5Scti9b8yoV3PbFNn" TargetMode="External"/><Relationship Id="rId1948" Type="http://schemas.openxmlformats.org/officeDocument/2006/relationships/hyperlink" Target="https://docs.google.com/forms/d/e/1FAIpQLSeEYwFnViiqk1AbexVe1VDR73UApmeuvfn6Yr2vN8WXjwGu2Q/viewform?edit2=2_ABaOnuf2Ha8mWE6JxzLWQXbYdqQib-hvLgV2bNFJ8sJ5oeiPbA9PWq_lFFTbgpBzi9HRxE4&amp;source=documentstudio&amp;timestamp=1746591166925" TargetMode="External"/><Relationship Id="rId291" Type="http://schemas.openxmlformats.org/officeDocument/2006/relationships/hyperlink" Target="https://drive.google.com/open?id=1bWICIaCUHdHJoMPEWcLNzdM87_R3oSQ_" TargetMode="External"/><Relationship Id="rId1808" Type="http://schemas.openxmlformats.org/officeDocument/2006/relationships/hyperlink" Target="https://docs.google.com/forms/d/e/1FAIpQLSeEYwFnViiqk1AbexVe1VDR73UApmeuvfn6Yr2vN8WXjwGu2Q/viewform?edit2=2_ABaOnucowSSD-Qd8Eu4ACXDQOJTEoKPhDFwO4PIpRySemvAiGjMvoLm6TgjvT0kDhgz6eKs&amp;source=documentstudio&amp;timestamp=1741747987392" TargetMode="External"/><Relationship Id="rId151" Type="http://schemas.openxmlformats.org/officeDocument/2006/relationships/hyperlink" Target="https://drive.google.com/open?id=18fp1XbmTPfY4tChfzwYomoNRRjJwRRgX" TargetMode="External"/><Relationship Id="rId389" Type="http://schemas.openxmlformats.org/officeDocument/2006/relationships/hyperlink" Target="https://drive.google.com/open?id=1-MzO_KF2p6i98kaBcSV6AHXKY-7GHfPe" TargetMode="External"/><Relationship Id="rId596" Type="http://schemas.openxmlformats.org/officeDocument/2006/relationships/hyperlink" Target="https://drive.google.com/open?id=1zUAKbjeJU9QE8XY10pC4S9bXjgjHqXsM" TargetMode="External"/><Relationship Id="rId2277" Type="http://schemas.openxmlformats.org/officeDocument/2006/relationships/hyperlink" Target="https://docs.google.com/forms/d/e/1FAIpQLSeEYwFnViiqk1AbexVe1VDR73UApmeuvfn6Yr2vN8WXjwGu2Q/viewform?edit2=2_ABaOnucc1Lewa-0J2zfUKPMBTl5sNe_XE1GZfWopgeHGXhDT4V7R0eI8lQodrzUXFO2-mB4&amp;source=documentstudio&amp;timestamp=1757402006643" TargetMode="External"/><Relationship Id="rId2484" Type="http://schemas.openxmlformats.org/officeDocument/2006/relationships/hyperlink" Target="https://drive.google.com/open?id=1pysEjJQFJjFtMp1XvCUijkZ6D3NYUpXg" TargetMode="External"/><Relationship Id="rId2691" Type="http://schemas.openxmlformats.org/officeDocument/2006/relationships/hyperlink" Target="https://docs.google.com/forms/d/e/1FAIpQLSeEYwFnViiqk1AbexVe1VDR73UApmeuvfn6Yr2vN8WXjwGu2Q/viewform?edit2=2_ABaOnue5NN3GkRfLO6QjDABQcCvacP5KpglRg9f5FTr5TnB5AmseQC-NY4o8Qcy5QnJABnI&amp;source=documentstudio&amp;timestamp=1768793174244" TargetMode="External"/><Relationship Id="rId249" Type="http://schemas.openxmlformats.org/officeDocument/2006/relationships/hyperlink" Target="https://drive.google.com/open?id=1f2cOKK3PSCQOp54XZhwgVaGtF1e2-fxe" TargetMode="External"/><Relationship Id="rId456" Type="http://schemas.openxmlformats.org/officeDocument/2006/relationships/hyperlink" Target="https://drive.google.com/open?id=1aWE6RGNTz2tm34aYRjt1zWscFnFxE5Bv" TargetMode="External"/><Relationship Id="rId663" Type="http://schemas.openxmlformats.org/officeDocument/2006/relationships/hyperlink" Target="https://docs.google.com/forms/d/e/1FAIpQLSeEYwFnViiqk1AbexVe1VDR73UApmeuvfn6Yr2vN8WXjwGu2Q/viewform?edit2=2_ABaOnueKcwxwE43lZbwHxaJjGsVnMqdUosPAMMAlERWPWa6_SVCGY63Q8bjyEVjCXnB_I3Y&amp;source=documentstudio&amp;timestamp=1717389162538" TargetMode="External"/><Relationship Id="rId870" Type="http://schemas.openxmlformats.org/officeDocument/2006/relationships/hyperlink" Target="https://drive.google.com/open?id=1_RNlTy3HI-rIoS7t2OWR5nuC_4eW-lSj" TargetMode="External"/><Relationship Id="rId1086" Type="http://schemas.openxmlformats.org/officeDocument/2006/relationships/hyperlink" Target="https://drive.google.com/open?id=1Ox1zMWxIHHCwX7ZVhUHNH4pMKr-O0iBi" TargetMode="External"/><Relationship Id="rId1293" Type="http://schemas.openxmlformats.org/officeDocument/2006/relationships/hyperlink" Target="https://docs.google.com/forms/d/e/1FAIpQLSeEYwFnViiqk1AbexVe1VDR73UApmeuvfn6Yr2vN8WXjwGu2Q/viewform?edit2=2_ABaOnudkn4NL5ssalexCZpEdPluc67kmsDyqS1Cb2s51LpF6VGqq-vcw-477Yjx29jjdCpc&amp;source=documentstudio&amp;timestamp=1733709374213" TargetMode="External"/><Relationship Id="rId2137" Type="http://schemas.openxmlformats.org/officeDocument/2006/relationships/hyperlink" Target="https://docs.google.com/forms/d/e/1FAIpQLSeEYwFnViiqk1AbexVe1VDR73UApmeuvfn6Yr2vN8WXjwGu2Q/viewform?edit2=2_ABaOnuf28sn7xJ8mFYavkzF_V56EiN6bzGBYC1HaH_1_TQTa9sRPiyi9g7LJroVe_-KWJq8&amp;source=documentstudio&amp;timestamp=1748921803961" TargetMode="External"/><Relationship Id="rId2344" Type="http://schemas.openxmlformats.org/officeDocument/2006/relationships/hyperlink" Target="https://drive.google.com/open?id=1isCUozMsDQ7VHpY10-l-D4ctwqbB-EGH" TargetMode="External"/><Relationship Id="rId2551" Type="http://schemas.openxmlformats.org/officeDocument/2006/relationships/hyperlink" Target="https://docs.google.com/forms/d/e/1FAIpQLSeEYwFnViiqk1AbexVe1VDR73UApmeuvfn6Yr2vN8WXjwGu2Q/viewform?edit2=2_ABaOnucyR1N2LxZTxhpse07p2eyfHMOBtvjyy6pcENxaiTYMh-K2NvQU_Ifp0Aq3o_ppX_w&amp;source=documentstudio&amp;timestamp=1768460460473" TargetMode="External"/><Relationship Id="rId2789" Type="http://schemas.openxmlformats.org/officeDocument/2006/relationships/hyperlink" Target="https://docs.google.com/forms/d/e/1FAIpQLSeEYwFnViiqk1AbexVe1VDR73UApmeuvfn6Yr2vN8WXjwGu2Q/viewform?edit2=2_ABaOnudyYAW7D9AspzoKSiy4DLiOM2QQ-s2g69gnIckEJpjClMu_pcKeyyhYHVUyl7n4O9g&amp;source=documentstudio&amp;timestamp=1768960649266" TargetMode="External"/><Relationship Id="rId109" Type="http://schemas.openxmlformats.org/officeDocument/2006/relationships/hyperlink" Target="https://drive.google.com/open?id=19bRHn_uMUg8BOA1RfOz1iWXBBoiCCmhC" TargetMode="External"/><Relationship Id="rId316" Type="http://schemas.openxmlformats.org/officeDocument/2006/relationships/hyperlink" Target="https://drive.google.com/open?id=1wQLDNNJypWeJhA9M0bXf1f6RxPV46-bZ" TargetMode="External"/><Relationship Id="rId523" Type="http://schemas.openxmlformats.org/officeDocument/2006/relationships/hyperlink" Target="https://drive.google.com/open?id=1IGp7cxlWstK3ovzW6zupj4Qe_VCWe4yu" TargetMode="External"/><Relationship Id="rId968" Type="http://schemas.openxmlformats.org/officeDocument/2006/relationships/hyperlink" Target="https://drive.google.com/open?id=1hgM52iTHLSTeBpHO6gxBG6MmBfOe8MlT" TargetMode="External"/><Relationship Id="rId1153" Type="http://schemas.openxmlformats.org/officeDocument/2006/relationships/hyperlink" Target="https://docs.google.com/forms/d/e/1FAIpQLSeEYwFnViiqk1AbexVe1VDR73UApmeuvfn6Yr2vN8WXjwGu2Q/viewform?edit2=2_ABaOnudjiTrS8l7zKirDjxYpqSchbBhzJx_D3apdxrElaRZqL7tmxkUyqab7V0t4X7OC25E&amp;source=documentstudio&amp;timestamp=1728028107154" TargetMode="External"/><Relationship Id="rId1598" Type="http://schemas.openxmlformats.org/officeDocument/2006/relationships/hyperlink" Target="https://drive.google.com/open?id=1jU5w6wAUPzb0V0s-nmDqecMonfHaccvq" TargetMode="External"/><Relationship Id="rId2204" Type="http://schemas.openxmlformats.org/officeDocument/2006/relationships/hyperlink" Target="https://drive.google.com/open?id=14mpYZ-ZW04gBB1Tzap2iPe0FqD6URUrG" TargetMode="External"/><Relationship Id="rId2649" Type="http://schemas.openxmlformats.org/officeDocument/2006/relationships/hyperlink" Target="https://docs.google.com/forms/d/e/1FAIpQLSeEYwFnViiqk1AbexVe1VDR73UApmeuvfn6Yr2vN8WXjwGu2Q/viewform?edit2=2_ABaOnuexCUtYjKOKPrZqE_MIF0vsV3zUrELDB72cWzACSkc0_L9GsJmbn8Pq-CnkxoZM71k&amp;source=documentstudio&amp;timestamp=1768787920444" TargetMode="External"/><Relationship Id="rId2856" Type="http://schemas.openxmlformats.org/officeDocument/2006/relationships/hyperlink" Target="https://drive.google.com/open?id=1twv7Jf_ZsRCXddvYRToIl-SQPTH-Grgq" TargetMode="External"/><Relationship Id="rId97" Type="http://schemas.openxmlformats.org/officeDocument/2006/relationships/hyperlink" Target="https://drive.google.com/open?id=1QPqAK8IbmlZAJna61B-GQ8_kdJIDpvAH" TargetMode="External"/><Relationship Id="rId730" Type="http://schemas.openxmlformats.org/officeDocument/2006/relationships/hyperlink" Target="https://drive.google.com/open?id=1zTHGG7VKf3Kpjm3mcfmsxvQTtT9hXfp-" TargetMode="External"/><Relationship Id="rId828" Type="http://schemas.openxmlformats.org/officeDocument/2006/relationships/hyperlink" Target="https://drive.google.com/open?id=1-GF70Ds4dr1kkfEG_Qv5D4PpR_yUJ2sH" TargetMode="External"/><Relationship Id="rId1013" Type="http://schemas.openxmlformats.org/officeDocument/2006/relationships/hyperlink" Target="https://docs.google.com/forms/d/e/1FAIpQLSeEYwFnViiqk1AbexVe1VDR73UApmeuvfn6Yr2vN8WXjwGu2Q/viewform?edit2=2_ABaOnudXUyrBrTwboIg9fKFP5QL4YuB28cfhNgMBwBdSatAMxAWRR3Ayv4vEhW08i5Iki6E&amp;source=documentstudio&amp;timestamp=1723594627567" TargetMode="External"/><Relationship Id="rId1360" Type="http://schemas.openxmlformats.org/officeDocument/2006/relationships/hyperlink" Target="https://drive.google.com/open?id=1nDcsg9yLgTVYcpTlarP0lyDAdAoJyodJ" TargetMode="External"/><Relationship Id="rId1458" Type="http://schemas.openxmlformats.org/officeDocument/2006/relationships/hyperlink" Target="https://drive.google.com/open?id=1_A1XcVMX-E5Fogm6JVSEYHSnL1OylWus" TargetMode="External"/><Relationship Id="rId1665" Type="http://schemas.openxmlformats.org/officeDocument/2006/relationships/hyperlink" Target="https://docs.google.com/forms/d/e/1FAIpQLSeEYwFnViiqk1AbexVe1VDR73UApmeuvfn6Yr2vN8WXjwGu2Q/viewform?edit2=2_ABaOnue0jjZAlSnH103-ZvhiWjK8aCp0i-Pty3cMHylTeXQPo1XEJ6KtT8a2yYBCNHhl7e0&amp;source=documentstudio&amp;timestamp=1741334080583" TargetMode="External"/><Relationship Id="rId1872" Type="http://schemas.openxmlformats.org/officeDocument/2006/relationships/hyperlink" Target="https://docs.google.com/forms/d/e/1FAIpQLSeEYwFnViiqk1AbexVe1VDR73UApmeuvfn6Yr2vN8WXjwGu2Q/viewform?edit2=2_ABaOnucwo4eac2cawMswk3-tiPqC8TCau7U39dm4mc-BR5qRoopMgHgDbT4TfbX3VBYPYZQ&amp;source=documentstudio&amp;timestamp=1742437537321" TargetMode="External"/><Relationship Id="rId2411" Type="http://schemas.openxmlformats.org/officeDocument/2006/relationships/hyperlink" Target="https://docs.google.com/forms/d/e/1FAIpQLSeEYwFnViiqk1AbexVe1VDR73UApmeuvfn6Yr2vN8WXjwGu2Q/viewform?edit2=2_ABaOnucnUhN9IaHnrYRnGBJL8lIw5a32Bka2IxCU75cT1T8B7Z28tMW7EV35i_ocKjF0Zi8&amp;source=documentstudio&amp;timestamp=1768439410287" TargetMode="External"/><Relationship Id="rId2509" Type="http://schemas.openxmlformats.org/officeDocument/2006/relationships/hyperlink" Target="https://docs.google.com/forms/d/e/1FAIpQLSeEYwFnViiqk1AbexVe1VDR73UApmeuvfn6Yr2vN8WXjwGu2Q/viewform?edit2=2_ABaOnucDUlrbQugGPmNvZ8Stq7iJXscOLpcYTRnb5gRns94RpI9VeHO_IRTLhJwAJybSVII&amp;source=documentstudio&amp;timestamp=1768443867249" TargetMode="External"/><Relationship Id="rId2716" Type="http://schemas.openxmlformats.org/officeDocument/2006/relationships/hyperlink" Target="https://drive.google.com/open?id=1wxLFFs3KVX2yncTjGJPyk5n9nss7ruD3" TargetMode="External"/><Relationship Id="rId1220" Type="http://schemas.openxmlformats.org/officeDocument/2006/relationships/hyperlink" Target="https://drive.google.com/open?id=1kjTaXAo7zghYElh27Im6DCvERxCsUUGq" TargetMode="External"/><Relationship Id="rId1318" Type="http://schemas.openxmlformats.org/officeDocument/2006/relationships/hyperlink" Target="https://drive.google.com/open?id=1PCFSF8f24amLP18LZjVb1Fh9Acafz9o-" TargetMode="External"/><Relationship Id="rId1525" Type="http://schemas.openxmlformats.org/officeDocument/2006/relationships/hyperlink" Target="https://docs.google.com/forms/d/e/1FAIpQLSeEYwFnViiqk1AbexVe1VDR73UApmeuvfn6Yr2vN8WXjwGu2Q/viewform?edit2=2_ABaOnucA8wOHUXG2jTPFfFwTINqRnjPk5xWR3uxArx0RaHXbM9h0BLtWgtZZRZLXzaintBM&amp;source=documentstudio&amp;timestamp=1739328023798" TargetMode="External"/><Relationship Id="rId2923" Type="http://schemas.openxmlformats.org/officeDocument/2006/relationships/hyperlink" Target="https://drive.google.com/open?id=1XJYc90y3czLTNcfa4iyETDMtbiJoFLyv" TargetMode="External"/><Relationship Id="rId1732" Type="http://schemas.openxmlformats.org/officeDocument/2006/relationships/hyperlink" Target="https://drive.google.com/open?id=1c3S_GbER8Nsets0cFNERAS9i9I6fVWOp" TargetMode="External"/><Relationship Id="rId24" Type="http://schemas.openxmlformats.org/officeDocument/2006/relationships/hyperlink" Target="https://drive.google.com/open?id=1coOeYsKgAE3qYm8jXiGydfgfqQKrR72p" TargetMode="External"/><Relationship Id="rId2299" Type="http://schemas.openxmlformats.org/officeDocument/2006/relationships/hyperlink" Target="https://docs.google.com/forms/d/e/1FAIpQLSeEYwFnViiqk1AbexVe1VDR73UApmeuvfn6Yr2vN8WXjwGu2Q/viewform?edit2=2_ABaOnueIH2lyecuQt_HmI1r4r1x8xr6TZi9oJbcdDLhJPH76XpZR0hGrxgQlYWu_4DYKlWA&amp;source=documentstudio&amp;timestamp=1759997926691" TargetMode="External"/><Relationship Id="rId173" Type="http://schemas.openxmlformats.org/officeDocument/2006/relationships/hyperlink" Target="https://drive.google.com/open?id=168iEiFCO-GBQkkbwcjN7TUQsLmCe29UK" TargetMode="External"/><Relationship Id="rId380" Type="http://schemas.openxmlformats.org/officeDocument/2006/relationships/hyperlink" Target="https://drive.google.com/open?id=15Nmh2rCWgf07WbA84xcbFPJjPYtn_DcJ" TargetMode="External"/><Relationship Id="rId2061" Type="http://schemas.openxmlformats.org/officeDocument/2006/relationships/hyperlink" Target="https://docs.google.com/forms/d/e/1FAIpQLSeEYwFnViiqk1AbexVe1VDR73UApmeuvfn6Yr2vN8WXjwGu2Q/viewform?edit2=2_ABaOnudVmu-sUgCN31v91qMkriy5ZvpwwEOjz8MwU7r1588ZIWxi7SM8IdLSFqMozcGZUfA&amp;source=documentstudio&amp;timestamp=1748844139740" TargetMode="External"/><Relationship Id="rId240" Type="http://schemas.openxmlformats.org/officeDocument/2006/relationships/hyperlink" Target="https://drive.google.com/open?id=1uWDeh6KlZlYmnLHz2_YbrFMMT72jbviy" TargetMode="External"/><Relationship Id="rId478" Type="http://schemas.openxmlformats.org/officeDocument/2006/relationships/hyperlink" Target="https://drive.google.com/open?id=12BNumiB_lo9icliLYHamzxzu12-iGxH4" TargetMode="External"/><Relationship Id="rId685" Type="http://schemas.openxmlformats.org/officeDocument/2006/relationships/hyperlink" Target="https://docs.google.com/forms/d/e/1FAIpQLSeEYwFnViiqk1AbexVe1VDR73UApmeuvfn6Yr2vN8WXjwGu2Q/viewform?edit2=2_ABaOnufF3v_vVcO4CdtX2f1-kShSorxfACjV-SD9Mh1Xo_0DXfidLQTbSDeYK4ct2tMnag4&amp;source=documentstudio&amp;timestamp=1717401983262" TargetMode="External"/><Relationship Id="rId892" Type="http://schemas.openxmlformats.org/officeDocument/2006/relationships/hyperlink" Target="https://drive.google.com/open?id=1z8uPtD6odVUQ8ZzlXF8z8RaSNXTjB2lY" TargetMode="External"/><Relationship Id="rId2159" Type="http://schemas.openxmlformats.org/officeDocument/2006/relationships/hyperlink" Target="https://docs.google.com/forms/d/e/1FAIpQLSeEYwFnViiqk1AbexVe1VDR73UApmeuvfn6Yr2vN8WXjwGu2Q/viewform?edit2=2_ABaOnuePLGD1s8g9PN95ExKAOe_TkVwV5NUAHGoH0KjuZr6KMLrkKWqTekATHl3wYqyDRa8&amp;source=documentstudio&amp;timestamp=1749713869130" TargetMode="External"/><Relationship Id="rId2366" Type="http://schemas.openxmlformats.org/officeDocument/2006/relationships/hyperlink" Target="https://drive.google.com/open?id=1wD2bS-tIDnq8i6mzFwW_3mZ_NuEOOaWD" TargetMode="External"/><Relationship Id="rId2573" Type="http://schemas.openxmlformats.org/officeDocument/2006/relationships/hyperlink" Target="https://docs.google.com/forms/d/e/1FAIpQLSeEYwFnViiqk1AbexVe1VDR73UApmeuvfn6Yr2vN8WXjwGu2Q/viewform?edit2=2_ABaOnufWs_xy0iYFrRJSvRbzxCuqvfhE0mlVEyq2d_sYbgUOazl-7cIB1OQGSCKnzzYV-O0&amp;source=documentstudio&amp;timestamp=1768461992177" TargetMode="External"/><Relationship Id="rId2780" Type="http://schemas.openxmlformats.org/officeDocument/2006/relationships/hyperlink" Target="https://drive.google.com/open?id=1Bcq9rtWy0DRwQrG9Buz-30si1KB3jYw6" TargetMode="External"/><Relationship Id="rId100" Type="http://schemas.openxmlformats.org/officeDocument/2006/relationships/hyperlink" Target="https://drive.google.com/open?id=1mNWL1rCSsGXX1o2OCHnICcoGg808oMdG" TargetMode="External"/><Relationship Id="rId338" Type="http://schemas.openxmlformats.org/officeDocument/2006/relationships/hyperlink" Target="https://drive.google.com/open?id=1QKBnmi37BQAnj7eRCaRgwmxIoiK-zdGA" TargetMode="External"/><Relationship Id="rId545" Type="http://schemas.openxmlformats.org/officeDocument/2006/relationships/hyperlink" Target="https://drive.google.com/open?id=1LLWkTj25B-a2RUJNEn5RT_dwJxA7tpNc" TargetMode="External"/><Relationship Id="rId752" Type="http://schemas.openxmlformats.org/officeDocument/2006/relationships/hyperlink" Target="https://drive.google.com/open?id=1ICBz4_zLzQGcjbhysqzmhm4BCa69lfj4" TargetMode="External"/><Relationship Id="rId1175" Type="http://schemas.openxmlformats.org/officeDocument/2006/relationships/hyperlink" Target="https://docs.google.com/forms/d/e/1FAIpQLSeEYwFnViiqk1AbexVe1VDR73UApmeuvfn6Yr2vN8WXjwGu2Q/viewform?edit2=2_ABaOnufbmdVPPRV_LLmtX_xPwj_HIGDoeTs74nPF-RXzwCLFuTx7fqbLt-vsZzxblY356Ow&amp;source=documentstudio&amp;timestamp=1728376194038" TargetMode="External"/><Relationship Id="rId1382" Type="http://schemas.openxmlformats.org/officeDocument/2006/relationships/hyperlink" Target="https://drive.google.com/open?id=1mWdVKFOClIiEmhgys166MNq7LDX8-0r6" TargetMode="External"/><Relationship Id="rId2019" Type="http://schemas.openxmlformats.org/officeDocument/2006/relationships/hyperlink" Target="https://docs.google.com/forms/d/e/1FAIpQLSeEYwFnViiqk1AbexVe1VDR73UApmeuvfn6Yr2vN8WXjwGu2Q/viewform?edit2=2_ABaOnufis3bnTewYWBFczuTPf_TUAB4ZA7QwwlZSltTL2VJHPzXZF_W6kvLmD_G1zv6X8IU&amp;source=documentstudio&amp;timestamp=1748831553591" TargetMode="External"/><Relationship Id="rId2226" Type="http://schemas.openxmlformats.org/officeDocument/2006/relationships/hyperlink" Target="https://drive.google.com/open?id=1yYkKCQgx-rt9VHQluWAJnqjlq7cAbeFB" TargetMode="External"/><Relationship Id="rId2433" Type="http://schemas.openxmlformats.org/officeDocument/2006/relationships/hyperlink" Target="https://docs.google.com/forms/d/e/1FAIpQLSeEYwFnViiqk1AbexVe1VDR73UApmeuvfn6Yr2vN8WXjwGu2Q/viewform?edit2=2_ABaOnudypPkTNJrPJDqNmu-jV4_jmhmN5dcVOOVuagPsY1OoY81vQWkZTRMdmkdNAooS1Lk&amp;source=documentstudio&amp;timestamp=1768439796636" TargetMode="External"/><Relationship Id="rId2640" Type="http://schemas.openxmlformats.org/officeDocument/2006/relationships/hyperlink" Target="https://drive.google.com/open?id=1ZUrUTftXutT4QUi1iln_ao3hF2X887rD" TargetMode="External"/><Relationship Id="rId2878" Type="http://schemas.openxmlformats.org/officeDocument/2006/relationships/hyperlink" Target="https://drive.google.com/open?id=16WnHbBLwQ7qxQqziTQofLlkb0z8qbdk3" TargetMode="External"/><Relationship Id="rId405" Type="http://schemas.openxmlformats.org/officeDocument/2006/relationships/hyperlink" Target="https://drive.google.com/open?id=1z0IhH4CNesUvJo6Rlkhc5u9uVCAhy9w1" TargetMode="External"/><Relationship Id="rId612" Type="http://schemas.openxmlformats.org/officeDocument/2006/relationships/hyperlink" Target="https://drive.google.com/open?id=1-4Xx1YcTjfP0lcyW843pXvnkw-6zGlv0" TargetMode="External"/><Relationship Id="rId1035" Type="http://schemas.openxmlformats.org/officeDocument/2006/relationships/hyperlink" Target="https://docs.google.com/forms/d/e/1FAIpQLSeEYwFnViiqk1AbexVe1VDR73UApmeuvfn6Yr2vN8WXjwGu2Q/viewform?edit2=2_ABaOnueUDhjDLlk6tfVMvPRUHr_uWI3wAUb0sxoHE6d6SkiSZLP4ZQXHpK2hZ5xjIJysK8w&amp;source=documentstudio&amp;timestamp=1724030383450" TargetMode="External"/><Relationship Id="rId1242" Type="http://schemas.openxmlformats.org/officeDocument/2006/relationships/hyperlink" Target="https://drive.google.com/open?id=1ErxAG27TBON53Ukyn2T8GKAMv6vrBi31" TargetMode="External"/><Relationship Id="rId1687" Type="http://schemas.openxmlformats.org/officeDocument/2006/relationships/hyperlink" Target="https://docs.google.com/forms/d/e/1FAIpQLSeEYwFnViiqk1AbexVe1VDR73UApmeuvfn6Yr2vN8WXjwGu2Q/viewform?edit2=2_ABaOnudBP927kTDMHPFpOu_CCtxfp53aTQ0H_SHgTkuTWB-Qs13_d3w78dqycCv5L9FXZu4&amp;source=documentstudio&amp;timestamp=1741334735073" TargetMode="External"/><Relationship Id="rId1894" Type="http://schemas.openxmlformats.org/officeDocument/2006/relationships/hyperlink" Target="https://docs.google.com/forms/d/e/1FAIpQLSeEYwFnViiqk1AbexVe1VDR73UApmeuvfn6Yr2vN8WXjwGu2Q/viewform?edit2=2_ABaOnufhjZzXnyEdgLs7bLvCsDnL4dIug4l-6UmV5cT2HZ-jvVFHniikkkAg7K4oSwQMs64&amp;source=documentstudio&amp;timestamp=1745199102038" TargetMode="External"/><Relationship Id="rId2500" Type="http://schemas.openxmlformats.org/officeDocument/2006/relationships/hyperlink" Target="https://drive.google.com/open?id=1T6Mph1cbKRtozPhzD7W84U7814kFeEDr" TargetMode="External"/><Relationship Id="rId2738" Type="http://schemas.openxmlformats.org/officeDocument/2006/relationships/hyperlink" Target="https://drive.google.com/open?id=10BMNjEqyzFwH9Lfe_nBhRC9jY2hSIBqo" TargetMode="External"/><Relationship Id="rId2945" Type="http://schemas.openxmlformats.org/officeDocument/2006/relationships/hyperlink" Target="https://drive.google.com/open?id=1kL4XgFQrzWgSfVvZtqobJAZ5MrWjUfsG" TargetMode="External"/><Relationship Id="rId917" Type="http://schemas.openxmlformats.org/officeDocument/2006/relationships/hyperlink" Target="https://docs.google.com/forms/d/e/1FAIpQLSeEYwFnViiqk1AbexVe1VDR73UApmeuvfn6Yr2vN8WXjwGu2Q/viewform?edit2=2_ABaOnue1LdBYAUSvrEOmtqS0gvXucUcORAJT5Te6GGOq_A7qQ5LP_TttiobuX8LCfOYtT40&amp;source=documentstudio&amp;timestamp=1721620028722" TargetMode="External"/><Relationship Id="rId1102" Type="http://schemas.openxmlformats.org/officeDocument/2006/relationships/hyperlink" Target="https://drive.google.com/open?id=1GY0FzJZ-yXmTyLcIu5UiDL_PiTiJ-1kI" TargetMode="External"/><Relationship Id="rId1547" Type="http://schemas.openxmlformats.org/officeDocument/2006/relationships/hyperlink" Target="https://docs.google.com/forms/d/e/1FAIpQLSeEYwFnViiqk1AbexVe1VDR73UApmeuvfn6Yr2vN8WXjwGu2Q/viewform?edit2=2_ABaOnufg8ksRVDST06ig_8lF89DexNrRkeBWxzVV8shcL5DsDrua72nPFu2o7X-orGlG4xY&amp;source=documentstudio&amp;timestamp=1739328814877" TargetMode="External"/><Relationship Id="rId1754" Type="http://schemas.openxmlformats.org/officeDocument/2006/relationships/hyperlink" Target="https://docs.google.com/forms/d/e/1FAIpQLSeEYwFnViiqk1AbexVe1VDR73UApmeuvfn6Yr2vN8WXjwGu2Q/viewform?edit2=2_ABaOnudgzT-SNKVPUQIz_A5LXypxQF-jR_Y8UH8LHZqpr6MTnUBY9pH9glpfJHg3UOfQFRI&amp;source=documentstudio&amp;timestamp=1741571780110" TargetMode="External"/><Relationship Id="rId1961" Type="http://schemas.openxmlformats.org/officeDocument/2006/relationships/hyperlink" Target="https://drive.google.com/open?id=1n8sVDB2OW-QwzoTQo9fQMIztcppwBXEC" TargetMode="External"/><Relationship Id="rId2805" Type="http://schemas.openxmlformats.org/officeDocument/2006/relationships/hyperlink" Target="https://docs.google.com/forms/d/e/1FAIpQLSeEYwFnViiqk1AbexVe1VDR73UApmeuvfn6Yr2vN8WXjwGu2Q/viewform?edit2=2_ABaOnueYElpea-wI9qMiY2R6BQA0MRgj8h89W00C7gc_UPVgIz3b_AIScy7rjJJNWEO8ld8&amp;source=documentstudio&amp;timestamp=1769393015456" TargetMode="External"/><Relationship Id="rId46" Type="http://schemas.openxmlformats.org/officeDocument/2006/relationships/hyperlink" Target="https://drive.google.com/open?id=159jkLtFGSIdoNONim320ztwAVS3dl7Wq" TargetMode="External"/><Relationship Id="rId1407" Type="http://schemas.openxmlformats.org/officeDocument/2006/relationships/hyperlink" Target="https://docs.google.com/forms/d/e/1FAIpQLSeEYwFnViiqk1AbexVe1VDR73UApmeuvfn6Yr2vN8WXjwGu2Q/viewform?edit2=2_ABaOnufIdMZPYy7yjHdevyAmxpMflh66h4LudGumDZV-nNBr-62G16mPUkp5cCk9jaDVWqs&amp;source=documentstudio&amp;timestamp=1737446087476" TargetMode="External"/><Relationship Id="rId1614" Type="http://schemas.openxmlformats.org/officeDocument/2006/relationships/hyperlink" Target="https://drive.google.com/open?id=1zYnRBJbNao8EhyVp7qIt70FRpjO1y-oT" TargetMode="External"/><Relationship Id="rId1821" Type="http://schemas.openxmlformats.org/officeDocument/2006/relationships/hyperlink" Target="https://drive.google.com/open?id=1EiIR9x3Asz12WsEHu0jxneFjEStPwPUV" TargetMode="External"/><Relationship Id="rId195" Type="http://schemas.openxmlformats.org/officeDocument/2006/relationships/hyperlink" Target="https://drive.google.com/open?id=1JAO4p6Sqhy5qpNOO6sHz_IwbZt8te79l" TargetMode="External"/><Relationship Id="rId1919" Type="http://schemas.openxmlformats.org/officeDocument/2006/relationships/hyperlink" Target="https://drive.google.com/open?id=1XJfqdZ_H-tRpiCk9uptn3zJIaEkdf9iJ" TargetMode="External"/><Relationship Id="rId2083" Type="http://schemas.openxmlformats.org/officeDocument/2006/relationships/hyperlink" Target="https://docs.google.com/forms/d/e/1FAIpQLSeEYwFnViiqk1AbexVe1VDR73UApmeuvfn6Yr2vN8WXjwGu2Q/viewform?edit2=2_ABaOnucyIgEDC0bfuJge-3xHrbLLwBePZNnQpKX9SwUwYsaGuyCAwf7HexcYUtX7E2Zv1z4&amp;source=documentstudio&amp;timestamp=1748846685226" TargetMode="External"/><Relationship Id="rId2290" Type="http://schemas.openxmlformats.org/officeDocument/2006/relationships/hyperlink" Target="https://drive.google.com/open?id=1Xil9tixYrppoJHRSOHasU50GEV2-V-mb" TargetMode="External"/><Relationship Id="rId2388" Type="http://schemas.openxmlformats.org/officeDocument/2006/relationships/hyperlink" Target="https://drive.google.com/open?id=11k9h1AGd91KKk45rRMO8GketswZEpHiZ" TargetMode="External"/><Relationship Id="rId2595" Type="http://schemas.openxmlformats.org/officeDocument/2006/relationships/hyperlink" Target="https://docs.google.com/forms/d/e/1FAIpQLSeEYwFnViiqk1AbexVe1VDR73UApmeuvfn6Yr2vN8WXjwGu2Q/viewform?edit2=2_ABaOnucveCrHcczF-HqCGm-Lm0bhiep33ySbjw7c0GkeokF5Qo-FCI1bNkIM5g1NO2ZsIc0&amp;source=documentstudio&amp;timestamp=1768464402837" TargetMode="External"/><Relationship Id="rId262" Type="http://schemas.openxmlformats.org/officeDocument/2006/relationships/hyperlink" Target="https://drive.google.com/open?id=176yOZrGfHZLX-t0TQ0QLubkKn6gia52B" TargetMode="External"/><Relationship Id="rId567" Type="http://schemas.openxmlformats.org/officeDocument/2006/relationships/hyperlink" Target="https://drive.google.com/open?id=1SaXHvQ9SlqyF7jYkIToY67zq41nhv1Ny" TargetMode="External"/><Relationship Id="rId1197" Type="http://schemas.openxmlformats.org/officeDocument/2006/relationships/hyperlink" Target="https://docs.google.com/forms/d/e/1FAIpQLSeEYwFnViiqk1AbexVe1VDR73UApmeuvfn6Yr2vN8WXjwGu2Q/viewform?edit2=2_ABaOnudF0bPlz3AEGvvulYojtKQ-StdcHkjuIn4eIpyOKMXJSNAfc0HFVl2iPUJ91RaS3Rw&amp;source=documentstudio&amp;timestamp=1730950373399" TargetMode="External"/><Relationship Id="rId2150" Type="http://schemas.openxmlformats.org/officeDocument/2006/relationships/hyperlink" Target="https://drive.google.com/open?id=1KOCnap_j3DpjFxg4UfBwcJwwKLj5p7Ko" TargetMode="External"/><Relationship Id="rId2248" Type="http://schemas.openxmlformats.org/officeDocument/2006/relationships/hyperlink" Target="https://drive.google.com/open?id=1D2sqWn_hKo97Bmi0ps9pToAvQPVdzqtX" TargetMode="External"/><Relationship Id="rId122" Type="http://schemas.openxmlformats.org/officeDocument/2006/relationships/hyperlink" Target="https://drive.google.com/open?id=1_HkA0ZBgR2nuYL26HHnMKhjWh2pJr1sU" TargetMode="External"/><Relationship Id="rId774" Type="http://schemas.openxmlformats.org/officeDocument/2006/relationships/hyperlink" Target="https://drive.google.com/open?id=1jJw98fPPLh60uM_oefzlLwjrBjZL9wpA" TargetMode="External"/><Relationship Id="rId981" Type="http://schemas.openxmlformats.org/officeDocument/2006/relationships/hyperlink" Target="https://docs.google.com/forms/d/e/1FAIpQLSeEYwFnViiqk1AbexVe1VDR73UApmeuvfn6Yr2vN8WXjwGu2Q/viewform?edit2=2_ABaOnuc5jXcPFrdU-XpNk8bIxFsLVKNGa1R03eA4xDJCp5-XKfosGDb4Ss5vLeJLKXGqBM0&amp;source=documentstudio&amp;timestamp=1723164355308" TargetMode="External"/><Relationship Id="rId1057" Type="http://schemas.openxmlformats.org/officeDocument/2006/relationships/hyperlink" Target="https://docs.google.com/forms/d/e/1FAIpQLSeEYwFnViiqk1AbexVe1VDR73UApmeuvfn6Yr2vN8WXjwGu2Q/viewform?edit2=2_ABaOnufPred4_Uhjtn1eqInvePokVqISp86ZHk0XsuV9pCwvQBJmjwLwKRo9hR0gcVjpwkQ&amp;source=documentstudio&amp;timestamp=1725500050694" TargetMode="External"/><Relationship Id="rId2010" Type="http://schemas.openxmlformats.org/officeDocument/2006/relationships/hyperlink" Target="https://drive.google.com/open?id=1H38Q2zzajErVc4jXDjRdf8on2JQEcmfY" TargetMode="External"/><Relationship Id="rId2455" Type="http://schemas.openxmlformats.org/officeDocument/2006/relationships/hyperlink" Target="https://docs.google.com/forms/d/e/1FAIpQLSeEYwFnViiqk1AbexVe1VDR73UApmeuvfn6Yr2vN8WXjwGu2Q/viewform?edit2=2_ABaOnucMsum5wQ-mHdCTlRXSZuRNVh3v8CO7IL1AGSds2BuXRUdjvYMedHd3yOIhUg1p7kw&amp;source=documentstudio&amp;timestamp=1768442204549" TargetMode="External"/><Relationship Id="rId2662" Type="http://schemas.openxmlformats.org/officeDocument/2006/relationships/hyperlink" Target="https://drive.google.com/open?id=1V_Ka8MXIVO1pX31nOmrLx5PzwsN_9ipl" TargetMode="External"/><Relationship Id="rId427" Type="http://schemas.openxmlformats.org/officeDocument/2006/relationships/hyperlink" Target="https://drive.google.com/open?id=1cMBB48PP4iR-_VmMpJpFijWU3l-vKyiV" TargetMode="External"/><Relationship Id="rId634" Type="http://schemas.openxmlformats.org/officeDocument/2006/relationships/hyperlink" Target="https://drive.google.com/open?id=1ufWoRHx50g_vKCfnAfvURoBcmck5L1CN" TargetMode="External"/><Relationship Id="rId841" Type="http://schemas.openxmlformats.org/officeDocument/2006/relationships/hyperlink" Target="https://docs.google.com/forms/d/e/1FAIpQLSeEYwFnViiqk1AbexVe1VDR73UApmeuvfn6Yr2vN8WXjwGu2Q/viewform?edit2=2_ABaOnufP0-Px4PbUCIZBciq02AlBwlvPjDowrDn8apQsqYmzwtm12Z63rSB5fiCA359wWgE&amp;source=documentstudio&amp;timestamp=1720487502290" TargetMode="External"/><Relationship Id="rId1264" Type="http://schemas.openxmlformats.org/officeDocument/2006/relationships/hyperlink" Target="https://drive.google.com/open?id=11Szqf5-rYJXQ9y0VUmlt63nT2DxrVByq" TargetMode="External"/><Relationship Id="rId1471" Type="http://schemas.openxmlformats.org/officeDocument/2006/relationships/hyperlink" Target="https://docs.google.com/forms/d/e/1FAIpQLSeEYwFnViiqk1AbexVe1VDR73UApmeuvfn6Yr2vN8WXjwGu2Q/viewform?edit2=2_ABaOnucC0m2XlvYHFW1fvZo7zjGQchFl6tYlLaqQhEePJLHLoicntXYAsYsZ98KGx4IFJpw&amp;source=documentstudio&amp;timestamp=1737449146880" TargetMode="External"/><Relationship Id="rId1569" Type="http://schemas.openxmlformats.org/officeDocument/2006/relationships/hyperlink" Target="https://docs.google.com/forms/d/e/1FAIpQLSeEYwFnViiqk1AbexVe1VDR73UApmeuvfn6Yr2vN8WXjwGu2Q/viewform?edit2=2_ABaOnuejs2L2GZDY0oHULx5_lXpGsmAYX8ICzbfzuS8Oj4bZtNmYDhug3qvffWtkcgyRwM0&amp;source=documentstudio&amp;timestamp=1739329094137" TargetMode="External"/><Relationship Id="rId2108" Type="http://schemas.openxmlformats.org/officeDocument/2006/relationships/hyperlink" Target="https://drive.google.com/open?id=10KQ0QHUJdU6MNk-SkL2IXzQvuxC0cYBx" TargetMode="External"/><Relationship Id="rId2315" Type="http://schemas.openxmlformats.org/officeDocument/2006/relationships/hyperlink" Target="https://docs.google.com/forms/d/e/1FAIpQLSeEYwFnViiqk1AbexVe1VDR73UApmeuvfn6Yr2vN8WXjwGu2Q/viewform?edit2=2_ABaOnudCIRP7NwJ9sPxxU49sdRHRYRWOElMwnwtbcSdtyFdELoX7LVGZOTSln11qEvmV8f4&amp;source=documentstudio&amp;timestamp=1760492690799" TargetMode="External"/><Relationship Id="rId2522" Type="http://schemas.openxmlformats.org/officeDocument/2006/relationships/hyperlink" Target="https://drive.google.com/open?id=1MIHuRQt0qhklU2DUvFcidgCKDbCHXgbD" TargetMode="External"/><Relationship Id="rId701" Type="http://schemas.openxmlformats.org/officeDocument/2006/relationships/hyperlink" Target="https://docs.google.com/forms/d/e/1FAIpQLSeEYwFnViiqk1AbexVe1VDR73UApmeuvfn6Yr2vN8WXjwGu2Q/viewform?edit2=2_ABaOnufKlAALQmT0xgMO_9AUby0ZjfcgOko1hSwZfnUpE7pxbE1hwTlZExWP21pSFmgcfIM&amp;source=documentstudio&amp;timestamp=1717552688139" TargetMode="External"/><Relationship Id="rId939" Type="http://schemas.openxmlformats.org/officeDocument/2006/relationships/hyperlink" Target="https://docs.google.com/forms/d/e/1FAIpQLSeEYwFnViiqk1AbexVe1VDR73UApmeuvfn6Yr2vN8WXjwGu2Q/viewform?edit2=2_ABaOnudGB5q6xU7qIrVEZNaEQvv7gqUt4vnUrOENCT9oKbAeNhQr2t-5qdJwS2wAI85ie5Q&amp;source=documentstudio&amp;timestamp=1721621768711" TargetMode="External"/><Relationship Id="rId1124" Type="http://schemas.openxmlformats.org/officeDocument/2006/relationships/hyperlink" Target="https://drive.google.com/open?id=1gkdHnRgVx94j3p_dJdcl55WleBwwp_Cq" TargetMode="External"/><Relationship Id="rId1331" Type="http://schemas.openxmlformats.org/officeDocument/2006/relationships/hyperlink" Target="https://docs.google.com/forms/d/e/1FAIpQLSeEYwFnViiqk1AbexVe1VDR73UApmeuvfn6Yr2vN8WXjwGu2Q/viewform?edit2=2_ABaOnueM4F-4rbcUF2F_cfExX6QoC7w5qqTAq-0aaW-ad_k_3XiKMu9ad5HSIS1JQVijrYY&amp;source=documentstudio&amp;timestamp=1736133854689" TargetMode="External"/><Relationship Id="rId1776" Type="http://schemas.openxmlformats.org/officeDocument/2006/relationships/hyperlink" Target="https://docs.google.com/forms/d/e/1FAIpQLSeEYwFnViiqk1AbexVe1VDR73UApmeuvfn6Yr2vN8WXjwGu2Q/viewform?edit2=2_ABaOnufDV6-cjy5m-E5kOKnCDjaxSxS4hDUMSWeVRfpA4C_M8OO3M6osQnLCZBT5aEs2POs&amp;source=documentstudio&amp;timestamp=1741573797722" TargetMode="External"/><Relationship Id="rId1983" Type="http://schemas.openxmlformats.org/officeDocument/2006/relationships/hyperlink" Target="https://docs.google.com/forms/d/e/1FAIpQLSeEYwFnViiqk1AbexVe1VDR73UApmeuvfn6Yr2vN8WXjwGu2Q/viewform?edit2=2_ABaOnucKUzfejNHzXusKTKEFVCUvvNzpl5yRxJh2Nd5hoFTnMhO3CKsIzshXdvfDvsvo8OY&amp;source=documentstudio&amp;timestamp=1748217774069" TargetMode="External"/><Relationship Id="rId2827" Type="http://schemas.openxmlformats.org/officeDocument/2006/relationships/hyperlink" Target="https://docs.google.com/forms/d/e/1FAIpQLSeEYwFnViiqk1AbexVe1VDR73UApmeuvfn6Yr2vN8WXjwGu2Q/viewform?edit2=2_ABaOnudg423mTBkPVrbe6VX9lo-9FRv2-BLR0dmu4TKgGdHV_qeaAvVUJ2yGu38XbUQqF1o&amp;source=documentstudio&amp;timestamp=1769395852148" TargetMode="External"/><Relationship Id="rId68" Type="http://schemas.openxmlformats.org/officeDocument/2006/relationships/hyperlink" Target="https://drive.google.com/open?id=1i0ydIiWOeIrW_aUgWhacXM6sexjLtwtX" TargetMode="External"/><Relationship Id="rId1429" Type="http://schemas.openxmlformats.org/officeDocument/2006/relationships/hyperlink" Target="https://docs.google.com/forms/d/e/1FAIpQLSeEYwFnViiqk1AbexVe1VDR73UApmeuvfn6Yr2vN8WXjwGu2Q/viewform?edit2=2_ABaOnueNR3DpHwgnoMAN6s0ekCqi0e0f7iVjqKRpstXD8EUEN5tB-2P8Ixy5BYScwrD2pEY&amp;source=documentstudio&amp;timestamp=1737446534314" TargetMode="External"/><Relationship Id="rId1636" Type="http://schemas.openxmlformats.org/officeDocument/2006/relationships/hyperlink" Target="https://drive.google.com/open?id=1Hm6pCpXA8AusWwN3xdt6uWpTpuI869Ds" TargetMode="External"/><Relationship Id="rId1843" Type="http://schemas.openxmlformats.org/officeDocument/2006/relationships/hyperlink" Target="https://drive.google.com/open?id=1sCQjNGJC7IJeIHHphs2UX-46ZFRLIIqs" TargetMode="External"/><Relationship Id="rId1703" Type="http://schemas.openxmlformats.org/officeDocument/2006/relationships/hyperlink" Target="https://docs.google.com/forms/d/e/1FAIpQLSeEYwFnViiqk1AbexVe1VDR73UApmeuvfn6Yr2vN8WXjwGu2Q/viewform?edit2=2_ABaOnudwImZIOWVaZ0xwpZQyte2JENU3YO9PTvLCDkhcWRbqBYhJoK9iGHe36WEdFrnXJlY&amp;source=documentstudio&amp;timestamp=1741336333462" TargetMode="External"/><Relationship Id="rId1910" Type="http://schemas.openxmlformats.org/officeDocument/2006/relationships/hyperlink" Target="https://docs.google.com/forms/d/e/1FAIpQLSeEYwFnViiqk1AbexVe1VDR73UApmeuvfn6Yr2vN8WXjwGu2Q/viewform?edit2=2_ABaOnucGyf7LTC5TbxXyyG9spGRHBx4wjKO9ASHUXMd8C3TGbekq4EgUzba8vPzW6o0V-fA&amp;source=documentstudio&amp;timestamp=1745310914427" TargetMode="External"/><Relationship Id="rId284" Type="http://schemas.openxmlformats.org/officeDocument/2006/relationships/hyperlink" Target="https://drive.google.com/open?id=1Bdqwqgg0CFH0FLk5RwDMsHch9Vzz5vRH" TargetMode="External"/><Relationship Id="rId491" Type="http://schemas.openxmlformats.org/officeDocument/2006/relationships/hyperlink" Target="https://drive.google.com/open?id=11jpUQFDd7DdqxN-mx9oSzM2n-5ahvGpn" TargetMode="External"/><Relationship Id="rId2172" Type="http://schemas.openxmlformats.org/officeDocument/2006/relationships/hyperlink" Target="https://drive.google.com/open?id=1pLfAc9M3i8Dzv_Gz7228KvWlp82RB_sl" TargetMode="External"/><Relationship Id="rId144" Type="http://schemas.openxmlformats.org/officeDocument/2006/relationships/hyperlink" Target="https://drive.google.com/open?id=1cu22JREH7-iqJ4Ka4YuM0Np0EI-N3JeS" TargetMode="External"/><Relationship Id="rId589" Type="http://schemas.openxmlformats.org/officeDocument/2006/relationships/hyperlink" Target="https://drive.google.com/open?id=1O9ScgbMAzaL9__lWVJXOYkLxfp2a-55K" TargetMode="External"/><Relationship Id="rId796" Type="http://schemas.openxmlformats.org/officeDocument/2006/relationships/hyperlink" Target="https://drive.google.com/open?id=1UegSNS_GwO2WuPSczYEZs1VyRjuQr1rT" TargetMode="External"/><Relationship Id="rId2477" Type="http://schemas.openxmlformats.org/officeDocument/2006/relationships/hyperlink" Target="https://docs.google.com/forms/d/e/1FAIpQLSeEYwFnViiqk1AbexVe1VDR73UApmeuvfn6Yr2vN8WXjwGu2Q/viewform?edit2=2_ABaOnueDunbw0Txlrw7xPxY5OUrUo4GaprSNa8RBLnu-nZdLyE--fGHgIBy5NYlDBoYyEIw&amp;source=documentstudio&amp;timestamp=1768443079592" TargetMode="External"/><Relationship Id="rId2684" Type="http://schemas.openxmlformats.org/officeDocument/2006/relationships/hyperlink" Target="https://drive.google.com/open?id=1e71xnBwrmdRHs0xPQK3lLRJFSRr81ADC" TargetMode="External"/><Relationship Id="rId351" Type="http://schemas.openxmlformats.org/officeDocument/2006/relationships/hyperlink" Target="https://drive.google.com/open?id=15jDWXZsC7yQvTzpgOBG6axZaUYBV3gHM" TargetMode="External"/><Relationship Id="rId449" Type="http://schemas.openxmlformats.org/officeDocument/2006/relationships/hyperlink" Target="https://drive.google.com/open?id=1M1tY3JOoHd8HpMXTuVY0LNVWiN8ajCqJ" TargetMode="External"/><Relationship Id="rId656" Type="http://schemas.openxmlformats.org/officeDocument/2006/relationships/hyperlink" Target="https://drive.google.com/open?id=1tSALn1Ihjduw8Mi3u2cyWF9vVjFmvph8" TargetMode="External"/><Relationship Id="rId863" Type="http://schemas.openxmlformats.org/officeDocument/2006/relationships/hyperlink" Target="https://docs.google.com/forms/d/e/1FAIpQLSeEYwFnViiqk1AbexVe1VDR73UApmeuvfn6Yr2vN8WXjwGu2Q/viewform?edit2=2_ABaOnucd81R_Y8lntbpXwWlgl5PCMliEjSlViKpifpdDe8_Voqoq7_D7_rjQjnsLNt4dOEM&amp;source=documentstudio&amp;timestamp=1720488245193" TargetMode="External"/><Relationship Id="rId1079" Type="http://schemas.openxmlformats.org/officeDocument/2006/relationships/hyperlink" Target="https://docs.google.com/forms/d/e/1FAIpQLSeEYwFnViiqk1AbexVe1VDR73UApmeuvfn6Yr2vN8WXjwGu2Q/viewform?edit2=2_ABaOnucw_BIyWKe7vdwq1agLDXNQgto0XQ-e5Cq7IUmLtnUClGyJwFCNddysm7BMfq4fejE&amp;source=documentstudio&amp;timestamp=1725856356370" TargetMode="External"/><Relationship Id="rId1286" Type="http://schemas.openxmlformats.org/officeDocument/2006/relationships/hyperlink" Target="https://drive.google.com/open?id=1j43_ip4sS4accQLhk4GwskEPnUe-Ugoh" TargetMode="External"/><Relationship Id="rId1493" Type="http://schemas.openxmlformats.org/officeDocument/2006/relationships/hyperlink" Target="https://docs.google.com/forms/d/e/1FAIpQLSeEYwFnViiqk1AbexVe1VDR73UApmeuvfn6Yr2vN8WXjwGu2Q/viewform?edit2=2_ABaOnudRF4Qm_0gGH2CQdsAxZSoarBmy7j6XVgZYg12JcAp8igT8bd9xB-DhNfLfJng6UZk&amp;source=documentstudio&amp;timestamp=1738628595951" TargetMode="External"/><Relationship Id="rId2032" Type="http://schemas.openxmlformats.org/officeDocument/2006/relationships/hyperlink" Target="https://drive.google.com/open?id=1gt1DCpxEXQOUQtizGA-Zu-YrUDY6V3BX" TargetMode="External"/><Relationship Id="rId2337" Type="http://schemas.openxmlformats.org/officeDocument/2006/relationships/hyperlink" Target="https://docs.google.com/forms/d/e/1FAIpQLSeEYwFnViiqk1AbexVe1VDR73UApmeuvfn6Yr2vN8WXjwGu2Q/viewform?edit2=2_ABaOnucxrEFPSgiXEmiTDyE2X163JZcXWNul_0qKLX87j6G89CSRknjoyijzaahtX8554tA&amp;source=documentstudio&amp;timestamp=1764830441478" TargetMode="External"/><Relationship Id="rId2544" Type="http://schemas.openxmlformats.org/officeDocument/2006/relationships/hyperlink" Target="https://drive.google.com/open?id=1fjBDwxE3woQvBOcmNvkBzOo-esDrXA1g" TargetMode="External"/><Relationship Id="rId2891" Type="http://schemas.openxmlformats.org/officeDocument/2006/relationships/hyperlink" Target="https://drive.google.com/open?id=1yJXi1aUio0VmVw2wnO75WiHibTFmIIKz" TargetMode="External"/><Relationship Id="rId211" Type="http://schemas.openxmlformats.org/officeDocument/2006/relationships/hyperlink" Target="https://drive.google.com/open?id=1RvM4oiiLH-3nHTAS3oSiVJWl8mxLTBsm" TargetMode="External"/><Relationship Id="rId309" Type="http://schemas.openxmlformats.org/officeDocument/2006/relationships/hyperlink" Target="https://drive.google.com/open?id=1kfvPRkw3xI93xKGYEDpzStiaF2nDrqOn" TargetMode="External"/><Relationship Id="rId516" Type="http://schemas.openxmlformats.org/officeDocument/2006/relationships/hyperlink" Target="https://drive.google.com/open?id=1TIfHiMFJSLjIVWbDPEQWXXfoE-qm0MGd" TargetMode="External"/><Relationship Id="rId1146" Type="http://schemas.openxmlformats.org/officeDocument/2006/relationships/hyperlink" Target="https://drive.google.com/open?id=1aqZtJ3xJZlTAo6HHulk0AxjPFwfTWZEr" TargetMode="External"/><Relationship Id="rId1798" Type="http://schemas.openxmlformats.org/officeDocument/2006/relationships/hyperlink" Target="https://docs.google.com/forms/d/e/1FAIpQLSeEYwFnViiqk1AbexVe1VDR73UApmeuvfn6Yr2vN8WXjwGu2Q/viewform?edit2=2_ABaOnucdVz2-chuyzPgv-B1VNSHmmtu-5ITU3K2oNEgapzbDXIB3XbzDdyklCfvHfq7WyH8&amp;source=documentstudio&amp;timestamp=1741746989816" TargetMode="External"/><Relationship Id="rId2751" Type="http://schemas.openxmlformats.org/officeDocument/2006/relationships/hyperlink" Target="https://docs.google.com/forms/d/e/1FAIpQLSeEYwFnViiqk1AbexVe1VDR73UApmeuvfn6Yr2vN8WXjwGu2Q/viewform?edit2=2_ABaOnueYZUnjWhrD7-cjELXS03FOG2mt6Ke4QIMOqU7b__k_Rcg36lboU8RxV9CBCSjJyeM&amp;source=documentstudio&amp;timestamp=1768813998978" TargetMode="External"/><Relationship Id="rId2849" Type="http://schemas.openxmlformats.org/officeDocument/2006/relationships/hyperlink" Target="https://docs.google.com/forms/d/e/1FAIpQLSeEYwFnViiqk1AbexVe1VDR73UApmeuvfn6Yr2vN8WXjwGu2Q/viewform?edit2=2_ABaOnufomERfxiLFgP_jf1tEtWRHBtiFWXE2t0khKMsrmqgjQs1CrjIKqJKHnrmxsY7KgKg&amp;source=documentstudio&amp;timestamp=1769415969078" TargetMode="External"/><Relationship Id="rId723" Type="http://schemas.openxmlformats.org/officeDocument/2006/relationships/hyperlink" Target="https://docs.google.com/forms/d/e/1FAIpQLSeEYwFnViiqk1AbexVe1VDR73UApmeuvfn6Yr2vN8WXjwGu2Q/viewform?edit2=2_ABaOnudnn1dMCArqX82-CUc_WlYc4lUD1jFDND5i9gFm-MIYWIVvjFGtL6pTGBi8Jf-UKD8&amp;source=documentstudio&amp;timestamp=1717659149893" TargetMode="External"/><Relationship Id="rId930" Type="http://schemas.openxmlformats.org/officeDocument/2006/relationships/hyperlink" Target="https://drive.google.com/open?id=1jRmHuARjdbnPA9FSHpyKlO4hUpVEq74l" TargetMode="External"/><Relationship Id="rId1006" Type="http://schemas.openxmlformats.org/officeDocument/2006/relationships/hyperlink" Target="https://drive.google.com/open?id=1uC27BCOWDHrdrhaWmv7bDklGbLZzfZlH" TargetMode="External"/><Relationship Id="rId1353" Type="http://schemas.openxmlformats.org/officeDocument/2006/relationships/hyperlink" Target="https://docs.google.com/forms/d/e/1FAIpQLSeEYwFnViiqk1AbexVe1VDR73UApmeuvfn6Yr2vN8WXjwGu2Q/viewform?edit2=2_ABaOnudda76OvpWDjptJOuNgQdc9Ob1JMLtFTIsSMMl5neqXxhV-BnyGfdboMrGMVhHUvx4&amp;source=documentstudio&amp;timestamp=1736210819468" TargetMode="External"/><Relationship Id="rId1560" Type="http://schemas.openxmlformats.org/officeDocument/2006/relationships/hyperlink" Target="https://drive.google.com/open?id=1ZQOJNd9MiVUiiM6iiV9BXXvlJ4zrqj1B" TargetMode="External"/><Relationship Id="rId1658" Type="http://schemas.openxmlformats.org/officeDocument/2006/relationships/hyperlink" Target="https://drive.google.com/open?id=1Kmmgb07SY_xrTgU8lWQ_6b6J41YuZc3F" TargetMode="External"/><Relationship Id="rId1865" Type="http://schemas.openxmlformats.org/officeDocument/2006/relationships/hyperlink" Target="https://drive.google.com/open?id=1dOekzx2gRupFRM1V_YkYIWDfnZc3ZGKS" TargetMode="External"/><Relationship Id="rId2404" Type="http://schemas.openxmlformats.org/officeDocument/2006/relationships/hyperlink" Target="https://drive.google.com/open?id=1GcwpuNrd_X3SV0oydKw6sh7a1JRb0Myn" TargetMode="External"/><Relationship Id="rId2611" Type="http://schemas.openxmlformats.org/officeDocument/2006/relationships/hyperlink" Target="https://docs.google.com/forms/d/e/1FAIpQLSeEYwFnViiqk1AbexVe1VDR73UApmeuvfn6Yr2vN8WXjwGu2Q/viewform?edit2=2_ABaOnueGn0CQXVQt3z8jmXd2ZXzV2edbJKnW-j7m1rDkuVU3rG1TbbUoGEo4Ch43DmWWDMc&amp;source=documentstudio&amp;timestamp=1768465906786" TargetMode="External"/><Relationship Id="rId2709" Type="http://schemas.openxmlformats.org/officeDocument/2006/relationships/hyperlink" Target="https://docs.google.com/forms/d/e/1FAIpQLSeEYwFnViiqk1AbexVe1VDR73UApmeuvfn6Yr2vN8WXjwGu2Q/viewform?edit2=2_ABaOnuf14FRLDs0F-a7TVtwZTAP6zxm2gHTV3vcn7yIVSGAyuDM2T8kG6FJfzEeCVFRE3k0&amp;source=documentstudio&amp;timestamp=1768794689335" TargetMode="External"/><Relationship Id="rId1213" Type="http://schemas.openxmlformats.org/officeDocument/2006/relationships/hyperlink" Target="https://docs.google.com/forms/d/e/1FAIpQLSeEYwFnViiqk1AbexVe1VDR73UApmeuvfn6Yr2vN8WXjwGu2Q/viewform?edit2=2_ABaOnufqBHrEqnip0iNL5V3afSH4oa7nmr047nZEyvyCt01A0EW19eGVoQ6A4sS3_5PSwfs&amp;source=documentstudio&amp;timestamp=1731548483074" TargetMode="External"/><Relationship Id="rId1420" Type="http://schemas.openxmlformats.org/officeDocument/2006/relationships/hyperlink" Target="https://drive.google.com/open?id=1IHFVVQEpXm7GmJyi1NoO5KqbdkKt895Y" TargetMode="External"/><Relationship Id="rId1518" Type="http://schemas.openxmlformats.org/officeDocument/2006/relationships/hyperlink" Target="https://drive.google.com/open?id=1nN4TW_mjfjmW2KGhDtutGbI0fFHaCSg7" TargetMode="External"/><Relationship Id="rId2916" Type="http://schemas.openxmlformats.org/officeDocument/2006/relationships/hyperlink" Target="https://docs.google.com/forms/d/e/1FAIpQLSeEYwFnViiqk1AbexVe1VDR73UApmeuvfn6Yr2vN8WXjwGu2Q/viewform?edit2=2_ABaOnuegOTX54IJt1oepCXLmX2G15CCFgVd2YyaMXPThojKxhWDwz5skUnGlmLVKg3Zf6_8&amp;source=documentstudio&amp;timestamp=1769587522465" TargetMode="External"/><Relationship Id="rId1725" Type="http://schemas.openxmlformats.org/officeDocument/2006/relationships/hyperlink" Target="https://docs.google.com/forms/d/e/1FAIpQLSeEYwFnViiqk1AbexVe1VDR73UApmeuvfn6Yr2vN8WXjwGu2Q/viewform?edit2=2_ABaOnufM0wto9bclkDOaD0LOeVvtV6R42fyLrQiFUsOyEmlwdfWZ3YbFrw0wJs4IlBrB-QQ&amp;source=documentstudio&amp;timestamp=1741341253758" TargetMode="External"/><Relationship Id="rId1932" Type="http://schemas.openxmlformats.org/officeDocument/2006/relationships/hyperlink" Target="https://docs.google.com/forms/d/e/1FAIpQLSeEYwFnViiqk1AbexVe1VDR73UApmeuvfn6Yr2vN8WXjwGu2Q/viewform?edit2=2_ABaOnucc-ErpaOhlEiztyWbKOe5qXtLMTlPCnxfAtKpReCq37HmVm0mQNJexxq21NhuVSWg&amp;source=documentstudio&amp;timestamp=1745542513857" TargetMode="External"/><Relationship Id="rId17" Type="http://schemas.openxmlformats.org/officeDocument/2006/relationships/hyperlink" Target="https://drive.google.com/open?id=135J4AmpjPXB-8oWtJAEn_ZHcWlPv-Po1" TargetMode="External"/><Relationship Id="rId2194" Type="http://schemas.openxmlformats.org/officeDocument/2006/relationships/hyperlink" Target="https://drive.google.com/open?id=1jCBqICPl6S-iWjFDR3_VyDdYKhsxZ4Ve" TargetMode="External"/><Relationship Id="rId166" Type="http://schemas.openxmlformats.org/officeDocument/2006/relationships/hyperlink" Target="https://drive.google.com/open?id=10ADnbS9hUnq2VkBsGPRELVy41VJD4qRA" TargetMode="External"/><Relationship Id="rId373" Type="http://schemas.openxmlformats.org/officeDocument/2006/relationships/hyperlink" Target="https://drive.google.com/open?id=19SrQ0mE6-FsF-aWuFZu0YS3W92ozUery" TargetMode="External"/><Relationship Id="rId580" Type="http://schemas.openxmlformats.org/officeDocument/2006/relationships/hyperlink" Target="https://drive.google.com/open?id=1WIzqr5-vyLOJpSoiyD0jYJd1EoHLPuFo" TargetMode="External"/><Relationship Id="rId2054" Type="http://schemas.openxmlformats.org/officeDocument/2006/relationships/hyperlink" Target="https://drive.google.com/open?id=1CFjWhWtzzjl1DBkCI55lOLzLQf2Thtr5" TargetMode="External"/><Relationship Id="rId2261" Type="http://schemas.openxmlformats.org/officeDocument/2006/relationships/hyperlink" Target="https://docs.google.com/forms/d/e/1FAIpQLSeEYwFnViiqk1AbexVe1VDR73UApmeuvfn6Yr2vN8WXjwGu2Q/viewform?edit2=2_ABaOnudVKxu3n77dk31hiAjYybAb1z96JBv_zn-tEixaWTNYyA4g-vl5-NmJ5MOMcVuMO0o&amp;source=documentstudio&amp;timestamp=1757401776778" TargetMode="External"/><Relationship Id="rId2499" Type="http://schemas.openxmlformats.org/officeDocument/2006/relationships/hyperlink" Target="https://docs.google.com/forms/d/e/1FAIpQLSeEYwFnViiqk1AbexVe1VDR73UApmeuvfn6Yr2vN8WXjwGu2Q/viewform?edit2=2_ABaOnuenZWtVYMPggyU8uFz5RF7GHOhZU8DrmKiEXJApXlrqf5GF_g8Q2w1hVl1W7Kj0PSY&amp;source=documentstudio&amp;timestamp=1768443320579" TargetMode="External"/><Relationship Id="rId1" Type="http://schemas.openxmlformats.org/officeDocument/2006/relationships/hyperlink" Target="https://drive.google.com/open?id=1OQ6zqAevW7iM2tKB7yvfIlycA08N1gJ0" TargetMode="External"/><Relationship Id="rId233" Type="http://schemas.openxmlformats.org/officeDocument/2006/relationships/hyperlink" Target="https://drive.google.com/open?id=1GIh0rs6pThDzzPW6xd2Iy9152rP5ROwB" TargetMode="External"/><Relationship Id="rId440" Type="http://schemas.openxmlformats.org/officeDocument/2006/relationships/hyperlink" Target="https://drive.google.com/open?id=1uHkriPVQFeHewN6VDCR3XAmlqO9vxNCz" TargetMode="External"/><Relationship Id="rId678" Type="http://schemas.openxmlformats.org/officeDocument/2006/relationships/hyperlink" Target="https://drive.google.com/open?id=1LkWiIFeKBXl9Ty_4fRkrmXH02jcFb5t9" TargetMode="External"/><Relationship Id="rId885" Type="http://schemas.openxmlformats.org/officeDocument/2006/relationships/hyperlink" Target="https://docs.google.com/forms/d/e/1FAIpQLSeEYwFnViiqk1AbexVe1VDR73UApmeuvfn6Yr2vN8WXjwGu2Q/viewform?edit2=2_ABaOnudIzj1X25gsTShrDZxDa3mp74o3Vxu2okfbuqgG2Fk4xHAYaOx9lTb75qSZaiVpKuI&amp;source=documentstudio&amp;timestamp=1720490598653" TargetMode="External"/><Relationship Id="rId1070" Type="http://schemas.openxmlformats.org/officeDocument/2006/relationships/hyperlink" Target="https://drive.google.com/open?id=1_VvTrl7Paghd2hNuwJrtHgzYdY_6K4fD" TargetMode="External"/><Relationship Id="rId2121" Type="http://schemas.openxmlformats.org/officeDocument/2006/relationships/hyperlink" Target="https://docs.google.com/forms/d/e/1FAIpQLSeEYwFnViiqk1AbexVe1VDR73UApmeuvfn6Yr2vN8WXjwGu2Q/viewform?edit2=2_ABaOnuc2SHyrDmDUyC3nAcUcc2h2V031Zu_5xKbmKkjShyoiK-IqUllGLannBeTs-bCN9oA&amp;source=documentstudio&amp;timestamp=1748918942088" TargetMode="External"/><Relationship Id="rId2359" Type="http://schemas.openxmlformats.org/officeDocument/2006/relationships/hyperlink" Target="https://docs.google.com/forms/d/e/1FAIpQLSeEYwFnViiqk1AbexVe1VDR73UApmeuvfn6Yr2vN8WXjwGu2Q/viewform?edit2=2_ABaOnue8szYrZIJEoN6bXF_zu6caFc9RGXf6MaVywFWN11kijklgW__L3j4YOcqshXEuhFk&amp;source=documentstudio&amp;timestamp=1768378452105" TargetMode="External"/><Relationship Id="rId2566" Type="http://schemas.openxmlformats.org/officeDocument/2006/relationships/hyperlink" Target="https://drive.google.com/open?id=1d4tTQoQBAgCaiX4341FvqG0ggb0TESV3" TargetMode="External"/><Relationship Id="rId2773" Type="http://schemas.openxmlformats.org/officeDocument/2006/relationships/hyperlink" Target="https://docs.google.com/forms/d/e/1FAIpQLSeEYwFnViiqk1AbexVe1VDR73UApmeuvfn6Yr2vN8WXjwGu2Q/viewform?edit2=2_ABaOnueXBvA4dMbVHbmGDFQr4bBuu7qKz_yq5NEVnWgX0bpv1N9kwykTl5I2dSBcYEXeM5s&amp;source=documentstudio&amp;timestamp=1768960175027" TargetMode="External"/><Relationship Id="rId300" Type="http://schemas.openxmlformats.org/officeDocument/2006/relationships/hyperlink" Target="https://drive.google.com/open?id=1QtY5-TtLqiajLgShRFpPjVeNzHLrXVyl" TargetMode="External"/><Relationship Id="rId538" Type="http://schemas.openxmlformats.org/officeDocument/2006/relationships/hyperlink" Target="https://drive.google.com/open?id=13U3yexyjdu_WMQdjfpJh5iv87vHe_0Al" TargetMode="External"/><Relationship Id="rId745" Type="http://schemas.openxmlformats.org/officeDocument/2006/relationships/hyperlink" Target="https://docs.google.com/forms/d/e/1FAIpQLSeEYwFnViiqk1AbexVe1VDR73UApmeuvfn6Yr2vN8WXjwGu2Q/viewform?edit2=2_ABaOnueadZRrW3oURCAlKEfZh5mCkE_W6Nxv-sUQvWe5H7KBtN4GanpJzQ-L8ELh7dWHMXc&amp;source=documentstudio&amp;timestamp=1718069253785" TargetMode="External"/><Relationship Id="rId952" Type="http://schemas.openxmlformats.org/officeDocument/2006/relationships/hyperlink" Target="https://drive.google.com/open?id=1J-w9RV9dE8Sr0FPoVDEA9DjoCLfYmgZX" TargetMode="External"/><Relationship Id="rId1168" Type="http://schemas.openxmlformats.org/officeDocument/2006/relationships/hyperlink" Target="https://drive.google.com/open?id=1muoPJJs9W6TBL46ytYgz9MjyEAF_pCzg" TargetMode="External"/><Relationship Id="rId1375" Type="http://schemas.openxmlformats.org/officeDocument/2006/relationships/hyperlink" Target="https://docs.google.com/forms/d/e/1FAIpQLSeEYwFnViiqk1AbexVe1VDR73UApmeuvfn6Yr2vN8WXjwGu2Q/viewform?edit2=2_ABaOnue6cPMtKTlo3wyXrN4TgS2q0tzlup0zrf8_Fd8jWiGvbTSiXJlzz73vB8xJPTdLbCM&amp;source=documentstudio&amp;timestamp=1736389220133" TargetMode="External"/><Relationship Id="rId1582" Type="http://schemas.openxmlformats.org/officeDocument/2006/relationships/hyperlink" Target="https://drive.google.com/open?id=1qqrDJ4Xzduz5qcpib0d7GiPlHN2t6VJs" TargetMode="External"/><Relationship Id="rId2219" Type="http://schemas.openxmlformats.org/officeDocument/2006/relationships/hyperlink" Target="https://docs.google.com/forms/d/e/1FAIpQLSeEYwFnViiqk1AbexVe1VDR73UApmeuvfn6Yr2vN8WXjwGu2Q/viewform?edit2=2_ABaOnud85mb3-8XBRzJhHoK-Oa9jrBfvp3QMSPGEJMn1J09DflC8-epTVKN6OkP8vrD_AZE&amp;source=documentstudio&amp;timestamp=1752289227582" TargetMode="External"/><Relationship Id="rId2426" Type="http://schemas.openxmlformats.org/officeDocument/2006/relationships/hyperlink" Target="https://drive.google.com/open?id=1pzLsnVwdn-jWhsGGuAyYt6wNa8xpTC7Z" TargetMode="External"/><Relationship Id="rId2633" Type="http://schemas.openxmlformats.org/officeDocument/2006/relationships/hyperlink" Target="https://docs.google.com/forms/d/e/1FAIpQLSeEYwFnViiqk1AbexVe1VDR73UApmeuvfn6Yr2vN8WXjwGu2Q/viewform?edit2=2_ABaOnucNIiaowvHcTbhFUX05jcTEBYqWsr7IbwRm_NbukSTTD24CsOUp21bKb1PqoCJWDHw&amp;source=documentstudio&amp;timestamp=1768785674135" TargetMode="External"/><Relationship Id="rId81" Type="http://schemas.openxmlformats.org/officeDocument/2006/relationships/hyperlink" Target="https://drive.google.com/open?id=1eIHssqniJDdYsOA9uq7ALj92jXfGkiZP" TargetMode="External"/><Relationship Id="rId605" Type="http://schemas.openxmlformats.org/officeDocument/2006/relationships/hyperlink" Target="https://drive.google.com/open?id=1OEpC0TK672lFPcruM8IFWFBqbwNPyRGt" TargetMode="External"/><Relationship Id="rId812" Type="http://schemas.openxmlformats.org/officeDocument/2006/relationships/hyperlink" Target="https://drive.google.com/open?id=1eFAX8HkUmvXEzYNFBHw6jPH9A0mz2gUD" TargetMode="External"/><Relationship Id="rId1028" Type="http://schemas.openxmlformats.org/officeDocument/2006/relationships/hyperlink" Target="https://drive.google.com/open?id=1GS6Z1nNelkT68AkFP5SPlrFymisIj6pD" TargetMode="External"/><Relationship Id="rId1235" Type="http://schemas.openxmlformats.org/officeDocument/2006/relationships/hyperlink" Target="https://docs.google.com/forms/d/e/1FAIpQLSeEYwFnViiqk1AbexVe1VDR73UApmeuvfn6Yr2vN8WXjwGu2Q/viewform?edit2=2_ABaOnufHUzdmzfmvtzcvD5XJs5KTuS2-Y6MHkFyF-NcF0a6Eqzaexc2B3ynmWscls294Nqs&amp;source=documentstudio&amp;timestamp=1731639386229" TargetMode="External"/><Relationship Id="rId1442" Type="http://schemas.openxmlformats.org/officeDocument/2006/relationships/hyperlink" Target="https://drive.google.com/open?id=1VAmDDJIIae_8LCryGRlrJnisawlwRs0F" TargetMode="External"/><Relationship Id="rId1887" Type="http://schemas.openxmlformats.org/officeDocument/2006/relationships/hyperlink" Target="https://drive.google.com/open?id=1rOAUFmHX3RaWXuzhbMrurnffk6dt0XUP" TargetMode="External"/><Relationship Id="rId2840" Type="http://schemas.openxmlformats.org/officeDocument/2006/relationships/hyperlink" Target="https://drive.google.com/open?id=1enudDRGUIvl-OENalv3Ye-xOxfPGSynp" TargetMode="External"/><Relationship Id="rId2938" Type="http://schemas.openxmlformats.org/officeDocument/2006/relationships/hyperlink" Target="https://docs.google.com/forms/d/e/1FAIpQLSeEYwFnViiqk1AbexVe1VDR73UApmeuvfn6Yr2vN8WXjwGu2Q/viewform?edit2=2_ABaOnufxehgHJCVVnX3-gucBNwP6MmyxoRHO_quidoOj7WRRRiHigHr_N6j_uHKRUz0yHp0&amp;source=documentstudio&amp;timestamp=1769589504514" TargetMode="External"/><Relationship Id="rId1302" Type="http://schemas.openxmlformats.org/officeDocument/2006/relationships/hyperlink" Target="https://drive.google.com/open?id=1TWs_u3Qrxt7Z4JxqscBBk8UMak8X3p6K" TargetMode="External"/><Relationship Id="rId1747" Type="http://schemas.openxmlformats.org/officeDocument/2006/relationships/hyperlink" Target="https://drive.google.com/open?id=1zvh1pr-R9PSgrCwexRKOk3ev3htc8qSC" TargetMode="External"/><Relationship Id="rId1954" Type="http://schemas.openxmlformats.org/officeDocument/2006/relationships/hyperlink" Target="https://docs.google.com/forms/d/e/1FAIpQLSeEYwFnViiqk1AbexVe1VDR73UApmeuvfn6Yr2vN8WXjwGu2Q/viewform?edit2=2_ABaOnufy_UHpsyLvVLszvNmARymZm0t7b3klRt1HPvUwt7Nd_l7y18iZnqg-5E5mAfHagRs&amp;source=documentstudio&amp;timestamp=1746592928836" TargetMode="External"/><Relationship Id="rId2700" Type="http://schemas.openxmlformats.org/officeDocument/2006/relationships/hyperlink" Target="https://drive.google.com/open?id=14CQ1LPtGeNe4LReqhTIQ7-K_Qhn-i-t1" TargetMode="External"/><Relationship Id="rId39" Type="http://schemas.openxmlformats.org/officeDocument/2006/relationships/hyperlink" Target="https://drive.google.com/open?id=1mlGu3iHAlGF1A_k3QVy-dbvBg3Whx4rq" TargetMode="External"/><Relationship Id="rId1607" Type="http://schemas.openxmlformats.org/officeDocument/2006/relationships/hyperlink" Target="https://docs.google.com/forms/d/e/1FAIpQLSeEYwFnViiqk1AbexVe1VDR73UApmeuvfn6Yr2vN8WXjwGu2Q/viewform?edit2=2_ABaOnucKsWdtFKXLgwNzl39cG2dc7Sox69kAN_IJZw2Idf5Rt6IKp21lx7Sw54sAOuc6GHk&amp;source=documentstudio&amp;timestamp=1739329611453" TargetMode="External"/><Relationship Id="rId1814" Type="http://schemas.openxmlformats.org/officeDocument/2006/relationships/hyperlink" Target="https://docs.google.com/forms/d/e/1FAIpQLSeEYwFnViiqk1AbexVe1VDR73UApmeuvfn6Yr2vN8WXjwGu2Q/viewform?edit2=2_ABaOnueL1qyweYxewDQt4yuxLzdUh8ZLfdAzZ066cTxBg4BQRhPPiwSJsL_Clr8pvh3Je40&amp;source=documentstudio&amp;timestamp=1741750900831" TargetMode="External"/><Relationship Id="rId188" Type="http://schemas.openxmlformats.org/officeDocument/2006/relationships/hyperlink" Target="https://drive.google.com/open?id=1sg_ob1sSGO6CPKtwuVOwgAxg_pUeN-7a" TargetMode="External"/><Relationship Id="rId395" Type="http://schemas.openxmlformats.org/officeDocument/2006/relationships/hyperlink" Target="https://drive.google.com/open?id=13p4gMeMN_UsqoV6NwpFz9DaTGECcTAbT" TargetMode="External"/><Relationship Id="rId2076" Type="http://schemas.openxmlformats.org/officeDocument/2006/relationships/hyperlink" Target="https://drive.google.com/open?id=1ZOoeifIQ25BnotoUXsTvloUnJuz8CLhV" TargetMode="External"/><Relationship Id="rId2283" Type="http://schemas.openxmlformats.org/officeDocument/2006/relationships/hyperlink" Target="https://docs.google.com/forms/d/e/1FAIpQLSeEYwFnViiqk1AbexVe1VDR73UApmeuvfn6Yr2vN8WXjwGu2Q/viewform?edit2=2_ABaOnufRw7FkkiTWjkYxfMlYywnH-x4G3RQr6QstIWMKh6aRm3txlQYM73lM-g2wCASXqJQ&amp;source=documentstudio&amp;timestamp=1757475779840" TargetMode="External"/><Relationship Id="rId2490" Type="http://schemas.openxmlformats.org/officeDocument/2006/relationships/hyperlink" Target="https://drive.google.com/open?id=1rnBxqpK6VvgdNMNAovkdPlZvmOxsogKN" TargetMode="External"/><Relationship Id="rId2588" Type="http://schemas.openxmlformats.org/officeDocument/2006/relationships/hyperlink" Target="https://drive.google.com/open?id=12XaEhNphhS1Qb6lIUTK0wfmgVWUmaIES" TargetMode="External"/><Relationship Id="rId255" Type="http://schemas.openxmlformats.org/officeDocument/2006/relationships/hyperlink" Target="https://drive.google.com/open?id=1Fl85yedjwW-KbojwD-9bmG-zmC2M6ynd" TargetMode="External"/><Relationship Id="rId462" Type="http://schemas.openxmlformats.org/officeDocument/2006/relationships/hyperlink" Target="https://drive.google.com/open?id=1oA-6goId2wz7QiiMxP0pbu-_A_UPAz2i" TargetMode="External"/><Relationship Id="rId1092" Type="http://schemas.openxmlformats.org/officeDocument/2006/relationships/hyperlink" Target="https://drive.google.com/open?id=1PyZb1V1SPfEFJ34ylLxxLdZKwFm0U0cx" TargetMode="External"/><Relationship Id="rId1397" Type="http://schemas.openxmlformats.org/officeDocument/2006/relationships/hyperlink" Target="https://docs.google.com/forms/d/e/1FAIpQLSeEYwFnViiqk1AbexVe1VDR73UApmeuvfn6Yr2vN8WXjwGu2Q/viewform?edit2=2_ABaOnucuPQtACu86zbILPTYSd75zuYDd6uP00bGyifzzqUgLE667CxzYFX8okOr2NnYhrRk&amp;source=documentstudio&amp;timestamp=1737333026801" TargetMode="External"/><Relationship Id="rId2143" Type="http://schemas.openxmlformats.org/officeDocument/2006/relationships/hyperlink" Target="https://docs.google.com/forms/d/e/1FAIpQLSeEYwFnViiqk1AbexVe1VDR73UApmeuvfn6Yr2vN8WXjwGu2Q/viewform?edit2=2_ABaOnufySUYvQGKN2NZ4-Cl9ev4Pt5zIzFq7k4x5izptErBcExRnhjbFJguwqq8VuC01Cq0&amp;source=documentstudio&amp;timestamp=1749024136952" TargetMode="External"/><Relationship Id="rId2350" Type="http://schemas.openxmlformats.org/officeDocument/2006/relationships/hyperlink" Target="https://drive.google.com/open?id=16xsBF04Hhh3HQ7bDGpa-orZqvRARgjsn" TargetMode="External"/><Relationship Id="rId2795" Type="http://schemas.openxmlformats.org/officeDocument/2006/relationships/hyperlink" Target="https://docs.google.com/forms/d/e/1FAIpQLSeEYwFnViiqk1AbexVe1VDR73UApmeuvfn6Yr2vN8WXjwGu2Q/viewform?edit2=2_ABaOnudWTYgdmKkYtrMgtb85Cd2R03vA9huAG27Oj-TM5O6ggXzkz7NlDCXDueWgBX9km-o&amp;source=documentstudio&amp;timestamp=1769391643474" TargetMode="External"/><Relationship Id="rId115" Type="http://schemas.openxmlformats.org/officeDocument/2006/relationships/hyperlink" Target="https://drive.google.com/open?id=1iulmjk-bgK-EQQar0BEoJneGC4U1OaZs" TargetMode="External"/><Relationship Id="rId322" Type="http://schemas.openxmlformats.org/officeDocument/2006/relationships/hyperlink" Target="https://drive.google.com/open?id=1Jizn_qGkwrj702x05WDW96nIWmd05fQA" TargetMode="External"/><Relationship Id="rId767" Type="http://schemas.openxmlformats.org/officeDocument/2006/relationships/hyperlink" Target="https://docs.google.com/forms/d/e/1FAIpQLSeEYwFnViiqk1AbexVe1VDR73UApmeuvfn6Yr2vN8WXjwGu2Q/viewform?edit2=2_ABaOnucMoD1MgjjCCKghctyac8BS9f52VlOIzI8USGJk7stqg6PllBlCRhL6PE_Ruaxtac4&amp;source=documentstudio&amp;timestamp=1718176484809" TargetMode="External"/><Relationship Id="rId974" Type="http://schemas.openxmlformats.org/officeDocument/2006/relationships/hyperlink" Target="https://drive.google.com/open?id=1cT7Ptyn84K6I7MCJvpx2WntjDar7LugE" TargetMode="External"/><Relationship Id="rId2003" Type="http://schemas.openxmlformats.org/officeDocument/2006/relationships/hyperlink" Target="https://docs.google.com/forms/d/e/1FAIpQLSeEYwFnViiqk1AbexVe1VDR73UApmeuvfn6Yr2vN8WXjwGu2Q/viewform?edit2=2_ABaOnud1hckpWqt1NitMm-BuX3T237n0uUjrXKIdDemYYSLnvKdgIAy6QmHo5LuKlWfAsM4&amp;source=documentstudio&amp;timestamp=1748831332311" TargetMode="External"/><Relationship Id="rId2210" Type="http://schemas.openxmlformats.org/officeDocument/2006/relationships/hyperlink" Target="https://drive.google.com/open?id=13n5HRJkD2ME7Dr-1dJzjO1VDDonNT6Zp" TargetMode="External"/><Relationship Id="rId2448" Type="http://schemas.openxmlformats.org/officeDocument/2006/relationships/hyperlink" Target="https://drive.google.com/open?id=1JMtcTdK5ccnVqHsk_ZEGP7bsLtUnS274" TargetMode="External"/><Relationship Id="rId2655" Type="http://schemas.openxmlformats.org/officeDocument/2006/relationships/hyperlink" Target="https://docs.google.com/forms/d/e/1FAIpQLSeEYwFnViiqk1AbexVe1VDR73UApmeuvfn6Yr2vN8WXjwGu2Q/viewform?edit2=2_ABaOnud_tKv7LJypsnKQj49CBqD4zK76m_my3p1Xo-bXKM02g4YOfd-NDs5ZJhXgVq3BAnc&amp;source=documentstudio&amp;timestamp=1768788064268" TargetMode="External"/><Relationship Id="rId2862" Type="http://schemas.openxmlformats.org/officeDocument/2006/relationships/hyperlink" Target="https://drive.google.com/open?id=1uUQGi90w1WeZldOzFzQxyVSWS0Yo5Arv" TargetMode="External"/><Relationship Id="rId627" Type="http://schemas.openxmlformats.org/officeDocument/2006/relationships/hyperlink" Target="https://docs.google.com/forms/d/e/1FAIpQLSeEYwFnViiqk1AbexVe1VDR73UApmeuvfn6Yr2vN8WXjwGu2Q/viewform?edit2=2_ABaOnudLs7rXiLFVtSHnuWvHhF9zXZbDcSsGju8Cpg1DoXGfrMx3QpGm1OU8vrM1fnxJrVE&amp;source=documentstudio&amp;timestamp=1715904985006" TargetMode="External"/><Relationship Id="rId834" Type="http://schemas.openxmlformats.org/officeDocument/2006/relationships/hyperlink" Target="https://drive.google.com/open?id=1JuzL_cnR2T10u_oi_k4bQ-PWk_VQg4Cp" TargetMode="External"/><Relationship Id="rId1257" Type="http://schemas.openxmlformats.org/officeDocument/2006/relationships/hyperlink" Target="https://docs.google.com/forms/d/e/1FAIpQLSeEYwFnViiqk1AbexVe1VDR73UApmeuvfn6Yr2vN8WXjwGu2Q/viewform?edit2=2_ABaOnufIYOx6nNP-4Qddoa-6xor7UutasPxitdQjaHx6OTVZI4gtbKok455j05qIRo33iDk&amp;source=documentstudio&amp;timestamp=1733372023718" TargetMode="External"/><Relationship Id="rId1464" Type="http://schemas.openxmlformats.org/officeDocument/2006/relationships/hyperlink" Target="https://drive.google.com/open?id=13sUkkuHhs1NW1mMiEnQ0aSA0sWqjVST4" TargetMode="External"/><Relationship Id="rId1671" Type="http://schemas.openxmlformats.org/officeDocument/2006/relationships/hyperlink" Target="https://docs.google.com/forms/d/e/1FAIpQLSeEYwFnViiqk1AbexVe1VDR73UApmeuvfn6Yr2vN8WXjwGu2Q/viewform?edit2=2_ABaOnufAtHW1BwULNIQ3rEnruWu2CpTbYa26H96Syg-M38sfgi3EL-ndSCxXR85LFZ02M4c&amp;source=documentstudio&amp;timestamp=1741334503717" TargetMode="External"/><Relationship Id="rId2308" Type="http://schemas.openxmlformats.org/officeDocument/2006/relationships/hyperlink" Target="https://drive.google.com/open?id=1gBTSSxNpVVhLleyzCV2Q3YgsVoEzqBig" TargetMode="External"/><Relationship Id="rId2515" Type="http://schemas.openxmlformats.org/officeDocument/2006/relationships/hyperlink" Target="https://docs.google.com/forms/d/e/1FAIpQLSeEYwFnViiqk1AbexVe1VDR73UApmeuvfn6Yr2vN8WXjwGu2Q/viewform?edit2=2_ABaOnudfyp9MBRILQShMVd7pVryRmGFLFu3BGmswl-Xn5fHX-GP4cc_6He1CCZeDXZyyo1Y&amp;source=documentstudio&amp;timestamp=1768444209832" TargetMode="External"/><Relationship Id="rId2722" Type="http://schemas.openxmlformats.org/officeDocument/2006/relationships/hyperlink" Target="https://drive.google.com/open?id=1eww8VQUX8SMy7mSFzZyfdbVzCW1XJGWn" TargetMode="External"/><Relationship Id="rId901" Type="http://schemas.openxmlformats.org/officeDocument/2006/relationships/hyperlink" Target="https://docs.google.com/forms/d/e/1FAIpQLSeEYwFnViiqk1AbexVe1VDR73UApmeuvfn6Yr2vN8WXjwGu2Q/viewform?edit2=2_ABaOnufXHxrK2A5VbWJTSLbxK27m7bwEMm__A2jB7mj8GgaiXDBv2Mj6SouE_A6z0iyQzuo&amp;source=documentstudio&amp;timestamp=1720776380271" TargetMode="External"/><Relationship Id="rId1117" Type="http://schemas.openxmlformats.org/officeDocument/2006/relationships/hyperlink" Target="https://docs.google.com/forms/d/e/1FAIpQLSeEYwFnViiqk1AbexVe1VDR73UApmeuvfn6Yr2vN8WXjwGu2Q/viewform?edit2=2_ABaOnufJx8nEvBYJ_l678UDHd3oQbDKgKs79FZh3h9lm4nP-hBY8MnIO2JrfylMbB-zIl08&amp;source=documentstudio&amp;timestamp=1727832462995" TargetMode="External"/><Relationship Id="rId1324" Type="http://schemas.openxmlformats.org/officeDocument/2006/relationships/hyperlink" Target="https://drive.google.com/open?id=1YAwiLanoMGbX7J43i-1_RFLoWhiP0M6B" TargetMode="External"/><Relationship Id="rId1531" Type="http://schemas.openxmlformats.org/officeDocument/2006/relationships/hyperlink" Target="https://docs.google.com/forms/d/e/1FAIpQLSeEYwFnViiqk1AbexVe1VDR73UApmeuvfn6Yr2vN8WXjwGu2Q/viewform?edit2=2_ABaOnudlwga7MXSUa-1OljFMWcOvmsxGpokgKINleCEmVjY3Ye7Zb66x_VC9PhZNbTnCPfk&amp;source=documentstudio&amp;timestamp=1739328156868" TargetMode="External"/><Relationship Id="rId1769" Type="http://schemas.openxmlformats.org/officeDocument/2006/relationships/hyperlink" Target="https://drive.google.com/open?id=1u5hfJh4Ks7rFNVcinS3f-RmHffMzFngB" TargetMode="External"/><Relationship Id="rId1976" Type="http://schemas.openxmlformats.org/officeDocument/2006/relationships/hyperlink" Target="https://drive.google.com/open?id=1lTlYPi8JVx3Szk1RM9cd61u-NfWdF6M3" TargetMode="External"/><Relationship Id="rId30" Type="http://schemas.openxmlformats.org/officeDocument/2006/relationships/hyperlink" Target="https://drive.google.com/open?id=1XhnBh1X2FQWi-Co2mff-4Wx4LGZ4pksB" TargetMode="External"/><Relationship Id="rId1629" Type="http://schemas.openxmlformats.org/officeDocument/2006/relationships/hyperlink" Target="https://docs.google.com/forms/d/e/1FAIpQLSeEYwFnViiqk1AbexVe1VDR73UApmeuvfn6Yr2vN8WXjwGu2Q/viewform?edit2=2_ABaOnud3WEL11qm0AEW1f2uJZ7PGWLd64p_hfts2aOl4tN7yjOIn5VrSbdfZBPgHcz10PW4&amp;source=documentstudio&amp;timestamp=1741332293164" TargetMode="External"/><Relationship Id="rId1836" Type="http://schemas.openxmlformats.org/officeDocument/2006/relationships/hyperlink" Target="https://docs.google.com/forms/d/e/1FAIpQLSeEYwFnViiqk1AbexVe1VDR73UApmeuvfn6Yr2vN8WXjwGu2Q/viewform?edit2=2_ABaOnufGb0F_XJ7yo43asCkWl4lwm07K0shRh28XaV_-tIvGd31cj2_KH7Oyk-WK87ll510&amp;source=documentstudio&amp;timestamp=1741924641680" TargetMode="External"/><Relationship Id="rId1903" Type="http://schemas.openxmlformats.org/officeDocument/2006/relationships/hyperlink" Target="https://drive.google.com/open?id=1pvLxhtw3xlXgnwWUGRyL9smWnqt4btqG" TargetMode="External"/><Relationship Id="rId2098" Type="http://schemas.openxmlformats.org/officeDocument/2006/relationships/hyperlink" Target="https://drive.google.com/open?id=1jdtJ4TgcfCcd-k9W_-NdrI1FooBoSYDt" TargetMode="External"/><Relationship Id="rId277" Type="http://schemas.openxmlformats.org/officeDocument/2006/relationships/hyperlink" Target="https://drive.google.com/open?id=1GVBx7_IVdvlUSn_iiQZBQ6iC85xxX5mF" TargetMode="External"/><Relationship Id="rId484" Type="http://schemas.openxmlformats.org/officeDocument/2006/relationships/hyperlink" Target="https://drive.google.com/open?id=1nwufKc0Db-IyRAJX1AruUCIR7rXTQa8t" TargetMode="External"/><Relationship Id="rId2165" Type="http://schemas.openxmlformats.org/officeDocument/2006/relationships/hyperlink" Target="https://docs.google.com/forms/d/e/1FAIpQLSeEYwFnViiqk1AbexVe1VDR73UApmeuvfn6Yr2vN8WXjwGu2Q/viewform?edit2=2_ABaOnucGi5-XgZkoqr8wO6E6KfKy9JkCJpneyoohrK9BjiYAvsZkx5P1-X-C0zzh1qpVN6s&amp;source=documentstudio&amp;timestamp=1750147125982" TargetMode="External"/><Relationship Id="rId137" Type="http://schemas.openxmlformats.org/officeDocument/2006/relationships/hyperlink" Target="https://drive.google.com/open?id=1chTzVN_29O1XzfY9EXpkCy4n4Lp-PwOi" TargetMode="External"/><Relationship Id="rId344" Type="http://schemas.openxmlformats.org/officeDocument/2006/relationships/hyperlink" Target="https://drive.google.com/open?id=1LVqu_cywWgIyhFJWuFPoYrGc_OyekY0o" TargetMode="External"/><Relationship Id="rId691" Type="http://schemas.openxmlformats.org/officeDocument/2006/relationships/hyperlink" Target="https://docs.google.com/forms/d/e/1FAIpQLSeEYwFnViiqk1AbexVe1VDR73UApmeuvfn6Yr2vN8WXjwGu2Q/viewform?edit2=2_ABaOnucVC3fG9dMId9UFGIYXqNh1E3-mpClw2Vc-_uwwC8fXhXJEPGlNMEeXbMu4nv_5K24&amp;source=documentstudio&amp;timestamp=1717465702786" TargetMode="External"/><Relationship Id="rId789" Type="http://schemas.openxmlformats.org/officeDocument/2006/relationships/hyperlink" Target="https://docs.google.com/forms/d/e/1FAIpQLSeEYwFnViiqk1AbexVe1VDR73UApmeuvfn6Yr2vN8WXjwGu2Q/viewform?edit2=2_ABaOnuf11fiV4XT1wLZqeHOG_bsxj5ReUzxXQTmeF4njjWpAtHJwrFOhvZeFViC3XBNZelc&amp;source=documentstudio&amp;timestamp=1718180665739" TargetMode="External"/><Relationship Id="rId996" Type="http://schemas.openxmlformats.org/officeDocument/2006/relationships/hyperlink" Target="https://drive.google.com/open?id=1JY4NVkEOhZqixkho-xTkYI862tVpnSuG" TargetMode="External"/><Relationship Id="rId2025" Type="http://schemas.openxmlformats.org/officeDocument/2006/relationships/hyperlink" Target="https://docs.google.com/forms/d/e/1FAIpQLSeEYwFnViiqk1AbexVe1VDR73UApmeuvfn6Yr2vN8WXjwGu2Q/viewform?edit2=2_ABaOnud059l1hBSjKDPccGVxtE0vIk6yU5mBmp7jG6BkjzSderVEiASsjQqn9f4_CZgNviA&amp;source=documentstudio&amp;timestamp=1748831735798" TargetMode="External"/><Relationship Id="rId2372" Type="http://schemas.openxmlformats.org/officeDocument/2006/relationships/hyperlink" Target="https://drive.google.com/open?id=18BwTdlb-Yr67Asum5hu_WDEqexV04f9F" TargetMode="External"/><Relationship Id="rId2677" Type="http://schemas.openxmlformats.org/officeDocument/2006/relationships/hyperlink" Target="https://docs.google.com/forms/d/e/1FAIpQLSeEYwFnViiqk1AbexVe1VDR73UApmeuvfn6Yr2vN8WXjwGu2Q/viewform?edit2=2_ABaOnufAZG7y0a3r648et0UrAuE-ayvNaloX41nhJfIWh1Tq-jrNcK6uFk2JNrnDK4YCuqU&amp;source=documentstudio&amp;timestamp=1768791578710" TargetMode="External"/><Relationship Id="rId2884" Type="http://schemas.openxmlformats.org/officeDocument/2006/relationships/hyperlink" Target="https://docs.google.com/forms/d/e/1FAIpQLSeEYwFnViiqk1AbexVe1VDR73UApmeuvfn6Yr2vN8WXjwGu2Q/viewform?edit2=2_ABaOnucj7xwAJK4zmFZjoKyQso_SpUlju2_iCV0qqnAvVuGn2NQOK4TJWWpdysEZlDZ93Ds&amp;source=documentstudio&amp;timestamp=1769484299988" TargetMode="External"/><Relationship Id="rId551" Type="http://schemas.openxmlformats.org/officeDocument/2006/relationships/hyperlink" Target="https://drive.google.com/open?id=1VSUKP6sP8OGhye7GpansVkYVH3xf6TZz" TargetMode="External"/><Relationship Id="rId649" Type="http://schemas.openxmlformats.org/officeDocument/2006/relationships/hyperlink" Target="https://docs.google.com/forms/d/e/1FAIpQLSeEYwFnViiqk1AbexVe1VDR73UApmeuvfn6Yr2vN8WXjwGu2Q/viewform?edit2=2_ABaOnucFTbVdBaIpKXPfXZKd4aZR-MCW1XgTjoeEJDi26E2cSJ5BFOYMUioFdQH3ZXVCELw&amp;source=documentstudio&amp;timestamp=1717385293710" TargetMode="External"/><Relationship Id="rId856" Type="http://schemas.openxmlformats.org/officeDocument/2006/relationships/hyperlink" Target="https://drive.google.com/open?id=15ZmqEPGVJJSzZsKrWF7VOMsAQkqz1Y80" TargetMode="External"/><Relationship Id="rId1181" Type="http://schemas.openxmlformats.org/officeDocument/2006/relationships/hyperlink" Target="https://docs.google.com/forms/d/e/1FAIpQLSeEYwFnViiqk1AbexVe1VDR73UApmeuvfn6Yr2vN8WXjwGu2Q/viewform?edit2=2_ABaOnuexeC-DZCIOSagRFx-9Z122tSAR0mfPc9-6OKm1Mse5Jk53-ItxCrI6W6kL3SbafrI&amp;source=documentstudio&amp;timestamp=1730856687225" TargetMode="External"/><Relationship Id="rId1279" Type="http://schemas.openxmlformats.org/officeDocument/2006/relationships/hyperlink" Target="https://docs.google.com/forms/d/e/1FAIpQLSeEYwFnViiqk1AbexVe1VDR73UApmeuvfn6Yr2vN8WXjwGu2Q/viewform?edit2=2_ABaOnufzhw1WUGaOr64J1P9_5H9bRSnd7Yc-LRDNlDaZsPpjGWadoOLFdsa7T-0K1QN9Ys0&amp;source=documentstudio&amp;timestamp=1733476559405" TargetMode="External"/><Relationship Id="rId1486" Type="http://schemas.openxmlformats.org/officeDocument/2006/relationships/hyperlink" Target="https://drive.google.com/open?id=1NnHo_06l7B5h47Di9fnQb5zKkYiCNPtw" TargetMode="External"/><Relationship Id="rId2232" Type="http://schemas.openxmlformats.org/officeDocument/2006/relationships/hyperlink" Target="https://drive.google.com/open?id=12K3SDAI3YDzQN_kNmC6w9xmu1LUxeia0" TargetMode="External"/><Relationship Id="rId2537" Type="http://schemas.openxmlformats.org/officeDocument/2006/relationships/hyperlink" Target="https://docs.google.com/forms/d/e/1FAIpQLSeEYwFnViiqk1AbexVe1VDR73UApmeuvfn6Yr2vN8WXjwGu2Q/viewform?edit2=2_ABaOnudxGNf50Qm6oz2ICCZZy4b7-YGTAjj1E8hgn1W97QorbFdHG9jZRpdy967AQ56Ke4g&amp;source=documentstudio&amp;timestamp=1768449566459" TargetMode="External"/><Relationship Id="rId204" Type="http://schemas.openxmlformats.org/officeDocument/2006/relationships/hyperlink" Target="https://drive.google.com/open?id=13uhsJiTZ5QxL6ndAcjB3pu7EncO3wKmR" TargetMode="External"/><Relationship Id="rId411" Type="http://schemas.openxmlformats.org/officeDocument/2006/relationships/hyperlink" Target="https://drive.google.com/open?id=1EgUKkHVcIEj5IUZCdX6PWrBCf8L1pM7K" TargetMode="External"/><Relationship Id="rId509" Type="http://schemas.openxmlformats.org/officeDocument/2006/relationships/hyperlink" Target="https://drive.google.com/open?id=1SjGxse9i-Y_4XH6PMqYKVWx5-9IsoLhr" TargetMode="External"/><Relationship Id="rId1041" Type="http://schemas.openxmlformats.org/officeDocument/2006/relationships/hyperlink" Target="https://docs.google.com/forms/d/e/1FAIpQLSeEYwFnViiqk1AbexVe1VDR73UApmeuvfn6Yr2vN8WXjwGu2Q/viewform?edit2=2_ABaOnueCNd0m37j7-x8uSyDExG8_erfsCRpd5Ij0J9wOOMu3FibF0Yptg0XqKuHL8pJWwKE&amp;source=documentstudio&amp;timestamp=1724211136122" TargetMode="External"/><Relationship Id="rId1139" Type="http://schemas.openxmlformats.org/officeDocument/2006/relationships/hyperlink" Target="https://docs.google.com/forms/d/e/1FAIpQLSeEYwFnViiqk1AbexVe1VDR73UApmeuvfn6Yr2vN8WXjwGu2Q/viewform?edit2=2_ABaOnucrYIggGWxIjmuS9ZYaKfw3b340yIStW2h4qhkZTv0kiXT7G0xLOn31WcCtgvtw18c&amp;source=documentstudio&amp;timestamp=1727920964267" TargetMode="External"/><Relationship Id="rId1346" Type="http://schemas.openxmlformats.org/officeDocument/2006/relationships/hyperlink" Target="https://drive.google.com/open?id=1tLcBIBRISGKb24HAw49qXhapetSqoA-A" TargetMode="External"/><Relationship Id="rId1693" Type="http://schemas.openxmlformats.org/officeDocument/2006/relationships/hyperlink" Target="https://drive.google.com/open?id=182pNVrrBxfT_EhiajZC6-kFBMGIKONt-" TargetMode="External"/><Relationship Id="rId1998" Type="http://schemas.openxmlformats.org/officeDocument/2006/relationships/hyperlink" Target="https://drive.google.com/open?id=1Po2-ntM_3WeAaSj1g-2aTGaFFNOoJpp9" TargetMode="External"/><Relationship Id="rId2744" Type="http://schemas.openxmlformats.org/officeDocument/2006/relationships/hyperlink" Target="https://drive.google.com/open?id=1RFb_i6TSoDJxupXoZpijfaadlSTj_X2V" TargetMode="External"/><Relationship Id="rId2951" Type="http://schemas.openxmlformats.org/officeDocument/2006/relationships/hyperlink" Target="https://drive.google.com/open?id=1S3aebVJsK7SlIWgA9hmtToeP5v0EnwUt" TargetMode="External"/><Relationship Id="rId716" Type="http://schemas.openxmlformats.org/officeDocument/2006/relationships/hyperlink" Target="https://drive.google.com/open?id=1nfw9nHLD2Y7VmlE43vdYUM3St8NgkfWt" TargetMode="External"/><Relationship Id="rId923" Type="http://schemas.openxmlformats.org/officeDocument/2006/relationships/hyperlink" Target="https://docs.google.com/forms/d/e/1FAIpQLSeEYwFnViiqk1AbexVe1VDR73UApmeuvfn6Yr2vN8WXjwGu2Q/viewform?edit2=2_ABaOnufqs2zpfsz0UUh26kha2ruxcWx8-umbj8vKU3-pO50AqqdPGFKLsc-UhXJaPkk3Ptk&amp;source=documentstudio&amp;timestamp=1721620107200" TargetMode="External"/><Relationship Id="rId1553" Type="http://schemas.openxmlformats.org/officeDocument/2006/relationships/hyperlink" Target="https://docs.google.com/forms/d/e/1FAIpQLSeEYwFnViiqk1AbexVe1VDR73UApmeuvfn6Yr2vN8WXjwGu2Q/viewform?edit2=2_ABaOnudxpGs31QhP_VwMjMXmz3o5jpPrgPocVajUhv0Frh0AVUuVjTVC-kcqJlzDy9VFCAs&amp;source=documentstudio&amp;timestamp=1739328866371" TargetMode="External"/><Relationship Id="rId1760" Type="http://schemas.openxmlformats.org/officeDocument/2006/relationships/hyperlink" Target="https://docs.google.com/forms/d/e/1FAIpQLSeEYwFnViiqk1AbexVe1VDR73UApmeuvfn6Yr2vN8WXjwGu2Q/viewform?edit2=2_ABaOnufoK8XYMmdB3WaDicoCbqz_7VVBQpE87bQML8g4LuWvNJWyGUl0sSaWPVPIHJc2hUs&amp;source=documentstudio&amp;timestamp=1741573360449" TargetMode="External"/><Relationship Id="rId1858" Type="http://schemas.openxmlformats.org/officeDocument/2006/relationships/hyperlink" Target="https://docs.google.com/forms/d/e/1FAIpQLSeEYwFnViiqk1AbexVe1VDR73UApmeuvfn6Yr2vN8WXjwGu2Q/viewform?edit2=2_ABaOnud5iO9BqPZQCZSWKaALmAx2FkXUHVBjsfFCS_vCSocW03zrm-GyS5EbhIXUOSoxXDI&amp;source=documentstudio&amp;timestamp=1742180003850" TargetMode="External"/><Relationship Id="rId2604" Type="http://schemas.openxmlformats.org/officeDocument/2006/relationships/hyperlink" Target="https://drive.google.com/open?id=1O724qnHATGTv9pqp6zZWfNAkkKzyuX0b" TargetMode="External"/><Relationship Id="rId2811" Type="http://schemas.openxmlformats.org/officeDocument/2006/relationships/hyperlink" Target="https://docs.google.com/forms/d/e/1FAIpQLSeEYwFnViiqk1AbexVe1VDR73UApmeuvfn6Yr2vN8WXjwGu2Q/viewform?edit2=2_ABaOnud2Ea_N5kMwFDcEdTnX6FfonNmeSSj6XgBQ65pMk1S5QkJJjlJHCPl1g8cchEHp23I&amp;source=documentstudio&amp;timestamp=1769393364270" TargetMode="External"/><Relationship Id="rId52" Type="http://schemas.openxmlformats.org/officeDocument/2006/relationships/hyperlink" Target="https://drive.google.com/open?id=1pRn_6UFYUJiD1K9fJo3DoarF6WMoNQF7" TargetMode="External"/><Relationship Id="rId1206" Type="http://schemas.openxmlformats.org/officeDocument/2006/relationships/hyperlink" Target="https://drive.google.com/open?id=1CeiCnEHDrFXPGhAslTWgXkL2IGaXVoKk" TargetMode="External"/><Relationship Id="rId1413" Type="http://schemas.openxmlformats.org/officeDocument/2006/relationships/hyperlink" Target="https://docs.google.com/forms/d/e/1FAIpQLSeEYwFnViiqk1AbexVe1VDR73UApmeuvfn6Yr2vN8WXjwGu2Q/viewform?edit2=2_ABaOnudkbHIhtNEavjLRTSX6FC5IlBWdeizCcDRMrJ7CnrWbeJSwgCfeb__bAdbuu2RQGMU&amp;source=documentstudio&amp;timestamp=1737446188164" TargetMode="External"/><Relationship Id="rId1620" Type="http://schemas.openxmlformats.org/officeDocument/2006/relationships/hyperlink" Target="https://drive.google.com/open?id=1rBXtT9_d1bZkUf4UXRK4V7V93FW3vJ2C" TargetMode="External"/><Relationship Id="rId2909" Type="http://schemas.openxmlformats.org/officeDocument/2006/relationships/hyperlink" Target="https://drive.google.com/open?id=17pvdkJcLxbbwdQmpB9NowAjMuPMvSzZR" TargetMode="External"/><Relationship Id="rId1718" Type="http://schemas.openxmlformats.org/officeDocument/2006/relationships/hyperlink" Target="https://drive.google.com/open?id=1aWXj60ySC9IXSQx1EJMYBlMw-gqrN-1d" TargetMode="External"/><Relationship Id="rId1925" Type="http://schemas.openxmlformats.org/officeDocument/2006/relationships/hyperlink" Target="https://drive.google.com/open?id=1Scb-JKIjxXd3Pj8aLx9WozC46R18VHvE" TargetMode="External"/><Relationship Id="rId299" Type="http://schemas.openxmlformats.org/officeDocument/2006/relationships/hyperlink" Target="https://drive.google.com/open?id=1Hhh1JuXo_Etnh4ApWfJfTT1Bha4NpPyH" TargetMode="External"/><Relationship Id="rId2187" Type="http://schemas.openxmlformats.org/officeDocument/2006/relationships/hyperlink" Target="https://docs.google.com/forms/d/e/1FAIpQLSeEYwFnViiqk1AbexVe1VDR73UApmeuvfn6Yr2vN8WXjwGu2Q/viewform?edit2=2_ABaOnufLOe_fX0Snczrst4WsxV9ZeUcygr6SronEtu_ym3WThfK5I8WCSY1-MIJgrTCifgs&amp;source=documentstudio&amp;timestamp=1750749541766" TargetMode="External"/><Relationship Id="rId2394" Type="http://schemas.openxmlformats.org/officeDocument/2006/relationships/hyperlink" Target="https://drive.google.com/open?id=1PA5ecrBmcV0ben6HqT3rulxDvA-oMxQG" TargetMode="External"/><Relationship Id="rId159" Type="http://schemas.openxmlformats.org/officeDocument/2006/relationships/hyperlink" Target="https://drive.google.com/open?id=12nxguvVHNFwj-uhRkbYtmOfkJA42TULb" TargetMode="External"/><Relationship Id="rId366" Type="http://schemas.openxmlformats.org/officeDocument/2006/relationships/hyperlink" Target="https://drive.google.com/open?id=1HDoPCPNxuFnGeWlXDIg_9xkEtNeEAbwD" TargetMode="External"/><Relationship Id="rId573" Type="http://schemas.openxmlformats.org/officeDocument/2006/relationships/hyperlink" Target="https://drive.google.com/open?id=1IViiWQMqkjKSOA-q7UJzwia7J4mZBI4a" TargetMode="External"/><Relationship Id="rId780" Type="http://schemas.openxmlformats.org/officeDocument/2006/relationships/hyperlink" Target="https://drive.google.com/open?id=1QbvlpN8MOPi7Umop2GYoEWH306cdcw6_" TargetMode="External"/><Relationship Id="rId2047" Type="http://schemas.openxmlformats.org/officeDocument/2006/relationships/hyperlink" Target="https://docs.google.com/forms/d/e/1FAIpQLSeEYwFnViiqk1AbexVe1VDR73UApmeuvfn6Yr2vN8WXjwGu2Q/viewform?edit2=2_ABaOnueoCEEYUIkA8dhP0rDnsCiERz9uZl3t4XTCsKg1hl4F2ierhX0H_B1sFYREGyIUlXQ&amp;source=documentstudio&amp;timestamp=1748837473345" TargetMode="External"/><Relationship Id="rId2254" Type="http://schemas.openxmlformats.org/officeDocument/2006/relationships/hyperlink" Target="https://drive.google.com/open?id=1sx_k-txmE09mhrodGbezCXiNhY7idSBL" TargetMode="External"/><Relationship Id="rId2461" Type="http://schemas.openxmlformats.org/officeDocument/2006/relationships/hyperlink" Target="https://docs.google.com/forms/d/e/1FAIpQLSeEYwFnViiqk1AbexVe1VDR73UApmeuvfn6Yr2vN8WXjwGu2Q/viewform?edit2=2_ABaOnucLYphv-T0lHjiKmTl25XaifdOV7u8PnljK8fkrPpHmCRHTFyiFfc3xYItUTt5eBoY&amp;source=documentstudio&amp;timestamp=1768442334082" TargetMode="External"/><Relationship Id="rId2699" Type="http://schemas.openxmlformats.org/officeDocument/2006/relationships/hyperlink" Target="https://docs.google.com/forms/d/e/1FAIpQLSeEYwFnViiqk1AbexVe1VDR73UApmeuvfn6Yr2vN8WXjwGu2Q/viewform?edit2=2_ABaOnucc29iQOiqfxXjfXfdieBqGnKnQxYwrOtfJN9B83PO3Cg6M65YqgyA-Vbb9v33BS9g&amp;source=documentstudio&amp;timestamp=1768794201701" TargetMode="External"/><Relationship Id="rId226" Type="http://schemas.openxmlformats.org/officeDocument/2006/relationships/hyperlink" Target="https://drive.google.com/open?id=1dsTU4Rg04SQVtfzFqlFkHiZnsVuQEYUa" TargetMode="External"/><Relationship Id="rId433" Type="http://schemas.openxmlformats.org/officeDocument/2006/relationships/hyperlink" Target="https://drive.google.com/open?id=1dqM-hnsYh4JnP6DBXiCVNOnNNxxcgZ4v" TargetMode="External"/><Relationship Id="rId878" Type="http://schemas.openxmlformats.org/officeDocument/2006/relationships/hyperlink" Target="https://drive.google.com/open?id=14W3ziqPvfOY1qfcRPYDbu_GVnVpJLVvn" TargetMode="External"/><Relationship Id="rId1063" Type="http://schemas.openxmlformats.org/officeDocument/2006/relationships/hyperlink" Target="https://docs.google.com/forms/d/e/1FAIpQLSeEYwFnViiqk1AbexVe1VDR73UApmeuvfn6Yr2vN8WXjwGu2Q/viewform?edit2=2_ABaOnucdWqxRkwcGEclrQkyXwqmCu5IM05gkpq5v_PK-duvKZUC67vw0AuyRr3_5pxinU8A&amp;source=documentstudio&amp;timestamp=1725590157937" TargetMode="External"/><Relationship Id="rId1270" Type="http://schemas.openxmlformats.org/officeDocument/2006/relationships/hyperlink" Target="https://drive.google.com/open?id=1Sx9wB6tXvd2uMTe1hBwdvJX_PJKeWN1R" TargetMode="External"/><Relationship Id="rId2114" Type="http://schemas.openxmlformats.org/officeDocument/2006/relationships/hyperlink" Target="https://drive.google.com/open?id=1vRtyEtXM1gMBOkbfVCeeF3RlHmzcjbEe" TargetMode="External"/><Relationship Id="rId2559" Type="http://schemas.openxmlformats.org/officeDocument/2006/relationships/hyperlink" Target="https://docs.google.com/forms/d/e/1FAIpQLSeEYwFnViiqk1AbexVe1VDR73UApmeuvfn6Yr2vN8WXjwGu2Q/viewform?edit2=2_ABaOnucpBxvFsT2mnR3D4_9IHgyW9Ee60LxY7bxOi8MJw0_chqhcHPMKxRv_rhxmS-EefBY&amp;source=documentstudio&amp;timestamp=1768461145015" TargetMode="External"/><Relationship Id="rId2766" Type="http://schemas.openxmlformats.org/officeDocument/2006/relationships/hyperlink" Target="https://drive.google.com/open?id=1-L5TremCRB1yk0cUx2zuzFvmEDzW6KAj" TargetMode="External"/><Relationship Id="rId640" Type="http://schemas.openxmlformats.org/officeDocument/2006/relationships/hyperlink" Target="https://drive.google.com/open?id=1U70SHbmIeuo6CVqYzx2yiFmZL5Fve3cr" TargetMode="External"/><Relationship Id="rId738" Type="http://schemas.openxmlformats.org/officeDocument/2006/relationships/hyperlink" Target="https://drive.google.com/open?id=1JLutJaFDHPWNFCsQ0aHzrJqvyJZeG9hr" TargetMode="External"/><Relationship Id="rId945" Type="http://schemas.openxmlformats.org/officeDocument/2006/relationships/hyperlink" Target="https://docs.google.com/forms/d/e/1FAIpQLSeEYwFnViiqk1AbexVe1VDR73UApmeuvfn6Yr2vN8WXjwGu2Q/viewform?edit2=2_ABaOnufTcwpibhYMsEL2je3agvu1-0HcV29_7Ji6VejNqI9gtajb5uKzPfzLcoKZuoyPYHY&amp;source=documentstudio&amp;timestamp=1721624377287" TargetMode="External"/><Relationship Id="rId1368" Type="http://schemas.openxmlformats.org/officeDocument/2006/relationships/hyperlink" Target="https://drive.google.com/open?id=15c8pnibuCG1tN-aootlLLJKxwWrIZyYu" TargetMode="External"/><Relationship Id="rId1575" Type="http://schemas.openxmlformats.org/officeDocument/2006/relationships/hyperlink" Target="https://docs.google.com/forms/d/e/1FAIpQLSeEYwFnViiqk1AbexVe1VDR73UApmeuvfn6Yr2vN8WXjwGu2Q/viewform?edit2=2_ABaOnucw8Lm--0Td4sJkOhWwIfgZuCaMEwPnjBzLpZOulbfekeIpiw_s_kEVHdHEtTCLfoI&amp;source=documentstudio&amp;timestamp=1739329295302" TargetMode="External"/><Relationship Id="rId1782" Type="http://schemas.openxmlformats.org/officeDocument/2006/relationships/hyperlink" Target="https://docs.google.com/forms/d/e/1FAIpQLSeEYwFnViiqk1AbexVe1VDR73UApmeuvfn6Yr2vN8WXjwGu2Q/viewform?edit2=2_ABaOnueQLsJD0ODtR7_sWKZufP9J1AG3GorHL61HhOj2TS-ZrvvwQtqFczBiGdUH0P-oGxA&amp;source=documentstudio&amp;timestamp=1741575108094" TargetMode="External"/><Relationship Id="rId2321" Type="http://schemas.openxmlformats.org/officeDocument/2006/relationships/hyperlink" Target="https://docs.google.com/forms/d/e/1FAIpQLSeEYwFnViiqk1AbexVe1VDR73UApmeuvfn6Yr2vN8WXjwGu2Q/viewform?edit2=2_ABaOnuf1Tx91S4E3ggyqzqAwTE0QrabKzWrIt6YOFTYOuAFRI37vmsTqLEpEVKeCOMketuU&amp;source=documentstudio&amp;timestamp=1761269936525" TargetMode="External"/><Relationship Id="rId2419" Type="http://schemas.openxmlformats.org/officeDocument/2006/relationships/hyperlink" Target="https://docs.google.com/forms/d/e/1FAIpQLSeEYwFnViiqk1AbexVe1VDR73UApmeuvfn6Yr2vN8WXjwGu2Q/viewform?edit2=2_ABaOnufmnysqNnMV-Jqh1_K8ApSsCGDCND1cNyoXkiZsdUpcV9aHqiOHTium4DssIuOSgJE&amp;source=documentstudio&amp;timestamp=1768439562002" TargetMode="External"/><Relationship Id="rId2626" Type="http://schemas.openxmlformats.org/officeDocument/2006/relationships/hyperlink" Target="https://drive.google.com/open?id=1eDZ0rXfyz87j7OWbhJYww9mZubssJJ0-" TargetMode="External"/><Relationship Id="rId2833" Type="http://schemas.openxmlformats.org/officeDocument/2006/relationships/hyperlink" Target="https://docs.google.com/forms/d/e/1FAIpQLSeEYwFnViiqk1AbexVe1VDR73UApmeuvfn6Yr2vN8WXjwGu2Q/viewform?edit2=2_ABaOnue2t-M46fEf1lK5BtLd8eu57wGDEvqRA3nPZgrKG3qZKLhg5bL7LSC_11IqWycj3WY&amp;source=documentstudio&amp;timestamp=1769402424579" TargetMode="External"/><Relationship Id="rId74" Type="http://schemas.openxmlformats.org/officeDocument/2006/relationships/hyperlink" Target="https://drive.google.com/open?id=1hNN92_qHgw7Afkru6eBlIPz4n6C2Rlam" TargetMode="External"/><Relationship Id="rId500" Type="http://schemas.openxmlformats.org/officeDocument/2006/relationships/hyperlink" Target="https://drive.google.com/open?id=1FIoVwJQhQcXViliClxPLB37PxUgnh8dz" TargetMode="External"/><Relationship Id="rId805" Type="http://schemas.openxmlformats.org/officeDocument/2006/relationships/hyperlink" Target="https://docs.google.com/forms/d/e/1FAIpQLSeEYwFnViiqk1AbexVe1VDR73UApmeuvfn6Yr2vN8WXjwGu2Q/viewform?edit2=2_ABaOnuddyq7afHaqZhDhpz9fe_hsDYzlaBjRva9NWzCv3SPm7bzhCLd_YaEx0eYcF-3JZR0&amp;source=documentstudio&amp;timestamp=1720406640031" TargetMode="External"/><Relationship Id="rId1130" Type="http://schemas.openxmlformats.org/officeDocument/2006/relationships/hyperlink" Target="https://drive.google.com/open?id=188szIoQwccCTzMEINmmoSFasZ1BSlZ9D" TargetMode="External"/><Relationship Id="rId1228" Type="http://schemas.openxmlformats.org/officeDocument/2006/relationships/hyperlink" Target="https://drive.google.com/open?id=1EziNdLt9rOt0bkkJ3zsMwsCIJFl7yre2" TargetMode="External"/><Relationship Id="rId1435" Type="http://schemas.openxmlformats.org/officeDocument/2006/relationships/hyperlink" Target="https://docs.google.com/forms/d/e/1FAIpQLSeEYwFnViiqk1AbexVe1VDR73UApmeuvfn6Yr2vN8WXjwGu2Q/viewform?edit2=2_ABaOnueY4km8BlwEzUAuhyW8AiYXZiZw99qgS4qjzLy8e5HWjUbLqLzVQHjtbQ7WVoOWcTw&amp;source=documentstudio&amp;timestamp=1737446753049" TargetMode="External"/><Relationship Id="rId1642" Type="http://schemas.openxmlformats.org/officeDocument/2006/relationships/hyperlink" Target="https://drive.google.com/open?id=1rvtG6iwjQQOzOCm7SdFBXrubDhDyND6U" TargetMode="External"/><Relationship Id="rId1947" Type="http://schemas.openxmlformats.org/officeDocument/2006/relationships/hyperlink" Target="https://drive.google.com/open?id=1R2UutmYQY-0ZoM21yW-8XYxhmqhlkAo1" TargetMode="External"/><Relationship Id="rId2900" Type="http://schemas.openxmlformats.org/officeDocument/2006/relationships/hyperlink" Target="https://docs.google.com/forms/d/e/1FAIpQLSeEYwFnViiqk1AbexVe1VDR73UApmeuvfn6Yr2vN8WXjwGu2Q/viewform?edit2=2_ABaOnufsgBgeimaeRxoun-UbtOhMBlErywrod6S_7qwIwAvWkUjp_Eq92Fz1U4ZJhJBGCAA&amp;source=documentstudio&amp;timestamp=1769486599524" TargetMode="External"/><Relationship Id="rId1502" Type="http://schemas.openxmlformats.org/officeDocument/2006/relationships/hyperlink" Target="https://drive.google.com/open?id=1zZ0kAG7GhJsUu73e1NB6FYhznyk9ss3y" TargetMode="External"/><Relationship Id="rId1807" Type="http://schemas.openxmlformats.org/officeDocument/2006/relationships/hyperlink" Target="https://drive.google.com/open?id=1aiq6CXK5QFSVL7XK0GJZWpTfhuUXACnL" TargetMode="External"/><Relationship Id="rId290" Type="http://schemas.openxmlformats.org/officeDocument/2006/relationships/hyperlink" Target="https://drive.google.com/open?id=1ElIxJR2mUqiXYgHqz7OY7czzuUXYSsL9" TargetMode="External"/><Relationship Id="rId388" Type="http://schemas.openxmlformats.org/officeDocument/2006/relationships/hyperlink" Target="https://drive.google.com/open?id=1PcOnSR4Ebh6EeNVGhYzPY02o0PVbTLHD" TargetMode="External"/><Relationship Id="rId2069" Type="http://schemas.openxmlformats.org/officeDocument/2006/relationships/hyperlink" Target="https://docs.google.com/forms/d/e/1FAIpQLSeEYwFnViiqk1AbexVe1VDR73UApmeuvfn6Yr2vN8WXjwGu2Q/viewform?edit2=2_ABaOnucugim7P2RzUl99i9JAaQ0Kq97qUOP_BC6_6ss7JprXTL9VEkctBFAE5oAtlx1sjw0&amp;source=documentstudio&amp;timestamp=1748846203436" TargetMode="External"/><Relationship Id="rId150" Type="http://schemas.openxmlformats.org/officeDocument/2006/relationships/hyperlink" Target="https://drive.google.com/open?id=1nNbLRJU2a8xAVCbS3X4RtB6ZNEQaT68z" TargetMode="External"/><Relationship Id="rId595" Type="http://schemas.openxmlformats.org/officeDocument/2006/relationships/hyperlink" Target="https://drive.google.com/open?id=1IYZYedXDVcllI29a__-oCg0YiaOV2zWs" TargetMode="External"/><Relationship Id="rId2276" Type="http://schemas.openxmlformats.org/officeDocument/2006/relationships/hyperlink" Target="https://drive.google.com/open?id=1awD29iGpanEcIOIpztN98JGNVh0rPkSb" TargetMode="External"/><Relationship Id="rId2483" Type="http://schemas.openxmlformats.org/officeDocument/2006/relationships/hyperlink" Target="https://docs.google.com/forms/d/e/1FAIpQLSeEYwFnViiqk1AbexVe1VDR73UApmeuvfn6Yr2vN8WXjwGu2Q/viewform?edit2=2_ABaOnufb1Lcsvn6UvhXgTkPfL8_JIbfmxOj7vgPr5-XmeCQ6l3XZh2MOpn6LB7TibFsAdbs&amp;source=documentstudio&amp;timestamp=1768443122869" TargetMode="External"/><Relationship Id="rId2690" Type="http://schemas.openxmlformats.org/officeDocument/2006/relationships/hyperlink" Target="https://drive.google.com/open?id=1_6BVNRqICNnOF9-3Pm_c_C3PYORSHtv7" TargetMode="External"/><Relationship Id="rId248" Type="http://schemas.openxmlformats.org/officeDocument/2006/relationships/hyperlink" Target="https://drive.google.com/open?id=1P9wrvPPDHGSJwpitezyeGlx_QcNx1DDI" TargetMode="External"/><Relationship Id="rId455" Type="http://schemas.openxmlformats.org/officeDocument/2006/relationships/hyperlink" Target="https://drive.google.com/open?id=1C4IDqkwJBGZlNiSasY6lRytLVG12_Ccn" TargetMode="External"/><Relationship Id="rId662" Type="http://schemas.openxmlformats.org/officeDocument/2006/relationships/hyperlink" Target="https://drive.google.com/open?id=1I4rMyldgrJPr5hgddT_5d01reVBe5Qdq" TargetMode="External"/><Relationship Id="rId1085" Type="http://schemas.openxmlformats.org/officeDocument/2006/relationships/hyperlink" Target="https://docs.google.com/forms/d/e/1FAIpQLSeEYwFnViiqk1AbexVe1VDR73UApmeuvfn6Yr2vN8WXjwGu2Q/viewform?edit2=2_ABaOnueIjE15fzJ0zEr6vvZ4WNyqRH9pGdMU47lswC0gK4JHuqkr_qogugBrlcDLJMzylFQ&amp;source=documentstudio&amp;timestamp=1726034259375" TargetMode="External"/><Relationship Id="rId1292" Type="http://schemas.openxmlformats.org/officeDocument/2006/relationships/hyperlink" Target="https://drive.google.com/open?id=19YRby4_EGSVLRnH0otujUjF0BnHJBKpr" TargetMode="External"/><Relationship Id="rId2136" Type="http://schemas.openxmlformats.org/officeDocument/2006/relationships/hyperlink" Target="https://drive.google.com/open?id=1aXFRxoN3kdjL2s2KNePAKHlTnSTPkU9N" TargetMode="External"/><Relationship Id="rId2343" Type="http://schemas.openxmlformats.org/officeDocument/2006/relationships/hyperlink" Target="https://docs.google.com/forms/d/e/1FAIpQLSeEYwFnViiqk1AbexVe1VDR73UApmeuvfn6Yr2vN8WXjwGu2Q/viewform?edit2=2_ABaOnucpnwV0w6qjZWGAMYgIj3TQf6RowSccwJsR8GjWBA9lHApwicO1TKEELGW1UZk_jO8&amp;source=documentstudio&amp;timestamp=1768353500405" TargetMode="External"/><Relationship Id="rId2550" Type="http://schemas.openxmlformats.org/officeDocument/2006/relationships/hyperlink" Target="https://drive.google.com/open?id=10T4CBtQdxkf9mv4epMyC2vSnbvDFo88P" TargetMode="External"/><Relationship Id="rId2788" Type="http://schemas.openxmlformats.org/officeDocument/2006/relationships/hyperlink" Target="https://drive.google.com/open?id=1SIXThAtbXlHeNVwqzZu7D3Vkp0G6qo66" TargetMode="External"/><Relationship Id="rId108" Type="http://schemas.openxmlformats.org/officeDocument/2006/relationships/hyperlink" Target="https://drive.google.com/open?id=1Rb5PtN-6ii314zXh9qYnVIj7pLbpADYy" TargetMode="External"/><Relationship Id="rId315" Type="http://schemas.openxmlformats.org/officeDocument/2006/relationships/hyperlink" Target="https://drive.google.com/open?id=1r3yIxiQvCZqr2EN2SRGKnlFbsEPCjhPk" TargetMode="External"/><Relationship Id="rId522" Type="http://schemas.openxmlformats.org/officeDocument/2006/relationships/hyperlink" Target="https://drive.google.com/open?id=1Q_JZqFeNcZ8x99D0386QPaUmhfjd6r7N" TargetMode="External"/><Relationship Id="rId967" Type="http://schemas.openxmlformats.org/officeDocument/2006/relationships/hyperlink" Target="https://docs.google.com/forms/d/e/1FAIpQLSeEYwFnViiqk1AbexVe1VDR73UApmeuvfn6Yr2vN8WXjwGu2Q/viewform?edit2=2_ABaOnufJe3SztmAd4o9H_5GQaugQjyl45vqiQZ8RqgXtRM35qNHulTRPlIquoFTFVIXPSps&amp;source=documentstudio&amp;timestamp=1721781504913" TargetMode="External"/><Relationship Id="rId1152" Type="http://schemas.openxmlformats.org/officeDocument/2006/relationships/hyperlink" Target="https://drive.google.com/open?id=1JMEU0glS-XSUefSYmds1QTpUbXli71fu" TargetMode="External"/><Relationship Id="rId1597" Type="http://schemas.openxmlformats.org/officeDocument/2006/relationships/hyperlink" Target="https://docs.google.com/forms/d/e/1FAIpQLSeEYwFnViiqk1AbexVe1VDR73UApmeuvfn6Yr2vN8WXjwGu2Q/viewform?edit2=2_ABaOnucKWBYPEfqP-UlqQn_Pn9670Gp_hYA8ATIfO38g7MNTmj6utDrgJH_1kxO-utFT0Eg&amp;source=documentstudio&amp;timestamp=1739329539114" TargetMode="External"/><Relationship Id="rId2203" Type="http://schemas.openxmlformats.org/officeDocument/2006/relationships/hyperlink" Target="https://docs.google.com/forms/d/e/1FAIpQLSeEYwFnViiqk1AbexVe1VDR73UApmeuvfn6Yr2vN8WXjwGu2Q/viewform?edit2=2_ABaOnucp-zgxc4BTm-KBCnveStjQ8WCS7ctRLpXk-z9eJ8pNEeB64z1VCtzpdrWp2X-xKfw&amp;source=documentstudio&amp;timestamp=1751337140219" TargetMode="External"/><Relationship Id="rId2410" Type="http://schemas.openxmlformats.org/officeDocument/2006/relationships/hyperlink" Target="https://drive.google.com/open?id=1NR61ZozBKmdCKwi_rJXLfYgnkr3Jpj74" TargetMode="External"/><Relationship Id="rId2648" Type="http://schemas.openxmlformats.org/officeDocument/2006/relationships/hyperlink" Target="https://drive.google.com/open?id=1rzm9-lSk1va2Vi7_zUHQ8ZBnCt7ICcmz" TargetMode="External"/><Relationship Id="rId2855" Type="http://schemas.openxmlformats.org/officeDocument/2006/relationships/hyperlink" Target="https://docs.google.com/forms/d/e/1FAIpQLSeEYwFnViiqk1AbexVe1VDR73UApmeuvfn6Yr2vN8WXjwGu2Q/viewform?edit2=2_ABaOnue4euLXP2i3dng-n5alEEmZAWi3fNwlVD9SntggPwIPkyzMWQsNlfiFJMVgoRom8b0&amp;source=documentstudio&amp;timestamp=1769416102607" TargetMode="External"/><Relationship Id="rId96" Type="http://schemas.openxmlformats.org/officeDocument/2006/relationships/hyperlink" Target="https://drive.google.com/open?id=1aPGJy6q2utVVxyfstCOT_YxQ7S34peDL" TargetMode="External"/><Relationship Id="rId827" Type="http://schemas.openxmlformats.org/officeDocument/2006/relationships/hyperlink" Target="https://docs.google.com/forms/d/e/1FAIpQLSeEYwFnViiqk1AbexVe1VDR73UApmeuvfn6Yr2vN8WXjwGu2Q/viewform?edit2=2_ABaOnueXlHYqh82YYH0m-c8CgtjOteVlIokpU7aU41kBCDcvCYjK6DGdr885pAV6uSRfsD8&amp;source=documentstudio&amp;timestamp=1720425442984" TargetMode="External"/><Relationship Id="rId1012" Type="http://schemas.openxmlformats.org/officeDocument/2006/relationships/hyperlink" Target="https://drive.google.com/open?id=1fTBDetmWe5hciLkIm-uxLzS8xvNxoGwk" TargetMode="External"/><Relationship Id="rId1457" Type="http://schemas.openxmlformats.org/officeDocument/2006/relationships/hyperlink" Target="https://docs.google.com/forms/d/e/1FAIpQLSeEYwFnViiqk1AbexVe1VDR73UApmeuvfn6Yr2vN8WXjwGu2Q/viewform?edit2=2_ABaOnuf8I93dv37kvoUJ8HCuby-itnRUZIDd8Prb7I7NYNCTM50KrTIKfR_K6J3uRw6-Px4&amp;source=documentstudio&amp;timestamp=1737447537894" TargetMode="External"/><Relationship Id="rId1664" Type="http://schemas.openxmlformats.org/officeDocument/2006/relationships/hyperlink" Target="https://drive.google.com/open?id=1-DEUnMVDS2bHRQFQrCabdmWXkXQ3VF_t" TargetMode="External"/><Relationship Id="rId1871" Type="http://schemas.openxmlformats.org/officeDocument/2006/relationships/hyperlink" Target="https://drive.google.com/open?id=1-rvQ4Z5-vTSyRACkCPnCgG3JnqWST-wV" TargetMode="External"/><Relationship Id="rId2508" Type="http://schemas.openxmlformats.org/officeDocument/2006/relationships/hyperlink" Target="https://drive.google.com/open?id=1hmrKRGhpWyYLTWJzoHPI3p9If25Z80Vv" TargetMode="External"/><Relationship Id="rId2715" Type="http://schemas.openxmlformats.org/officeDocument/2006/relationships/hyperlink" Target="https://docs.google.com/forms/d/e/1FAIpQLSeEYwFnViiqk1AbexVe1VDR73UApmeuvfn6Yr2vN8WXjwGu2Q/viewform?edit2=2_ABaOnufjMpPV_Xr_58Z5jHdAYfLA9Zj_P-VtkPvq9zVUaq43SMq365ZbPYlik5hQbBAjhgA&amp;source=documentstudio&amp;timestamp=1768794747617" TargetMode="External"/><Relationship Id="rId2922" Type="http://schemas.openxmlformats.org/officeDocument/2006/relationships/hyperlink" Target="https://docs.google.com/forms/d/e/1FAIpQLSeEYwFnViiqk1AbexVe1VDR73UApmeuvfn6Yr2vN8WXjwGu2Q/viewform?edit2=2_ABaOnucCNGSSvJw7jfA58WI62trZ-wxTI65B1dVHK1xu34M184hyCjlJf29lX0XCAHFGieA&amp;source=documentstudio&amp;timestamp=1769588056690" TargetMode="External"/><Relationship Id="rId1317" Type="http://schemas.openxmlformats.org/officeDocument/2006/relationships/hyperlink" Target="https://docs.google.com/forms/d/e/1FAIpQLSeEYwFnViiqk1AbexVe1VDR73UApmeuvfn6Yr2vN8WXjwGu2Q/viewform?edit2=2_ABaOnuf01JBW9ADOJs0GVzr73BhfWYmVZvNHv5lhjtT0pFuyAvQ1dQcIMxc33eU73L5h62k&amp;source=documentstudio&amp;timestamp=1735889025389" TargetMode="External"/><Relationship Id="rId1524" Type="http://schemas.openxmlformats.org/officeDocument/2006/relationships/hyperlink" Target="https://drive.google.com/open?id=1WHDW1qyOj2O-jZPq1jhR9zI_DdEhzVw2" TargetMode="External"/><Relationship Id="rId1731" Type="http://schemas.openxmlformats.org/officeDocument/2006/relationships/hyperlink" Target="https://docs.google.com/forms/d/e/1FAIpQLSeEYwFnViiqk1AbexVe1VDR73UApmeuvfn6Yr2vN8WXjwGu2Q/viewform?edit2=2_ABaOnudxijmuYErBq5a4wJbJqm5f-km7Pg8mI90yZQimiR8JH7ng0ayrrfgLZb0T-aHD3-U&amp;source=documentstudio&amp;timestamp=1741407447836" TargetMode="External"/><Relationship Id="rId1969" Type="http://schemas.openxmlformats.org/officeDocument/2006/relationships/hyperlink" Target="https://drive.google.com/open?id=1vubsdRJo4KzLVtctOAKjpuTg-LjzoLYg" TargetMode="External"/><Relationship Id="rId23" Type="http://schemas.openxmlformats.org/officeDocument/2006/relationships/hyperlink" Target="https://drive.google.com/open?id=1RhQG1RZ-yDFR16-eyqxhls6voNFozEum" TargetMode="External"/><Relationship Id="rId1829" Type="http://schemas.openxmlformats.org/officeDocument/2006/relationships/hyperlink" Target="https://drive.google.com/open?id=1eXOw0Y_OsywNvmHKDtNMdF4ErQX2VU6W" TargetMode="External"/><Relationship Id="rId2298" Type="http://schemas.openxmlformats.org/officeDocument/2006/relationships/hyperlink" Target="https://drive.google.com/open?id=1fJp_VRtlZokkpITXkzGYqUPv_hn-9oGh" TargetMode="External"/><Relationship Id="rId172" Type="http://schemas.openxmlformats.org/officeDocument/2006/relationships/hyperlink" Target="https://drive.google.com/open?id=1OZthiIh3stBfdn9-lJZNKl9ayNxAUzNr" TargetMode="External"/><Relationship Id="rId477" Type="http://schemas.openxmlformats.org/officeDocument/2006/relationships/hyperlink" Target="https://drive.google.com/open?id=1pjJhWrMnABZqbmjqFw0XS8oNoCB40A7I" TargetMode="External"/><Relationship Id="rId684" Type="http://schemas.openxmlformats.org/officeDocument/2006/relationships/hyperlink" Target="https://drive.google.com/open?id=1b3inrOyP0rhvHBOEjk0tMYF6I4rmBIVh" TargetMode="External"/><Relationship Id="rId2060" Type="http://schemas.openxmlformats.org/officeDocument/2006/relationships/hyperlink" Target="https://drive.google.com/open?id=1smY85GJAZ4MNhex7-5lEEoDoubdxQXGE" TargetMode="External"/><Relationship Id="rId2158" Type="http://schemas.openxmlformats.org/officeDocument/2006/relationships/hyperlink" Target="https://drive.google.com/open?id=19O9B3uYbNEOo2x0A3m811KHHZ-DZUUJk" TargetMode="External"/><Relationship Id="rId2365" Type="http://schemas.openxmlformats.org/officeDocument/2006/relationships/hyperlink" Target="https://docs.google.com/forms/d/e/1FAIpQLSeEYwFnViiqk1AbexVe1VDR73UApmeuvfn6Yr2vN8WXjwGu2Q/viewform?edit2=2_ABaOnufDlpOk6qr8TcjcmN-3G78M1tqCarq0J7gbZOiZHfoXUkls42GlJ0aKHuV7-eov16w&amp;source=documentstudio&amp;timestamp=1768379706435" TargetMode="External"/><Relationship Id="rId337" Type="http://schemas.openxmlformats.org/officeDocument/2006/relationships/hyperlink" Target="https://drive.google.com/open?id=1FcE5nK4IlOlpZbLd1bWfR3fpbsxkJ1-R" TargetMode="External"/><Relationship Id="rId891" Type="http://schemas.openxmlformats.org/officeDocument/2006/relationships/hyperlink" Target="https://docs.google.com/forms/d/e/1FAIpQLSeEYwFnViiqk1AbexVe1VDR73UApmeuvfn6Yr2vN8WXjwGu2Q/viewform?edit2=2_ABaOnudBqsWnomavrfUAURVgDXwMqXQPTrKFGJBus5pjXtPy3_vvIskdBgDpN20-r4QYv6A&amp;source=documentstudio&amp;timestamp=1720492811443" TargetMode="External"/><Relationship Id="rId989" Type="http://schemas.openxmlformats.org/officeDocument/2006/relationships/hyperlink" Target="https://docs.google.com/forms/d/e/1FAIpQLSeEYwFnViiqk1AbexVe1VDR73UApmeuvfn6Yr2vN8WXjwGu2Q/viewform?edit2=2_ABaOnueghgu7DYIaUbLJ_zjrYhmn3pZyS5Q1v9Dmp28H6Yu8z9e_BcuAneauY35LkztiPhw&amp;source=documentstudio&amp;timestamp=1723452857295" TargetMode="External"/><Relationship Id="rId2018" Type="http://schemas.openxmlformats.org/officeDocument/2006/relationships/hyperlink" Target="https://drive.google.com/open?id=1q5s-UlB1Fq-RbWnh7Yd6ta5CkQ2LK0so" TargetMode="External"/><Relationship Id="rId2572" Type="http://schemas.openxmlformats.org/officeDocument/2006/relationships/hyperlink" Target="https://drive.google.com/open?id=1hMiPmpCb9YDSjV17aLqaI_pwi5H-CyAH" TargetMode="External"/><Relationship Id="rId2877" Type="http://schemas.openxmlformats.org/officeDocument/2006/relationships/hyperlink" Target="https://docs.google.com/forms/d/e/1FAIpQLSeEYwFnViiqk1AbexVe1VDR73UApmeuvfn6Yr2vN8WXjwGu2Q/viewform?edit2=2_ABaOnueYMAxz2V81gqM2gIr_KUa5aXZk2jB4x8PwbK-0uEsSGmaHcDPBnLl6s5gDwE4hJi4&amp;source=documentstudio&amp;timestamp=1769416888312" TargetMode="External"/><Relationship Id="rId544" Type="http://schemas.openxmlformats.org/officeDocument/2006/relationships/hyperlink" Target="https://drive.google.com/open?id=1GPaBXVMi3ii5PZziC38xj5H4vl_FVSWV" TargetMode="External"/><Relationship Id="rId751" Type="http://schemas.openxmlformats.org/officeDocument/2006/relationships/hyperlink" Target="https://docs.google.com/forms/d/e/1FAIpQLSeEYwFnViiqk1AbexVe1VDR73UApmeuvfn6Yr2vN8WXjwGu2Q/viewform?edit2=2_ABaOnuezkIIWpRuUQ95WCxRBzwdj1ch76ZNSScoUFxqUmFQ6227z1OUWx62DEBVx50FLoG0&amp;source=documentstudio&amp;timestamp=1718095154040" TargetMode="External"/><Relationship Id="rId849" Type="http://schemas.openxmlformats.org/officeDocument/2006/relationships/hyperlink" Target="https://docs.google.com/forms/d/e/1FAIpQLSeEYwFnViiqk1AbexVe1VDR73UApmeuvfn6Yr2vN8WXjwGu2Q/viewform?edit2=2_ABaOnudgmqeGNONVP0RLj1mwav0yniDHZLMLmGEbhcBDgkonWi5B3IDp-9f2tjDChJJxCV8&amp;source=documentstudio&amp;timestamp=1720487818054" TargetMode="External"/><Relationship Id="rId1174" Type="http://schemas.openxmlformats.org/officeDocument/2006/relationships/hyperlink" Target="https://drive.google.com/open?id=1X5AZc0csgS273akqSDGrjT7N84xgOVEu" TargetMode="External"/><Relationship Id="rId1381" Type="http://schemas.openxmlformats.org/officeDocument/2006/relationships/hyperlink" Target="https://docs.google.com/forms/d/e/1FAIpQLSeEYwFnViiqk1AbexVe1VDR73UApmeuvfn6Yr2vN8WXjwGu2Q/viewform?edit2=2_ABaOnucsP2LziU36kGGv61-8by1XvNOaz8nE8-Ua1Lqy3Exls5xLdVTog8Z1E2O2xLKDI6k&amp;source=documentstudio&amp;timestamp=1736474178372" TargetMode="External"/><Relationship Id="rId1479" Type="http://schemas.openxmlformats.org/officeDocument/2006/relationships/hyperlink" Target="https://docs.google.com/forms/d/e/1FAIpQLSeEYwFnViiqk1AbexVe1VDR73UApmeuvfn6Yr2vN8WXjwGu2Q/viewform?edit2=2_ABaOnufvE61zsAJOKrhMsvDT5ytSADNx4VAeW4cSiQkW-THjCj8Zd4UYQFvre-IZK6hXK74&amp;source=documentstudio&amp;timestamp=1737500544422" TargetMode="External"/><Relationship Id="rId1686" Type="http://schemas.openxmlformats.org/officeDocument/2006/relationships/hyperlink" Target="https://drive.google.com/open?id=1AWVBgWDVA_AOjoVF5N47bg_pS21V-GcK" TargetMode="External"/><Relationship Id="rId2225" Type="http://schemas.openxmlformats.org/officeDocument/2006/relationships/hyperlink" Target="https://docs.google.com/forms/d/e/1FAIpQLSeEYwFnViiqk1AbexVe1VDR73UApmeuvfn6Yr2vN8WXjwGu2Q/viewform?edit2=2_ABaOnucLcgB1Bfq--uUWzI88e_60P0YLeb5IjlfKwu1LBRMQZzcQOqIHqEaM6OnEBAcThI8&amp;source=documentstudio&amp;timestamp=1752639165923" TargetMode="External"/><Relationship Id="rId2432" Type="http://schemas.openxmlformats.org/officeDocument/2006/relationships/hyperlink" Target="https://drive.google.com/open?id=163EaiGtSOKUnubNlL4ewnOVl-bjz6vQs" TargetMode="External"/><Relationship Id="rId404" Type="http://schemas.openxmlformats.org/officeDocument/2006/relationships/hyperlink" Target="https://drive.google.com/open?id=1-aOZc12_O6I2o2jc-_wpNST1g2ewTSKN" TargetMode="External"/><Relationship Id="rId611" Type="http://schemas.openxmlformats.org/officeDocument/2006/relationships/hyperlink" Target="https://docs.google.com/forms/d/e/1FAIpQLSeEYwFnViiqk1AbexVe1VDR73UApmeuvfn6Yr2vN8WXjwGu2Q/viewform?edit2=2_ABaOnueSKd-kzOcFA6R4jUnbfDtpCDe86JsxVK3n4FF8zt4KKnL8FRk_PJ8WUeZqa8aDIFc&amp;source=documentstudio&amp;timestamp=1715157834093" TargetMode="External"/><Relationship Id="rId1034" Type="http://schemas.openxmlformats.org/officeDocument/2006/relationships/hyperlink" Target="https://drive.google.com/open?id=1Qaz3TEu_Cu3LHsbmVmjRocitmx1UkrIj" TargetMode="External"/><Relationship Id="rId1241" Type="http://schemas.openxmlformats.org/officeDocument/2006/relationships/hyperlink" Target="https://docs.google.com/forms/d/e/1FAIpQLSeEYwFnViiqk1AbexVe1VDR73UApmeuvfn6Yr2vN8WXjwGu2Q/viewform?edit2=2_ABaOnucxmNnfsBmoDWCN6tKd1x08c2D52H_GbBvQ-ud0gpapTVH_ZhOndTRxJgnCodJvUzI&amp;source=documentstudio&amp;timestamp=1731894405209" TargetMode="External"/><Relationship Id="rId1339" Type="http://schemas.openxmlformats.org/officeDocument/2006/relationships/hyperlink" Target="https://docs.google.com/forms/d/e/1FAIpQLSeEYwFnViiqk1AbexVe1VDR73UApmeuvfn6Yr2vN8WXjwGu2Q/viewform?edit2=2_ABaOnue8YVbyCD5a6hSdGFqBc9uU9AGLTFe7aVkdr35ZbpcKbZCJhlxOKkAB14soQW0nQns&amp;source=documentstudio&amp;timestamp=1736136080688" TargetMode="External"/><Relationship Id="rId1893" Type="http://schemas.openxmlformats.org/officeDocument/2006/relationships/hyperlink" Target="https://drive.google.com/open?id=1tRBgM8yUQmRm_prNgEETC0AHh5i_R7z1" TargetMode="External"/><Relationship Id="rId2737" Type="http://schemas.openxmlformats.org/officeDocument/2006/relationships/hyperlink" Target="https://docs.google.com/forms/d/e/1FAIpQLSeEYwFnViiqk1AbexVe1VDR73UApmeuvfn6Yr2vN8WXjwGu2Q/viewform?edit2=2_ABaOnudXDcWRA7JXWVve60hz0dKBatesneCyuMw2FekDBvDtrvNum-PepRr5NZR_2hfww2o&amp;source=documentstudio&amp;timestamp=1768804458834" TargetMode="External"/><Relationship Id="rId2944" Type="http://schemas.openxmlformats.org/officeDocument/2006/relationships/hyperlink" Target="https://docs.google.com/forms/d/e/1FAIpQLSeEYwFnViiqk1AbexVe1VDR73UApmeuvfn6Yr2vN8WXjwGu2Q/viewform?edit2=2_ABaOnuepKGckFcou1Del2H0kHPdpa-vs5NF7cNo1UKW2dDXxMHO3mXc4UkcxcTz7Wv3w5qA&amp;source=documentstudio&amp;timestamp=1769589589555" TargetMode="External"/><Relationship Id="rId709" Type="http://schemas.openxmlformats.org/officeDocument/2006/relationships/hyperlink" Target="https://docs.google.com/forms/d/e/1FAIpQLSeEYwFnViiqk1AbexVe1VDR73UApmeuvfn6Yr2vN8WXjwGu2Q/viewform?edit2=2_ABaOnueHZ_VANt0b_pJjbvJ0lOVvRr9P6FF_hALaQBEdYZhGuOoQ3NuDCaZYxCoTsWqiR4c&amp;source=documentstudio&amp;timestamp=1717559535203" TargetMode="External"/><Relationship Id="rId916" Type="http://schemas.openxmlformats.org/officeDocument/2006/relationships/hyperlink" Target="https://drive.google.com/open?id=1c4JtwyM_gMiLc6Q459Ann_S-URflIK5r" TargetMode="External"/><Relationship Id="rId1101" Type="http://schemas.openxmlformats.org/officeDocument/2006/relationships/hyperlink" Target="https://docs.google.com/forms/d/e/1FAIpQLSeEYwFnViiqk1AbexVe1VDR73UApmeuvfn6Yr2vN8WXjwGu2Q/viewform?edit2=2_ABaOnufxH4VIlHt0EsFSKL4N1TGkwh4bUA94sYZAdWABEIDhQCeGc-XHrSAoVt-enfgWY2s&amp;source=documentstudio&amp;timestamp=1726619183841" TargetMode="External"/><Relationship Id="rId1546" Type="http://schemas.openxmlformats.org/officeDocument/2006/relationships/hyperlink" Target="https://drive.google.com/open?id=1cf8E8WD1KubBzbWzqJloULjiODFoFvXU" TargetMode="External"/><Relationship Id="rId1753" Type="http://schemas.openxmlformats.org/officeDocument/2006/relationships/hyperlink" Target="https://drive.google.com/open?id=1raz25ZtDhofmlbyWf1zxTDTiLnQImYY-" TargetMode="External"/><Relationship Id="rId1960" Type="http://schemas.openxmlformats.org/officeDocument/2006/relationships/hyperlink" Target="https://docs.google.com/forms/d/e/1FAIpQLSeEYwFnViiqk1AbexVe1VDR73UApmeuvfn6Yr2vN8WXjwGu2Q/viewform?edit2=2_ABaOnuf_Vl1RNndA-KgYL_G-iTK0pgxVED8csiC1_rWAhyxwrg4rSf074lJKGy0j-_0OjZw&amp;source=documentstudio&amp;timestamp=1747294200812" TargetMode="External"/><Relationship Id="rId2804" Type="http://schemas.openxmlformats.org/officeDocument/2006/relationships/hyperlink" Target="https://drive.google.com/open?id=1Eh7ldd-HDMFyiou5UmKUuehz3ORswURB" TargetMode="External"/><Relationship Id="rId45" Type="http://schemas.openxmlformats.org/officeDocument/2006/relationships/hyperlink" Target="https://drive.google.com/open?id=1AgOW4SCxPGCNqf2HBPl5f1lCNXoPcKIQ" TargetMode="External"/><Relationship Id="rId1406" Type="http://schemas.openxmlformats.org/officeDocument/2006/relationships/hyperlink" Target="https://drive.google.com/open?id=1QX6SjNh5pxA7xUzluHbZ3IePVyp88R6n" TargetMode="External"/><Relationship Id="rId1613" Type="http://schemas.openxmlformats.org/officeDocument/2006/relationships/hyperlink" Target="https://docs.google.com/forms/d/e/1FAIpQLSeEYwFnViiqk1AbexVe1VDR73UApmeuvfn6Yr2vN8WXjwGu2Q/viewform?edit2=2_ABaOnufPjot_4MvqJiBlOctciXRIMu7NIRxJQ4gcm4UeZ0IAKuS1JlFs6MH8U3VWSn7bnZk&amp;source=documentstudio&amp;timestamp=1739329712897" TargetMode="External"/><Relationship Id="rId1820" Type="http://schemas.openxmlformats.org/officeDocument/2006/relationships/hyperlink" Target="https://docs.google.com/forms/d/e/1FAIpQLSeEYwFnViiqk1AbexVe1VDR73UApmeuvfn6Yr2vN8WXjwGu2Q/viewform?edit2=2_ABaOnudWJ41fdslPFH49BTSUBvceYqYHlfek_2CSgl2QsoQW_K8O1FgfUaJUk8PkZ4tusv8&amp;source=documentstudio&amp;timestamp=1741755662230" TargetMode="External"/><Relationship Id="rId194" Type="http://schemas.openxmlformats.org/officeDocument/2006/relationships/hyperlink" Target="https://drive.google.com/open?id=1hZ8-dVXR9e292YUaln2gdsw-ZwjMtGii" TargetMode="External"/><Relationship Id="rId1918" Type="http://schemas.openxmlformats.org/officeDocument/2006/relationships/hyperlink" Target="https://docs.google.com/forms/d/e/1FAIpQLSeEYwFnViiqk1AbexVe1VDR73UApmeuvfn6Yr2vN8WXjwGu2Q/viewform?edit2=2_ABaOnuf75TLHPOhNNlmdu7LMgj8SPo76nEoG4YpP23xAE6qCOIZ42jMtJhpGrsahEQZHh48&amp;source=documentstudio&amp;timestamp=1745398264839" TargetMode="External"/><Relationship Id="rId2082" Type="http://schemas.openxmlformats.org/officeDocument/2006/relationships/hyperlink" Target="https://drive.google.com/open?id=1PbFHvTCSAIyFmfDIWzCRJ29eM4EiPek5" TargetMode="External"/><Relationship Id="rId261" Type="http://schemas.openxmlformats.org/officeDocument/2006/relationships/hyperlink" Target="https://drive.google.com/open?id=1eflxQzap7dxe2LuxBlqY207asN60Hps0" TargetMode="External"/><Relationship Id="rId499" Type="http://schemas.openxmlformats.org/officeDocument/2006/relationships/hyperlink" Target="https://drive.google.com/open?id=1TNKhyGWwHBKOnKv6KEFAk_DcfbKMsRuL" TargetMode="External"/><Relationship Id="rId2387" Type="http://schemas.openxmlformats.org/officeDocument/2006/relationships/hyperlink" Target="https://docs.google.com/forms/d/e/1FAIpQLSeEYwFnViiqk1AbexVe1VDR73UApmeuvfn6Yr2vN8WXjwGu2Q/viewform?edit2=2_ABaOnuf1KBbi--tCd2eLgq_Lz4OdaZ2ss8TW17J8vq4nbX3ynG7blne47-c8Xl2aXb1GnaQ&amp;source=documentstudio&amp;timestamp=1768437714068" TargetMode="External"/><Relationship Id="rId2594" Type="http://schemas.openxmlformats.org/officeDocument/2006/relationships/hyperlink" Target="https://drive.google.com/open?id=1bNywnzC1eummIZWY77FFW2rpRS1f8pnt" TargetMode="External"/><Relationship Id="rId359" Type="http://schemas.openxmlformats.org/officeDocument/2006/relationships/hyperlink" Target="https://drive.google.com/open?id=1CaIltYAccuojxsKUWXo98SrIONm2uzwi" TargetMode="External"/><Relationship Id="rId566" Type="http://schemas.openxmlformats.org/officeDocument/2006/relationships/hyperlink" Target="https://drive.google.com/open?id=1mInkIgZVfedB6qUlzqOEfuL-fg-jXX-P" TargetMode="External"/><Relationship Id="rId773" Type="http://schemas.openxmlformats.org/officeDocument/2006/relationships/hyperlink" Target="https://docs.google.com/forms/d/e/1FAIpQLSeEYwFnViiqk1AbexVe1VDR73UApmeuvfn6Yr2vN8WXjwGu2Q/viewform?edit2=2_ABaOnufuo-WLh9AE9pFznZWwx8DRKdRyPZy9GjicttKbQ8QMo8fydORZGxaMy9395vIzVBU&amp;source=documentstudio&amp;timestamp=1718176684815" TargetMode="External"/><Relationship Id="rId1196" Type="http://schemas.openxmlformats.org/officeDocument/2006/relationships/hyperlink" Target="https://drive.google.com/open?id=1RUUuY1UH6CcokOyJ9f6Ihslod8QYV0sb" TargetMode="External"/><Relationship Id="rId2247" Type="http://schemas.openxmlformats.org/officeDocument/2006/relationships/hyperlink" Target="https://docs.google.com/forms/d/e/1FAIpQLSeEYwFnViiqk1AbexVe1VDR73UApmeuvfn6Yr2vN8WXjwGu2Q/viewform?edit2=2_ABaOnueYrX717G4o13jOXhQMABGZCI5FWIXIT--PReS0eOnzTwnOKMC33o-rQCg2dMC9ddY&amp;source=documentstudio&amp;timestamp=1756781028166" TargetMode="External"/><Relationship Id="rId2454" Type="http://schemas.openxmlformats.org/officeDocument/2006/relationships/hyperlink" Target="https://drive.google.com/open?id=1Ky2KW1JjpA5HpIcdAeHe3m7F5IeoOWv0" TargetMode="External"/><Relationship Id="rId2899" Type="http://schemas.openxmlformats.org/officeDocument/2006/relationships/hyperlink" Target="https://drive.google.com/open?id=1BFr0QAcELjPF4xzBFTSd5S1KdUJ8Jg4I" TargetMode="External"/><Relationship Id="rId121" Type="http://schemas.openxmlformats.org/officeDocument/2006/relationships/hyperlink" Target="https://drive.google.com/open?id=1v7i_LyGyx2z-kPcIi5z2mspM8RAUSxWd" TargetMode="External"/><Relationship Id="rId219" Type="http://schemas.openxmlformats.org/officeDocument/2006/relationships/hyperlink" Target="https://drive.google.com/open?id=1WWykgsBqTgvFY4oFf1mMOPn4fnTqlMK_" TargetMode="External"/><Relationship Id="rId426" Type="http://schemas.openxmlformats.org/officeDocument/2006/relationships/hyperlink" Target="https://drive.google.com/open?id=1GaFFMM9Se5gAusMRHd1OKb_B-D_N3LLB" TargetMode="External"/><Relationship Id="rId633" Type="http://schemas.openxmlformats.org/officeDocument/2006/relationships/hyperlink" Target="https://docs.google.com/forms/d/e/1FAIpQLSeEYwFnViiqk1AbexVe1VDR73UApmeuvfn6Yr2vN8WXjwGu2Q/viewform?edit2=2_ABaOnuenePPdjiozaY9Y86gRkQ58FMhRsghsQE7zn1OFCVZQ1Wa8qvCVpuv9Zp8B1h-09aE&amp;source=documentstudio&amp;timestamp=1717383650118" TargetMode="External"/><Relationship Id="rId980" Type="http://schemas.openxmlformats.org/officeDocument/2006/relationships/hyperlink" Target="https://drive.google.com/open?id=1sEhhOHEX_DtgUnfs5VcHxrnCGuEnlF2m" TargetMode="External"/><Relationship Id="rId1056" Type="http://schemas.openxmlformats.org/officeDocument/2006/relationships/hyperlink" Target="https://drive.google.com/open?id=19JYzN7rtUOsyO3Ixe2gVVk08kuGp7TCL" TargetMode="External"/><Relationship Id="rId1263" Type="http://schemas.openxmlformats.org/officeDocument/2006/relationships/hyperlink" Target="https://docs.google.com/forms/d/e/1FAIpQLSeEYwFnViiqk1AbexVe1VDR73UApmeuvfn6Yr2vN8WXjwGu2Q/viewform?edit2=2_ABaOnufP3QyQzLb3ayKQCJoj8ngFJwv8aXGG0lQ3I3H6knlToe33zYRBDyOChq7rprGgy0w&amp;source=documentstudio&amp;timestamp=1733447127871" TargetMode="External"/><Relationship Id="rId2107" Type="http://schemas.openxmlformats.org/officeDocument/2006/relationships/hyperlink" Target="https://docs.google.com/forms/d/e/1FAIpQLSeEYwFnViiqk1AbexVe1VDR73UApmeuvfn6Yr2vN8WXjwGu2Q/viewform?edit2=2_ABaOnudvJb4wrCAa73Pj7rXSKQaj2fSYogFclRWouOtr8LNXEsDYSjHQIi3uNpHqclDyS-A&amp;source=documentstudio&amp;timestamp=1748917356565" TargetMode="External"/><Relationship Id="rId2314" Type="http://schemas.openxmlformats.org/officeDocument/2006/relationships/hyperlink" Target="https://drive.google.com/open?id=1pDjIYy3RKiwvL5gknzR6Se9e34utnuWj" TargetMode="External"/><Relationship Id="rId2661" Type="http://schemas.openxmlformats.org/officeDocument/2006/relationships/hyperlink" Target="https://docs.google.com/forms/d/e/1FAIpQLSeEYwFnViiqk1AbexVe1VDR73UApmeuvfn6Yr2vN8WXjwGu2Q/viewform?edit2=2_ABaOnudW30BYCD94Cmv1KUmWRtdnTpcOtcvU3ed6QtzrQasLpBNHqTVDGhqnYWdp7-h8ITo&amp;source=documentstudio&amp;timestamp=1768789439052" TargetMode="External"/><Relationship Id="rId2759" Type="http://schemas.openxmlformats.org/officeDocument/2006/relationships/hyperlink" Target="https://docs.google.com/forms/d/e/1FAIpQLSeEYwFnViiqk1AbexVe1VDR73UApmeuvfn6Yr2vN8WXjwGu2Q/viewform?edit2=2_ABaOnucRFuqQieQvWNS7jzTGWpnzPl8x548BSirT6tizjDnjP2p7zmtSNoMn5gH7RZFIhE8&amp;source=documentstudio&amp;timestamp=1768882443057" TargetMode="External"/><Relationship Id="rId2966" Type="http://schemas.openxmlformats.org/officeDocument/2006/relationships/comments" Target="../comments1.xml"/><Relationship Id="rId840" Type="http://schemas.openxmlformats.org/officeDocument/2006/relationships/hyperlink" Target="https://drive.google.com/open?id=1kiyQ2CZyorz8JZ3uNn_11TBTXEM8m6Bo" TargetMode="External"/><Relationship Id="rId938" Type="http://schemas.openxmlformats.org/officeDocument/2006/relationships/hyperlink" Target="https://drive.google.com/open?id=1WqEkRekTDH31-wDsaDAdCPXjdTvqyrbG" TargetMode="External"/><Relationship Id="rId1470" Type="http://schemas.openxmlformats.org/officeDocument/2006/relationships/hyperlink" Target="https://drive.google.com/open?id=1XF9at2HZUi34s_s3eCMCVsVcdKm_fs1Q" TargetMode="External"/><Relationship Id="rId1568" Type="http://schemas.openxmlformats.org/officeDocument/2006/relationships/hyperlink" Target="https://drive.google.com/open?id=1i-DG4uDME-6F95iSGfgzyjUBfsdW1MiQ" TargetMode="External"/><Relationship Id="rId1775" Type="http://schemas.openxmlformats.org/officeDocument/2006/relationships/hyperlink" Target="https://drive.google.com/open?id=1o9YDOMSgaBeKr4G3yGFlb3Qm0NSlMsqN" TargetMode="External"/><Relationship Id="rId2521" Type="http://schemas.openxmlformats.org/officeDocument/2006/relationships/hyperlink" Target="https://docs.google.com/forms/d/e/1FAIpQLSeEYwFnViiqk1AbexVe1VDR73UApmeuvfn6Yr2vN8WXjwGu2Q/viewform?edit2=2_ABaOnudNBuy1C0mczH6xtRFk2o3sMIBSNEDO8aJKFvkhfMXPwld8uEpf5LuT0QWyQFtoYgI&amp;source=documentstudio&amp;timestamp=1768444457829" TargetMode="External"/><Relationship Id="rId2619" Type="http://schemas.openxmlformats.org/officeDocument/2006/relationships/hyperlink" Target="https://docs.google.com/forms/d/e/1FAIpQLSeEYwFnViiqk1AbexVe1VDR73UApmeuvfn6Yr2vN8WXjwGu2Q/viewform?edit2=2_ABaOnuesuGs9fw3sdXh1OmUozk7QoXIECLEnuGbeMxZ9i4m3_BiqS9wWnmgpTrqep8kJGLo&amp;source=documentstudio&amp;timestamp=1768467117512" TargetMode="External"/><Relationship Id="rId2826" Type="http://schemas.openxmlformats.org/officeDocument/2006/relationships/hyperlink" Target="https://drive.google.com/open?id=1aOt-TgkxriEz-vpXIqQ6d9pWy_jPIuSn" TargetMode="External"/><Relationship Id="rId67" Type="http://schemas.openxmlformats.org/officeDocument/2006/relationships/hyperlink" Target="https://drive.google.com/open?id=1Q8K3cD_ZhrJzkoxnftzUzGodT8Ram0gZ" TargetMode="External"/><Relationship Id="rId700" Type="http://schemas.openxmlformats.org/officeDocument/2006/relationships/hyperlink" Target="https://drive.google.com/open?id=1bxU2b-SLMcd-n1iU5b4e7JGihyG8yGcz" TargetMode="External"/><Relationship Id="rId1123" Type="http://schemas.openxmlformats.org/officeDocument/2006/relationships/hyperlink" Target="https://docs.google.com/forms/d/e/1FAIpQLSeEYwFnViiqk1AbexVe1VDR73UApmeuvfn6Yr2vN8WXjwGu2Q/viewform?edit2=2_ABaOnufzAZl3pN5_PVcmH4arrEd_eyVU8-7K4SZ_ThBCXxtbnfsFR_cvejLJa7UwGPUDnmg&amp;source=documentstudio&amp;timestamp=1727857016296" TargetMode="External"/><Relationship Id="rId1330" Type="http://schemas.openxmlformats.org/officeDocument/2006/relationships/hyperlink" Target="https://drive.google.com/open?id=1XDF50sgCNn_EYj7TANvrAORGIsxKvzKh" TargetMode="External"/><Relationship Id="rId1428" Type="http://schemas.openxmlformats.org/officeDocument/2006/relationships/hyperlink" Target="https://drive.google.com/open?id=1S7XdtZ9kg_3wl03OuvfrWLo12yCsFb__" TargetMode="External"/><Relationship Id="rId1635" Type="http://schemas.openxmlformats.org/officeDocument/2006/relationships/hyperlink" Target="https://docs.google.com/forms/d/e/1FAIpQLSeEYwFnViiqk1AbexVe1VDR73UApmeuvfn6Yr2vN8WXjwGu2Q/viewform?edit2=2_ABaOnuf6dRq7cph6CvTiq-ye3IjY3ozA9CZh2lpWkTgEzarlS4N5Su5KIgYLOtKB9hC7jqE&amp;source=documentstudio&amp;timestamp=1741332532693" TargetMode="External"/><Relationship Id="rId1982" Type="http://schemas.openxmlformats.org/officeDocument/2006/relationships/hyperlink" Target="https://drive.google.com/open?id=17A68buKVtoEWNCwLu1gJQq4moh1tRc8O" TargetMode="External"/><Relationship Id="rId1842" Type="http://schemas.openxmlformats.org/officeDocument/2006/relationships/hyperlink" Target="https://docs.google.com/forms/d/e/1FAIpQLSeEYwFnViiqk1AbexVe1VDR73UApmeuvfn6Yr2vN8WXjwGu2Q/viewform?edit2=2_ABaOnucWqXRk6mROoIcEBkrd0_RYgFRhO8RGhaBhpIjFQkHLaLr9r5m-KcFvPMlmtMqGw9I&amp;source=documentstudio&amp;timestamp=1742021083668" TargetMode="External"/><Relationship Id="rId1702" Type="http://schemas.openxmlformats.org/officeDocument/2006/relationships/hyperlink" Target="https://docs.google.com/forms/d/e/1FAIpQLSeEYwFnViiqk1AbexVe1VDR73UApmeuvfn6Yr2vN8WXjwGu2Q/viewform?edit2=2_ABaOnuci6lw4jmwJk5CQDU_xZA83VznFSuM210JVTMfK9_DEnY2IEX5A0kgP78VM07_4Chw&amp;source=documentstudio&amp;timestamp=1741336249083" TargetMode="External"/><Relationship Id="rId283" Type="http://schemas.openxmlformats.org/officeDocument/2006/relationships/hyperlink" Target="https://drive.google.com/open?id=1valgmIilRa6isIREQ15MT93E3gu6EPN7" TargetMode="External"/><Relationship Id="rId490" Type="http://schemas.openxmlformats.org/officeDocument/2006/relationships/hyperlink" Target="https://drive.google.com/open?id=1IryQRAEHcbR2k7-qfDCBd8nAwH73u6Jn" TargetMode="External"/><Relationship Id="rId2171" Type="http://schemas.openxmlformats.org/officeDocument/2006/relationships/hyperlink" Target="https://docs.google.com/forms/d/e/1FAIpQLSeEYwFnViiqk1AbexVe1VDR73UApmeuvfn6Yr2vN8WXjwGu2Q/viewform?edit2=2_ABaOnudIZFS38f8DhzTeDMO5I-UgDfKIeWEhsCR3tBK5If99ITEPgAIKVZAv5tKd_lzm4dM&amp;source=documentstudio&amp;timestamp=1750642122397" TargetMode="External"/><Relationship Id="rId143" Type="http://schemas.openxmlformats.org/officeDocument/2006/relationships/hyperlink" Target="https://drive.google.com/open?id=1fC9xq45GWHXGTjuKkFdr9Juzv-LRawao" TargetMode="External"/><Relationship Id="rId350" Type="http://schemas.openxmlformats.org/officeDocument/2006/relationships/hyperlink" Target="https://drive.google.com/open?id=1jCVe1JJ2blGLf4-MNaTw4OHSaSXRwB9e" TargetMode="External"/><Relationship Id="rId588" Type="http://schemas.openxmlformats.org/officeDocument/2006/relationships/hyperlink" Target="https://drive.google.com/open?id=1z6cFIXNlrkK0G8pizcdIJwTMxYU_dk6j" TargetMode="External"/><Relationship Id="rId795" Type="http://schemas.openxmlformats.org/officeDocument/2006/relationships/hyperlink" Target="https://docs.google.com/forms/d/e/1FAIpQLSeEYwFnViiqk1AbexVe1VDR73UApmeuvfn6Yr2vN8WXjwGu2Q/viewform?edit2=2_ABaOnucUp1_KmzaWwLeyZzbHjJk2gQa0P-FtiaTucAYWI-_NUtLRMKlddLEy2NtFMOsc-Fw&amp;source=documentstudio&amp;timestamp=1719968104999" TargetMode="External"/><Relationship Id="rId2031" Type="http://schemas.openxmlformats.org/officeDocument/2006/relationships/hyperlink" Target="https://docs.google.com/forms/d/e/1FAIpQLSeEYwFnViiqk1AbexVe1VDR73UApmeuvfn6Yr2vN8WXjwGu2Q/viewform?edit2=2_ABaOnud3Doidvi1WqiVEs4PubwwRisiH6otZjKeO0gdwqr8u4HjMRHLj3GxvG1ruw2czyrM&amp;source=documentstudio&amp;timestamp=1748832027541" TargetMode="External"/><Relationship Id="rId2269" Type="http://schemas.openxmlformats.org/officeDocument/2006/relationships/hyperlink" Target="https://docs.google.com/forms/d/e/1FAIpQLSeEYwFnViiqk1AbexVe1VDR73UApmeuvfn6Yr2vN8WXjwGu2Q/viewform?edit2=2_ABaOnudM2mewxNxQFDJ421OnypQPg7LmTvbPrbCm-GXIAOUvQZ-ab-jUyeM9q9exmUTfyOE&amp;source=documentstudio&amp;timestamp=1757401827284" TargetMode="External"/><Relationship Id="rId2476" Type="http://schemas.openxmlformats.org/officeDocument/2006/relationships/hyperlink" Target="https://drive.google.com/open?id=19pz0EAu18zzbM5g3cSEsXQVF_r1x0-1u" TargetMode="External"/><Relationship Id="rId2683" Type="http://schemas.openxmlformats.org/officeDocument/2006/relationships/hyperlink" Target="https://docs.google.com/forms/d/e/1FAIpQLSeEYwFnViiqk1AbexVe1VDR73UApmeuvfn6Yr2vN8WXjwGu2Q/viewform?edit2=2_ABaOnue-hIG5jldx5gHtWYt0uiAqVX7eV5dJv5qTeVRGqSSBGUbLWCgJHQP1yzCmDoaOPVM&amp;source=documentstudio&amp;timestamp=1768791725034" TargetMode="External"/><Relationship Id="rId2890" Type="http://schemas.openxmlformats.org/officeDocument/2006/relationships/hyperlink" Target="https://docs.google.com/forms/d/e/1FAIpQLSeEYwFnViiqk1AbexVe1VDR73UApmeuvfn6Yr2vN8WXjwGu2Q/viewform?edit2=2_ABaOnuePEJNHU7Fnidn-VbaBIIH-CVWoOmFlK8jw03m4vHAY84FonFLscTrXYpms8WkQ4FU&amp;source=documentstudio&amp;timestamp=1769485128748" TargetMode="External"/><Relationship Id="rId9" Type="http://schemas.openxmlformats.org/officeDocument/2006/relationships/hyperlink" Target="https://drive.google.com/open?id=1AxyV8dgxNX-H4xnxvdT-f_T9BwfyLFIA" TargetMode="External"/><Relationship Id="rId210" Type="http://schemas.openxmlformats.org/officeDocument/2006/relationships/hyperlink" Target="https://drive.google.com/open?id=13OVd7gvg8Oj_Xa8nswNi6OfG9ED_zVuT" TargetMode="External"/><Relationship Id="rId448" Type="http://schemas.openxmlformats.org/officeDocument/2006/relationships/hyperlink" Target="https://drive.google.com/open?id=1Dw_81hrXAEY_lxQCarXTiggxhIps1PWI" TargetMode="External"/><Relationship Id="rId655" Type="http://schemas.openxmlformats.org/officeDocument/2006/relationships/hyperlink" Target="https://docs.google.com/forms/d/e/1FAIpQLSeEYwFnViiqk1AbexVe1VDR73UApmeuvfn6Yr2vN8WXjwGu2Q/viewform?edit2=2_ABaOnufVwc3ToLKGRnzzgZ5FSjMyUO8IcrX6malk7Pov_tHYI5VebuR1E1-pgE30LcoUh8w&amp;source=documentstudio&amp;timestamp=1717385398285" TargetMode="External"/><Relationship Id="rId862" Type="http://schemas.openxmlformats.org/officeDocument/2006/relationships/hyperlink" Target="https://drive.google.com/open?id=1cRw7hrRl1LDZ-jsFhwmCDdjeD_W1clwD" TargetMode="External"/><Relationship Id="rId1078" Type="http://schemas.openxmlformats.org/officeDocument/2006/relationships/hyperlink" Target="https://drive.google.com/open?id=1YRevKDlA-aNs9v02JcYpX1dHDuhGXzy2" TargetMode="External"/><Relationship Id="rId1285" Type="http://schemas.openxmlformats.org/officeDocument/2006/relationships/hyperlink" Target="https://docs.google.com/forms/d/e/1FAIpQLSeEYwFnViiqk1AbexVe1VDR73UApmeuvfn6Yr2vN8WXjwGu2Q/viewform?edit2=2_ABaOnucVSwrwxMtuOTjPN2VK3pN3N8VCCFyaz9F9g5okC9m8HbUeD748Kf1SZ8mbLXS0Epg&amp;source=documentstudio&amp;timestamp=1733707589554" TargetMode="External"/><Relationship Id="rId1492" Type="http://schemas.openxmlformats.org/officeDocument/2006/relationships/hyperlink" Target="https://drive.google.com/open?id=1cb1PWZjIlTxyy0BIeGQWRZ5xBnH6qGOx" TargetMode="External"/><Relationship Id="rId2129" Type="http://schemas.openxmlformats.org/officeDocument/2006/relationships/hyperlink" Target="https://docs.google.com/forms/d/e/1FAIpQLSeEYwFnViiqk1AbexVe1VDR73UApmeuvfn6Yr2vN8WXjwGu2Q/viewform?edit2=2_ABaOnueXPtv7of27xO3_QYhY4oDSvU2XaKj1-pxvFuujYpvvWTRBd_9oP84DosbMWwmq0i4&amp;source=documentstudio&amp;timestamp=1748920170090" TargetMode="External"/><Relationship Id="rId2336" Type="http://schemas.openxmlformats.org/officeDocument/2006/relationships/hyperlink" Target="https://drive.google.com/open?id=1iFGRCzqJFxtk2MRnDtxCFxXHAv83VHYn" TargetMode="External"/><Relationship Id="rId2543" Type="http://schemas.openxmlformats.org/officeDocument/2006/relationships/hyperlink" Target="https://docs.google.com/forms/d/e/1FAIpQLSeEYwFnViiqk1AbexVe1VDR73UApmeuvfn6Yr2vN8WXjwGu2Q/viewform?edit2=2_ABaOnufFpGtQWGhgk69mkyntxl67u3ZOUCEP0QIp0Efg9FPeHsHtoZh9cJyNxN644RYhyEg&amp;source=documentstudio&amp;timestamp=1768460316990" TargetMode="External"/><Relationship Id="rId2750" Type="http://schemas.openxmlformats.org/officeDocument/2006/relationships/hyperlink" Target="https://drive.google.com/open?id=1aChPGhuBy7cNfG7cYmzBVZ0ecevjuPKa" TargetMode="External"/><Relationship Id="rId308" Type="http://schemas.openxmlformats.org/officeDocument/2006/relationships/hyperlink" Target="https://drive.google.com/open?id=1_g6uOj3QrHr5STQJOp2fu_51nAE5NMAx" TargetMode="External"/><Relationship Id="rId515" Type="http://schemas.openxmlformats.org/officeDocument/2006/relationships/hyperlink" Target="https://drive.google.com/open?id=1kxjL7Xv0D592wWbuYec6g9c9jEq8dWai" TargetMode="External"/><Relationship Id="rId722" Type="http://schemas.openxmlformats.org/officeDocument/2006/relationships/hyperlink" Target="https://drive.google.com/open?id=1unHfI1a03XfBPm9oEazSq3DoPoVwazs8" TargetMode="External"/><Relationship Id="rId1145" Type="http://schemas.openxmlformats.org/officeDocument/2006/relationships/hyperlink" Target="https://docs.google.com/forms/d/e/1FAIpQLSeEYwFnViiqk1AbexVe1VDR73UApmeuvfn6Yr2vN8WXjwGu2Q/viewform?edit2=2_ABaOnuc-Fu2OJuNfqaHu8uLM9YFp9VrLNrt234s8MBmtDGrXu_h5CA04lkvIjP29U-5z0Qk&amp;source=documentstudio&amp;timestamp=1728011280874" TargetMode="External"/><Relationship Id="rId1352" Type="http://schemas.openxmlformats.org/officeDocument/2006/relationships/hyperlink" Target="https://drive.google.com/open?id=1udHy3zxOLx4maErI_nc7co5BGTkJ5UVa" TargetMode="External"/><Relationship Id="rId1797" Type="http://schemas.openxmlformats.org/officeDocument/2006/relationships/hyperlink" Target="https://drive.google.com/open?id=1Dz6F_Okc7tlvf5Os7EPIP27Gm8qhp5Av" TargetMode="External"/><Relationship Id="rId2403" Type="http://schemas.openxmlformats.org/officeDocument/2006/relationships/hyperlink" Target="https://docs.google.com/forms/d/e/1FAIpQLSeEYwFnViiqk1AbexVe1VDR73UApmeuvfn6Yr2vN8WXjwGu2Q/viewform?edit2=2_ABaOnucwVLDnneJAEEDGdx6MN4Efrg5w__UJBrv0glF1X0wdmQ-ZA0Vsp1m9HL6ka2CN0rw&amp;source=documentstudio&amp;timestamp=1768439290881" TargetMode="External"/><Relationship Id="rId2848" Type="http://schemas.openxmlformats.org/officeDocument/2006/relationships/hyperlink" Target="https://drive.google.com/open?id=11y7wqSImCCcjS4MisPCkc7HAGcBa4NQW" TargetMode="External"/><Relationship Id="rId89" Type="http://schemas.openxmlformats.org/officeDocument/2006/relationships/hyperlink" Target="https://drive.google.com/open?id=1LngpTJUfFnhJ4gYhnm6c7jxZRsvzr3nx" TargetMode="External"/><Relationship Id="rId1005" Type="http://schemas.openxmlformats.org/officeDocument/2006/relationships/hyperlink" Target="https://docs.google.com/forms/d/e/1FAIpQLSeEYwFnViiqk1AbexVe1VDR73UApmeuvfn6Yr2vN8WXjwGu2Q/viewform?edit2=2_ABaOnue34Z0mQeJd8Ii8pj4__7KjskMHgoAgoj11d3bu8RpWysNPtbIPF6MDahQBYToUIYE&amp;source=documentstudio&amp;timestamp=1723531693238" TargetMode="External"/><Relationship Id="rId1212" Type="http://schemas.openxmlformats.org/officeDocument/2006/relationships/hyperlink" Target="https://drive.google.com/open?id=1-aaoAhSNE47uTSUMJxcXIUdOt9NbGOh9" TargetMode="External"/><Relationship Id="rId1657" Type="http://schemas.openxmlformats.org/officeDocument/2006/relationships/hyperlink" Target="https://docs.google.com/forms/d/e/1FAIpQLSeEYwFnViiqk1AbexVe1VDR73UApmeuvfn6Yr2vN8WXjwGu2Q/viewform?edit2=2_ABaOnuer_2wNx6zOQqVTMifL_Kb9mnDXcHl8XvCOdLU8PO85HE2KeMvJxjSdamTkXuBgTy0&amp;source=documentstudio&amp;timestamp=1741333650648" TargetMode="External"/><Relationship Id="rId1864" Type="http://schemas.openxmlformats.org/officeDocument/2006/relationships/hyperlink" Target="https://docs.google.com/forms/d/e/1FAIpQLSeEYwFnViiqk1AbexVe1VDR73UApmeuvfn6Yr2vN8WXjwGu2Q/viewform?edit2=2_ABaOnufFeF1jVQ3agCRoicsyfmuh0WGjl8treQ0fkUL5uoJirhF3K0FFGlpJQ5hMDqDs4Vg&amp;source=documentstudio&amp;timestamp=1742185094169" TargetMode="External"/><Relationship Id="rId2610" Type="http://schemas.openxmlformats.org/officeDocument/2006/relationships/hyperlink" Target="https://drive.google.com/open?id=1gAutkk7O_x_5bKm8SVfe8ct7qMh1v2Lu" TargetMode="External"/><Relationship Id="rId2708" Type="http://schemas.openxmlformats.org/officeDocument/2006/relationships/hyperlink" Target="https://drive.google.com/open?id=1oBRUstKkaEAIRdSY52Fw-5asiAIxzZlz" TargetMode="External"/><Relationship Id="rId2915" Type="http://schemas.openxmlformats.org/officeDocument/2006/relationships/hyperlink" Target="https://drive.google.com/open?id=15WIVtitVyTRmxlFpzyNLD_BO36wmr_LW" TargetMode="External"/><Relationship Id="rId1517" Type="http://schemas.openxmlformats.org/officeDocument/2006/relationships/hyperlink" Target="https://docs.google.com/forms/d/e/1FAIpQLSeEYwFnViiqk1AbexVe1VDR73UApmeuvfn6Yr2vN8WXjwGu2Q/viewform?edit2=2_ABaOnucDZs2fbo2dCmpy8GBGtodvli4JBUVlr6ygs4zZyPUiDLVbV_EwmJk5AaQRaP-_5WA&amp;source=documentstudio&amp;timestamp=1739327949450" TargetMode="External"/><Relationship Id="rId1724" Type="http://schemas.openxmlformats.org/officeDocument/2006/relationships/hyperlink" Target="https://drive.google.com/open?id=1Ol7VgcQzZ-0UZZ48Tg5HCQYwRO5U8f6Y" TargetMode="External"/><Relationship Id="rId16" Type="http://schemas.openxmlformats.org/officeDocument/2006/relationships/hyperlink" Target="https://drive.google.com/open?id=1WsyhnlmJpQhu9kCgjPBIrdLVw9ctgL1C" TargetMode="External"/><Relationship Id="rId1931" Type="http://schemas.openxmlformats.org/officeDocument/2006/relationships/hyperlink" Target="https://drive.google.com/open?id=1iQQwCm6Jm-1NU4CCBUQr40nb358Q0Cwu" TargetMode="External"/><Relationship Id="rId2193" Type="http://schemas.openxmlformats.org/officeDocument/2006/relationships/hyperlink" Target="https://docs.google.com/forms/d/e/1FAIpQLSeEYwFnViiqk1AbexVe1VDR73UApmeuvfn6Yr2vN8WXjwGu2Q/viewform?edit2=2_ABaOnueSPEjaeIXzMX_Poqy5vhK2gLXx6eQpaenHJu4ZNR8se4dhhXX2Myfs-rgfC3p-LhU&amp;source=documentstudio&amp;timestamp=1750900567152" TargetMode="External"/><Relationship Id="rId2498" Type="http://schemas.openxmlformats.org/officeDocument/2006/relationships/hyperlink" Target="https://drive.google.com/open?id=1Z8LTK7WjJbwUtxE6RuFej1OYdGNr_fh4" TargetMode="External"/><Relationship Id="rId165" Type="http://schemas.openxmlformats.org/officeDocument/2006/relationships/hyperlink" Target="https://drive.google.com/open?id=1zFtAJhEwi_JPmtFAGrOqnbBjYAl1Hk9w" TargetMode="External"/><Relationship Id="rId372" Type="http://schemas.openxmlformats.org/officeDocument/2006/relationships/hyperlink" Target="https://drive.google.com/open?id=1pQ26jeJ9H54RHSQV9AirqUWTA0toR7ou" TargetMode="External"/><Relationship Id="rId677" Type="http://schemas.openxmlformats.org/officeDocument/2006/relationships/hyperlink" Target="https://docs.google.com/forms/d/e/1FAIpQLSeEYwFnViiqk1AbexVe1VDR73UApmeuvfn6Yr2vN8WXjwGu2Q/viewform?edit2=2_ABaOnueUUYV4sL004iH-I48eo9O_BHM6mAeyhwOf2-ANjyYgPMtlXEardm84Ptwl5VPyX-s&amp;source=documentstudio&amp;timestamp=1717389957981" TargetMode="External"/><Relationship Id="rId2053" Type="http://schemas.openxmlformats.org/officeDocument/2006/relationships/hyperlink" Target="https://docs.google.com/forms/d/e/1FAIpQLSeEYwFnViiqk1AbexVe1VDR73UApmeuvfn6Yr2vN8WXjwGu2Q/viewform?edit2=2_ABaOnucDYn8amqSSwJCPzYeLoqx2y4KTm0MUUylIyj7u5ca7qRWwB5bapBGG4UDf0-B257I&amp;source=documentstudio&amp;timestamp=1748839606126" TargetMode="External"/><Relationship Id="rId2260" Type="http://schemas.openxmlformats.org/officeDocument/2006/relationships/hyperlink" Target="https://drive.google.com/open?id=1A58Kedp8LrQJigT88rZypFXLTdG80qMo" TargetMode="External"/><Relationship Id="rId2358" Type="http://schemas.openxmlformats.org/officeDocument/2006/relationships/hyperlink" Target="https://drive.google.com/open?id=1gA70ranCz2oZSHJMF644-ai8IF36c08_" TargetMode="External"/><Relationship Id="rId232" Type="http://schemas.openxmlformats.org/officeDocument/2006/relationships/hyperlink" Target="https://drive.google.com/open?id=18SgcGPs797lvyepobrUw5vX9tj0v0kBt" TargetMode="External"/><Relationship Id="rId884" Type="http://schemas.openxmlformats.org/officeDocument/2006/relationships/hyperlink" Target="https://drive.google.com/open?id=1hxqQ5HjC23w09bY9GTbsEDHKT3mCQi84" TargetMode="External"/><Relationship Id="rId2120" Type="http://schemas.openxmlformats.org/officeDocument/2006/relationships/hyperlink" Target="https://drive.google.com/open?id=1DdXGWkC_0PBLXNl7ibPmpTgM5C7AdpPq" TargetMode="External"/><Relationship Id="rId2565" Type="http://schemas.openxmlformats.org/officeDocument/2006/relationships/hyperlink" Target="https://docs.google.com/forms/d/e/1FAIpQLSeEYwFnViiqk1AbexVe1VDR73UApmeuvfn6Yr2vN8WXjwGu2Q/viewform?edit2=2_ABaOnufuBIeoce7seUU3viLcQigYgM-Y89HDsNUCmN7gTjFRO0hvJSKyFJBgel-lZCF2emI&amp;source=documentstudio&amp;timestamp=1768461436758" TargetMode="External"/><Relationship Id="rId2772" Type="http://schemas.openxmlformats.org/officeDocument/2006/relationships/hyperlink" Target="https://drive.google.com/open?id=1rKc2-NzkibFq3hu7_LstBZOCGNwyU5Ks" TargetMode="External"/><Relationship Id="rId537" Type="http://schemas.openxmlformats.org/officeDocument/2006/relationships/hyperlink" Target="https://drive.google.com/open?id=1ZWR4qAjWmBehGMdaaaYMkxrXRPQhUOpX" TargetMode="External"/><Relationship Id="rId744" Type="http://schemas.openxmlformats.org/officeDocument/2006/relationships/hyperlink" Target="https://drive.google.com/open?id=1LVRG0avtg8TpNK3kxDvLHJtT6YkcX95h" TargetMode="External"/><Relationship Id="rId951" Type="http://schemas.openxmlformats.org/officeDocument/2006/relationships/hyperlink" Target="https://docs.google.com/forms/d/e/1FAIpQLSeEYwFnViiqk1AbexVe1VDR73UApmeuvfn6Yr2vN8WXjwGu2Q/viewform?edit2=2_ABaOnuej_5REmw6d1Q0kzibrttEjBtl-lNsuZFYm0nCAqxBkHeTCoJ1feSZvw5r5UyL3nd4&amp;source=documentstudio&amp;timestamp=1721627438686" TargetMode="External"/><Relationship Id="rId1167" Type="http://schemas.openxmlformats.org/officeDocument/2006/relationships/hyperlink" Target="https://docs.google.com/forms/d/e/1FAIpQLSeEYwFnViiqk1AbexVe1VDR73UApmeuvfn6Yr2vN8WXjwGu2Q/viewform?edit2=2_ABaOnufKko1PWPwVRxP07Q7vr6L06YA7ZeX53797BRhMxBiaP7L93sFfUM1cngjU4nVnJMY&amp;source=documentstudio&amp;timestamp=1728265925689" TargetMode="External"/><Relationship Id="rId1374" Type="http://schemas.openxmlformats.org/officeDocument/2006/relationships/hyperlink" Target="https://drive.google.com/open?id=1RebIndnkP8Yqmx6rvVsPuki-z1AISJFO" TargetMode="External"/><Relationship Id="rId1581" Type="http://schemas.openxmlformats.org/officeDocument/2006/relationships/hyperlink" Target="https://docs.google.com/forms/d/e/1FAIpQLSeEYwFnViiqk1AbexVe1VDR73UApmeuvfn6Yr2vN8WXjwGu2Q/viewform?edit2=2_ABaOnuc-f-htJ4OfL7co4ZsPHNKnKEWJwjo3YUNnp0qvS4e7IsfO1jwrCavEvGxI1D7fwZc&amp;source=documentstudio&amp;timestamp=1739329401744" TargetMode="External"/><Relationship Id="rId1679" Type="http://schemas.openxmlformats.org/officeDocument/2006/relationships/hyperlink" Target="https://docs.google.com/forms/d/e/1FAIpQLSeEYwFnViiqk1AbexVe1VDR73UApmeuvfn6Yr2vN8WXjwGu2Q/viewform?edit2=2_ABaOnucjIx0toc5jUR8tWp7ifhsf-hGU67cJaEPMgiTpO7Dg3s-x2Qm4ajhopI8bAQuQsIk&amp;source=documentstudio&amp;timestamp=1741334612948" TargetMode="External"/><Relationship Id="rId2218" Type="http://schemas.openxmlformats.org/officeDocument/2006/relationships/hyperlink" Target="https://drive.google.com/open?id=13xb31wr7d0FjSzcBDvkEznXERaHJdpTE" TargetMode="External"/><Relationship Id="rId2425" Type="http://schemas.openxmlformats.org/officeDocument/2006/relationships/hyperlink" Target="https://docs.google.com/forms/d/e/1FAIpQLSeEYwFnViiqk1AbexVe1VDR73UApmeuvfn6Yr2vN8WXjwGu2Q/viewform?edit2=2_ABaOnue-c2Bni0zGK09N525x82w4FIfrxYEa_4XazDCylY_z33Z82akfNy27O2qYlTBYBHI&amp;source=documentstudio&amp;timestamp=1768439637622" TargetMode="External"/><Relationship Id="rId2632" Type="http://schemas.openxmlformats.org/officeDocument/2006/relationships/hyperlink" Target="https://drive.google.com/open?id=1drybmRpUrttep0-aiC05JpW8S7bxV3-p" TargetMode="External"/><Relationship Id="rId80" Type="http://schemas.openxmlformats.org/officeDocument/2006/relationships/hyperlink" Target="https://drive.google.com/open?id=1m-LeJ8KpjL3ZttVNyKa2VjbcyZZCy5XG" TargetMode="External"/><Relationship Id="rId604" Type="http://schemas.openxmlformats.org/officeDocument/2006/relationships/hyperlink" Target="https://drive.google.com/open?id=1s-XBTWQGglynePfK4o51eeHTmiX5sGAO" TargetMode="External"/><Relationship Id="rId811" Type="http://schemas.openxmlformats.org/officeDocument/2006/relationships/hyperlink" Target="https://docs.google.com/forms/d/e/1FAIpQLSeEYwFnViiqk1AbexVe1VDR73UApmeuvfn6Yr2vN8WXjwGu2Q/viewform?edit2=2_ABaOnueEmu-JxFbbBSgI2_pqw9MgJFMfeXaVQGdVoqGN13Ksgfo_pJMQcODp9Hx4h3GLlNM&amp;source=documentstudio&amp;timestamp=1720410161324" TargetMode="External"/><Relationship Id="rId1027" Type="http://schemas.openxmlformats.org/officeDocument/2006/relationships/hyperlink" Target="https://docs.google.com/forms/d/e/1FAIpQLSeEYwFnViiqk1AbexVe1VDR73UApmeuvfn6Yr2vN8WXjwGu2Q/viewform?edit2=2_ABaOnuf9WN97z_3EPbknrNpAxg-YN3jGE_kj14beTC9aNLru0b7dRX97jc8iHMO-VK5GSOo&amp;source=documentstudio&amp;timestamp=1723685121814" TargetMode="External"/><Relationship Id="rId1234" Type="http://schemas.openxmlformats.org/officeDocument/2006/relationships/hyperlink" Target="https://drive.google.com/open?id=1911_Vst1MHKJ0AzVRkX-N6h3mnGsCECm" TargetMode="External"/><Relationship Id="rId1441" Type="http://schemas.openxmlformats.org/officeDocument/2006/relationships/hyperlink" Target="https://docs.google.com/forms/d/e/1FAIpQLSeEYwFnViiqk1AbexVe1VDR73UApmeuvfn6Yr2vN8WXjwGu2Q/viewform?edit2=2_ABaOnuctzlp75n08Xwo3bvMOp2LqfTqIoCBhCWfy1B4lXX3GpCNQRgjet36ZL2Ys1HjWF6w&amp;source=documentstudio&amp;timestamp=1737446935953" TargetMode="External"/><Relationship Id="rId1886" Type="http://schemas.openxmlformats.org/officeDocument/2006/relationships/hyperlink" Target="https://docs.google.com/forms/d/e/1FAIpQLSeEYwFnViiqk1AbexVe1VDR73UApmeuvfn6Yr2vN8WXjwGu2Q/viewform?edit2=2_ABaOnudAgB5FR0v0IwMSnQEoNNSKY4GuQqEvlKlIsxgJMOQ5PpNAo-noobvZAMSU7Ol_iTM&amp;source=documentstudio&amp;timestamp=1744683716293" TargetMode="External"/><Relationship Id="rId2937" Type="http://schemas.openxmlformats.org/officeDocument/2006/relationships/hyperlink" Target="https://drive.google.com/open?id=1pIojLanPkEG-BS3_IbMZW68vfQGu9_Jl" TargetMode="External"/><Relationship Id="rId909" Type="http://schemas.openxmlformats.org/officeDocument/2006/relationships/hyperlink" Target="https://docs.google.com/forms/d/e/1FAIpQLSeEYwFnViiqk1AbexVe1VDR73UApmeuvfn6Yr2vN8WXjwGu2Q/viewform?edit2=2_ABaOnue4g0p6H57J0dP5H0Zge8B9dy-NpnuouopRMWoijS-TpJsd7IZd6HfuGjcc6HyiMYM&amp;source=documentstudio&amp;timestamp=1721619511955" TargetMode="External"/><Relationship Id="rId1301" Type="http://schemas.openxmlformats.org/officeDocument/2006/relationships/hyperlink" Target="https://docs.google.com/forms/d/e/1FAIpQLSeEYwFnViiqk1AbexVe1VDR73UApmeuvfn6Yr2vN8WXjwGu2Q/viewform?edit2=2_ABaOnueSFUqLw2dU_xi8PDZ70qAmyknrdZyOrQ0fam3l8NAbTUtuLrJBcmqxhzfGQfYXWow&amp;source=documentstudio&amp;timestamp=1733792219005" TargetMode="External"/><Relationship Id="rId1539" Type="http://schemas.openxmlformats.org/officeDocument/2006/relationships/hyperlink" Target="https://docs.google.com/forms/d/e/1FAIpQLSeEYwFnViiqk1AbexVe1VDR73UApmeuvfn6Yr2vN8WXjwGu2Q/viewform?edit2=2_ABaOnueBprRAJD4aqDXMp3kjRdALATVfVbHX_ccgJsGgw3T2t1MPa8qxlLLasnEXon5Pnw4&amp;source=documentstudio&amp;timestamp=1739328641352" TargetMode="External"/><Relationship Id="rId1746" Type="http://schemas.openxmlformats.org/officeDocument/2006/relationships/hyperlink" Target="https://docs.google.com/forms/d/e/1FAIpQLSeEYwFnViiqk1AbexVe1VDR73UApmeuvfn6Yr2vN8WXjwGu2Q/viewform?edit2=2_ABaOnuf9dFdaUglSn8dZCxs6yrBgR1_oF-iHflnDVX5xIfHtedl0RtIcZn_LRd06wjvz_Gc&amp;source=documentstudio&amp;timestamp=1741568052753" TargetMode="External"/><Relationship Id="rId1953" Type="http://schemas.openxmlformats.org/officeDocument/2006/relationships/hyperlink" Target="https://drive.google.com/open?id=1H5N4IQ_FH-TvkC-mhOpxVonRZEH8BZI1" TargetMode="External"/><Relationship Id="rId38" Type="http://schemas.openxmlformats.org/officeDocument/2006/relationships/hyperlink" Target="https://drive.google.com/open?id=1EFzMTo0ZKYmbdHpDgl7Wu9XyG-SE1KZ-" TargetMode="External"/><Relationship Id="rId1606" Type="http://schemas.openxmlformats.org/officeDocument/2006/relationships/hyperlink" Target="https://drive.google.com/open?id=1pIXj5YuYN0VpUvpqk-8MdzvlpzR1BTMD" TargetMode="External"/><Relationship Id="rId1813" Type="http://schemas.openxmlformats.org/officeDocument/2006/relationships/hyperlink" Target="https://drive.google.com/open?id=12otjsZWiCMGFo-bKtvXkwLhVE49Q_3MZ" TargetMode="External"/><Relationship Id="rId187" Type="http://schemas.openxmlformats.org/officeDocument/2006/relationships/hyperlink" Target="https://drive.google.com/open?id=16GoT55xZscAoz6l-uocmpNymf9xFszOv" TargetMode="External"/><Relationship Id="rId394" Type="http://schemas.openxmlformats.org/officeDocument/2006/relationships/hyperlink" Target="https://drive.google.com/open?id=1yY4yxAcirlHC7LywR1Ww-gBEsW5Te4DQ" TargetMode="External"/><Relationship Id="rId2075" Type="http://schemas.openxmlformats.org/officeDocument/2006/relationships/hyperlink" Target="https://docs.google.com/forms/d/e/1FAIpQLSeEYwFnViiqk1AbexVe1VDR73UApmeuvfn6Yr2vN8WXjwGu2Q/viewform?edit2=2_ABaOnueci64NwIzNWTFgcQXzPb_UjLVDSPmK8H_xhp4_eaFiIcyBmhdwt08-hJfdRvva88A&amp;source=documentstudio&amp;timestamp=1748846308327" TargetMode="External"/><Relationship Id="rId2282" Type="http://schemas.openxmlformats.org/officeDocument/2006/relationships/hyperlink" Target="https://drive.google.com/open?id=1dtLavTOzt0vqClKea0_nDh9fExua5K7h" TargetMode="External"/><Relationship Id="rId254" Type="http://schemas.openxmlformats.org/officeDocument/2006/relationships/hyperlink" Target="https://drive.google.com/open?id=1e5xsZqbDsAA5gZoLwVGuEbmq-WHlktlr" TargetMode="External"/><Relationship Id="rId699" Type="http://schemas.openxmlformats.org/officeDocument/2006/relationships/hyperlink" Target="https://docs.google.com/forms/d/e/1FAIpQLSeEYwFnViiqk1AbexVe1VDR73UApmeuvfn6Yr2vN8WXjwGu2Q/viewform?edit2=2_ABaOnucsTLV6KIowT_dLjzKawcwRYWPcr80LLPimfK2RHVN4Uczeb_e5NPKTZg2tUoE8ZKE&amp;source=documentstudio&amp;timestamp=1717548582888" TargetMode="External"/><Relationship Id="rId1091" Type="http://schemas.openxmlformats.org/officeDocument/2006/relationships/hyperlink" Target="https://docs.google.com/forms/d/e/1FAIpQLSeEYwFnViiqk1AbexVe1VDR73UApmeuvfn6Yr2vN8WXjwGu2Q/viewform?edit2=2_ABaOnudntw5p3kSs_iYabCMV-Sd13BucjxZHr7i_P1Mv3zYnFtxotOGYw-x2qXH4ncaWq8Q&amp;source=documentstudio&amp;timestamp=1726109973507" TargetMode="External"/><Relationship Id="rId2587" Type="http://schemas.openxmlformats.org/officeDocument/2006/relationships/hyperlink" Target="https://docs.google.com/forms/d/e/1FAIpQLSeEYwFnViiqk1AbexVe1VDR73UApmeuvfn6Yr2vN8WXjwGu2Q/viewform?edit2=2_ABaOnudN8lnf3XJw-FYX9ffikgU35Cg7pmwqETx2FmdyWG1R5vDZkGEu-b0rO1j1iRmvfe0&amp;source=documentstudio&amp;timestamp=1768464331953" TargetMode="External"/><Relationship Id="rId2794" Type="http://schemas.openxmlformats.org/officeDocument/2006/relationships/hyperlink" Target="https://drive.google.com/open?id=1lAcSvNzaZf2YWW9uS8MMONvDRI4huOCl" TargetMode="External"/><Relationship Id="rId114" Type="http://schemas.openxmlformats.org/officeDocument/2006/relationships/hyperlink" Target="https://drive.google.com/open?id=1UIdhsfPnvebeqGp5AlrURXmHmrOIzEAW" TargetMode="External"/><Relationship Id="rId461" Type="http://schemas.openxmlformats.org/officeDocument/2006/relationships/hyperlink" Target="https://drive.google.com/open?id=19bP0pjsK8_0rKg0R53-FOtpzTAt0O6qO" TargetMode="External"/><Relationship Id="rId559" Type="http://schemas.openxmlformats.org/officeDocument/2006/relationships/hyperlink" Target="https://drive.google.com/open?id=1BoJbax79WvKfAQjDfCA04kXLYgxRrtqZ" TargetMode="External"/><Relationship Id="rId766" Type="http://schemas.openxmlformats.org/officeDocument/2006/relationships/hyperlink" Target="https://drive.google.com/open?id=1maJBvjnrV4P_Kmr7uB1CU-kWHuPRvsXb" TargetMode="External"/><Relationship Id="rId1189" Type="http://schemas.openxmlformats.org/officeDocument/2006/relationships/hyperlink" Target="https://docs.google.com/forms/d/e/1FAIpQLSeEYwFnViiqk1AbexVe1VDR73UApmeuvfn6Yr2vN8WXjwGu2Q/viewform?edit2=2_ABaOnucavakYZXv3lRMYi8vgxe1Skxk_Az5uMknF4sFSq_Yjzbg94zbL45vTZEiqZ8ng_Hg&amp;source=documentstudio&amp;timestamp=1730941452727" TargetMode="External"/><Relationship Id="rId1396" Type="http://schemas.openxmlformats.org/officeDocument/2006/relationships/hyperlink" Target="https://drive.google.com/open?id=1pFZ04ozLeS3_NqFEGlLW8-KhQuI4TZ-k" TargetMode="External"/><Relationship Id="rId2142" Type="http://schemas.openxmlformats.org/officeDocument/2006/relationships/hyperlink" Target="https://drive.google.com/open?id=1--k3KSgmPodOU3F6qrQ5S8K_v376xKw2" TargetMode="External"/><Relationship Id="rId2447" Type="http://schemas.openxmlformats.org/officeDocument/2006/relationships/hyperlink" Target="https://docs.google.com/forms/d/e/1FAIpQLSeEYwFnViiqk1AbexVe1VDR73UApmeuvfn6Yr2vN8WXjwGu2Q/viewform?edit2=2_ABaOnue5-_7Xlkpp0ZR9UtmlDJWW-jgcBhA8TN3C0s1kkH0-phDlO86Zytqamkilz6GRP9c&amp;source=documentstudio&amp;timestamp=1768441637729" TargetMode="External"/><Relationship Id="rId321" Type="http://schemas.openxmlformats.org/officeDocument/2006/relationships/hyperlink" Target="https://drive.google.com/open?id=1OF5LjlW7jXKfQu5IQtUUdhSN3IjmK-uF" TargetMode="External"/><Relationship Id="rId419" Type="http://schemas.openxmlformats.org/officeDocument/2006/relationships/hyperlink" Target="https://drive.google.com/open?id=1bMRCHdWJALZ2GeK5wyONrk32wmJ4jaut" TargetMode="External"/><Relationship Id="rId626" Type="http://schemas.openxmlformats.org/officeDocument/2006/relationships/hyperlink" Target="https://drive.google.com/open?id=1wUWs9AMZLUEcWapr_iL8EiMmWzi97tUg" TargetMode="External"/><Relationship Id="rId973" Type="http://schemas.openxmlformats.org/officeDocument/2006/relationships/hyperlink" Target="https://docs.google.com/forms/d/e/1FAIpQLSeEYwFnViiqk1AbexVe1VDR73UApmeuvfn6Yr2vN8WXjwGu2Q/viewform?edit2=2_ABaOnuecDhwa1l5XqpvgOrEBHVd9To4Yo2sISAvlB1ud9qSCI6i7wvIi31NJjd_R_8bhSgc&amp;source=documentstudio&amp;timestamp=1722929493785" TargetMode="External"/><Relationship Id="rId1049" Type="http://schemas.openxmlformats.org/officeDocument/2006/relationships/hyperlink" Target="https://docs.google.com/forms/d/e/1FAIpQLSeEYwFnViiqk1AbexVe1VDR73UApmeuvfn6Yr2vN8WXjwGu2Q/viewform?edit2=2_ABaOnud0nUT_Td4weqBdXYwyjLObGYQqPahOgJe9LkGuGOOFfzWsFbJMu9G9qVRHHVp6z8M&amp;source=documentstudio&amp;timestamp=1725498734956" TargetMode="External"/><Relationship Id="rId1256" Type="http://schemas.openxmlformats.org/officeDocument/2006/relationships/hyperlink" Target="https://drive.google.com/open?id=1Y5rjgzGCBmSmTymyAzEDErmwVQ6Du_ZR" TargetMode="External"/><Relationship Id="rId2002" Type="http://schemas.openxmlformats.org/officeDocument/2006/relationships/hyperlink" Target="https://drive.google.com/open?id=1OkAC2WIEcTaeQvd2lRbGyTPe1PV1ng0c" TargetMode="External"/><Relationship Id="rId2307" Type="http://schemas.openxmlformats.org/officeDocument/2006/relationships/hyperlink" Target="https://docs.google.com/forms/d/e/1FAIpQLSeEYwFnViiqk1AbexVe1VDR73UApmeuvfn6Yr2vN8WXjwGu2Q/viewform?edit2=2_ABaOnud9cMFgsNCaRzk3sBzqBf-ewcm1uH9P3cQIHlbJSrzwPgxykXL6M1LTkloI2nz1b2s&amp;source=documentstudio&amp;timestamp=1760410562028" TargetMode="External"/><Relationship Id="rId2654" Type="http://schemas.openxmlformats.org/officeDocument/2006/relationships/hyperlink" Target="https://drive.google.com/open?id=12LF-7iR8Se4O3wslxJjdPHLiOPZISeSu" TargetMode="External"/><Relationship Id="rId2861" Type="http://schemas.openxmlformats.org/officeDocument/2006/relationships/hyperlink" Target="https://docs.google.com/forms/d/e/1FAIpQLSeEYwFnViiqk1AbexVe1VDR73UApmeuvfn6Yr2vN8WXjwGu2Q/viewform?edit2=2_ABaOnudiPgTgniL9coO8WTowhYMU3vVOb77b2KBTqfyLfF-dI_NyOWDUZK2sjI8rWbCQzTE&amp;source=documentstudio&amp;timestamp=1769416234703" TargetMode="External"/><Relationship Id="rId2959" Type="http://schemas.openxmlformats.org/officeDocument/2006/relationships/hyperlink" Target="https://drive.google.com/open?id=133onWMyDe_9q41kDu7dGnKBdpdfiWk02" TargetMode="External"/><Relationship Id="rId833" Type="http://schemas.openxmlformats.org/officeDocument/2006/relationships/hyperlink" Target="https://docs.google.com/forms/d/e/1FAIpQLSeEYwFnViiqk1AbexVe1VDR73UApmeuvfn6Yr2vN8WXjwGu2Q/viewform?edit2=2_ABaOnudH_IdyKUbssDkX5GJQLvOH0PHFjwTIqqpOC4F7jr5ld1r6Il12LDkX9DHyl663Mec&amp;source=documentstudio&amp;timestamp=1720483311985" TargetMode="External"/><Relationship Id="rId1116" Type="http://schemas.openxmlformats.org/officeDocument/2006/relationships/hyperlink" Target="https://drive.google.com/open?id=18cnKp_Qc28vqqWfhAD1fOIMbysqvWvnC" TargetMode="External"/><Relationship Id="rId1463" Type="http://schemas.openxmlformats.org/officeDocument/2006/relationships/hyperlink" Target="https://docs.google.com/forms/d/e/1FAIpQLSeEYwFnViiqk1AbexVe1VDR73UApmeuvfn6Yr2vN8WXjwGu2Q/viewform?edit2=2_ABaOnudEiXpAs9EnIiqu8kvHJrCKVr-Wb4_XDszfxtl_fMrjxKUEZ6-u7mHhB93WJsU7TPo&amp;source=documentstudio&amp;timestamp=1737447749101" TargetMode="External"/><Relationship Id="rId1670" Type="http://schemas.openxmlformats.org/officeDocument/2006/relationships/hyperlink" Target="https://drive.google.com/open?id=1Pegk5ao5k1zfdPXB4AStdrhZLcvIMeAi" TargetMode="External"/><Relationship Id="rId1768" Type="http://schemas.openxmlformats.org/officeDocument/2006/relationships/hyperlink" Target="https://docs.google.com/forms/d/e/1FAIpQLSeEYwFnViiqk1AbexVe1VDR73UApmeuvfn6Yr2vN8WXjwGu2Q/viewform?edit2=2_ABaOnufJlBW7EueQOaaADNKpxUyhTnKp7tqwTOTCzCZyB8rLGX_DwqzR1LjpyJY2Ustb8-w&amp;source=documentstudio&amp;timestamp=1741573717650" TargetMode="External"/><Relationship Id="rId2514" Type="http://schemas.openxmlformats.org/officeDocument/2006/relationships/hyperlink" Target="https://drive.google.com/open?id=1YbvetSod__i1c5vW6oKKhXzp0c_7EOUA" TargetMode="External"/><Relationship Id="rId2721" Type="http://schemas.openxmlformats.org/officeDocument/2006/relationships/hyperlink" Target="https://docs.google.com/forms/d/e/1FAIpQLSeEYwFnViiqk1AbexVe1VDR73UApmeuvfn6Yr2vN8WXjwGu2Q/viewform?edit2=2_ABaOnudBEoMBYM601zaH3hboZNBcjL0kIJzoP_OGF2uXwIWs6tk2BCqmu7FqUxXC-ObnNfg&amp;source=documentstudio&amp;timestamp=1768794843949" TargetMode="External"/><Relationship Id="rId2819" Type="http://schemas.openxmlformats.org/officeDocument/2006/relationships/hyperlink" Target="https://docs.google.com/forms/d/e/1FAIpQLSeEYwFnViiqk1AbexVe1VDR73UApmeuvfn6Yr2vN8WXjwGu2Q/viewform?edit2=2_ABaOnuer7eQkiJqpUZgsV7FFZYqAERbQd8UbB0tAgR3cUWaVFcPpF6LfzNAjNml4JqCWEQM&amp;source=documentstudio&amp;timestamp=1769394263153" TargetMode="External"/><Relationship Id="rId900" Type="http://schemas.openxmlformats.org/officeDocument/2006/relationships/hyperlink" Target="https://drive.google.com/open?id=1NPfZGppuTbsx0AYmJQTk5hHU1dkwHQqE" TargetMode="External"/><Relationship Id="rId1323" Type="http://schemas.openxmlformats.org/officeDocument/2006/relationships/hyperlink" Target="https://docs.google.com/forms/d/e/1FAIpQLSeEYwFnViiqk1AbexVe1VDR73UApmeuvfn6Yr2vN8WXjwGu2Q/viewform?edit2=2_ABaOnuepS44lJ9ec0Qsr_VAq79M1LpIcYP7PVqbpohhxKD7g8BG-nV9V2eCNTnjmBYwLg-c&amp;source=documentstudio&amp;timestamp=1735894122574" TargetMode="External"/><Relationship Id="rId1530" Type="http://schemas.openxmlformats.org/officeDocument/2006/relationships/hyperlink" Target="https://drive.google.com/open?id=1TffrhySvFqcSLGeQWxo-iG0wB3OUzvrF" TargetMode="External"/><Relationship Id="rId1628" Type="http://schemas.openxmlformats.org/officeDocument/2006/relationships/hyperlink" Target="https://drive.google.com/open?id=1QL9WGCPe3HqUcycPqRkc-37cKhhn_-yn" TargetMode="External"/><Relationship Id="rId1975" Type="http://schemas.openxmlformats.org/officeDocument/2006/relationships/hyperlink" Target="https://docs.google.com/forms/d/e/1FAIpQLSeEYwFnViiqk1AbexVe1VDR73UApmeuvfn6Yr2vN8WXjwGu2Q/viewform?edit2=2_ABaOnueJPf74-bbmauGlcZa6mwlPSZcv9JG70m8AafJBT174JPD8WJ2Y0NrsuCuEMshyMIs&amp;source=documentstudio&amp;timestamp=1747882975920" TargetMode="External"/><Relationship Id="rId1835" Type="http://schemas.openxmlformats.org/officeDocument/2006/relationships/hyperlink" Target="https://drive.google.com/open?id=1YEbG1Yg3_45K28SsI0d9DjmckiDiHaRe" TargetMode="External"/><Relationship Id="rId1902" Type="http://schemas.openxmlformats.org/officeDocument/2006/relationships/hyperlink" Target="https://docs.google.com/forms/d/e/1FAIpQLSeEYwFnViiqk1AbexVe1VDR73UApmeuvfn6Yr2vN8WXjwGu2Q/viewform?edit2=2_ABaOnufnBY8cKjs1J77UsRaoCVEI9dmw80vMqJNGMEIq_Kyffkf0XRe96FjZk-tiiHhh8ow&amp;source=documentstudio&amp;timestamp=1745310445186" TargetMode="External"/><Relationship Id="rId2097" Type="http://schemas.openxmlformats.org/officeDocument/2006/relationships/hyperlink" Target="https://docs.google.com/forms/d/e/1FAIpQLSeEYwFnViiqk1AbexVe1VDR73UApmeuvfn6Yr2vN8WXjwGu2Q/viewform?edit2=2_ABaOnucQ4Qd22qWyOmJhQ2Jy9orx75B7RzBIskH8iE0EOgl5XHO32Eo780ChLB-HmhgTitg&amp;source=documentstudio&amp;timestamp=1748917194659" TargetMode="External"/><Relationship Id="rId276" Type="http://schemas.openxmlformats.org/officeDocument/2006/relationships/hyperlink" Target="https://drive.google.com/open?id=1pZlNL24xukI2DrdAH395m1iK4tf0V0-a" TargetMode="External"/><Relationship Id="rId483" Type="http://schemas.openxmlformats.org/officeDocument/2006/relationships/hyperlink" Target="https://drive.google.com/open?id=1c83xN-X_TzZfbVx9_A7bdmayxZLSFNc4" TargetMode="External"/><Relationship Id="rId690" Type="http://schemas.openxmlformats.org/officeDocument/2006/relationships/hyperlink" Target="https://drive.google.com/open?id=11jnNg7sQen8vvo78YKEt4XwCMkqBfxY0" TargetMode="External"/><Relationship Id="rId2164" Type="http://schemas.openxmlformats.org/officeDocument/2006/relationships/hyperlink" Target="https://drive.google.com/open?id=1pngIcrxe4cD1sadXPZKGNZh3LAmQZ4lH" TargetMode="External"/><Relationship Id="rId2371" Type="http://schemas.openxmlformats.org/officeDocument/2006/relationships/hyperlink" Target="https://docs.google.com/forms/d/e/1FAIpQLSeEYwFnViiqk1AbexVe1VDR73UApmeuvfn6Yr2vN8WXjwGu2Q/viewform?edit2=2_ABaOnuciUljayiM2_Y94ZLcwK2y6FujsueScLfYD4kh7eiGN9aLhTnE7y_vmXQmh8dbNgNk&amp;source=documentstudio&amp;timestamp=1768379829125" TargetMode="External"/><Relationship Id="rId136" Type="http://schemas.openxmlformats.org/officeDocument/2006/relationships/hyperlink" Target="https://drive.google.com/open?id=1lp_LhkabCcYQidwyKfsI6uJg9gE7pW3r" TargetMode="External"/><Relationship Id="rId343" Type="http://schemas.openxmlformats.org/officeDocument/2006/relationships/hyperlink" Target="https://drive.google.com/open?id=1T6mrwawFsBFZam0eeFeQ1S7NDXFvpUEg" TargetMode="External"/><Relationship Id="rId550" Type="http://schemas.openxmlformats.org/officeDocument/2006/relationships/hyperlink" Target="https://drive.google.com/open?id=118smvradQ_hurENcqLOWJI5zcMjA2P_H" TargetMode="External"/><Relationship Id="rId788" Type="http://schemas.openxmlformats.org/officeDocument/2006/relationships/hyperlink" Target="https://drive.google.com/open?id=1UE6DiVcRWnlKxpC69Ez7JfjpOPeL1B3E" TargetMode="External"/><Relationship Id="rId995" Type="http://schemas.openxmlformats.org/officeDocument/2006/relationships/hyperlink" Target="https://docs.google.com/forms/d/e/1FAIpQLSeEYwFnViiqk1AbexVe1VDR73UApmeuvfn6Yr2vN8WXjwGu2Q/viewform?edit2=2_ABaOnucH6xocQLj_85rQz2upoF3sjjsf5LlKV3HBrfZEBfWaSuvPGbwksnA4BvQ7d1dpRhY&amp;source=documentstudio&amp;timestamp=1723512731304" TargetMode="External"/><Relationship Id="rId1180" Type="http://schemas.openxmlformats.org/officeDocument/2006/relationships/hyperlink" Target="https://drive.google.com/open?id=1tiVIT0xWrobtklKpq3j6r9dniOwL98aD" TargetMode="External"/><Relationship Id="rId2024" Type="http://schemas.openxmlformats.org/officeDocument/2006/relationships/hyperlink" Target="https://drive.google.com/open?id=1tAlMrRTzERvslNG_euwiCxUdaAybnS-p" TargetMode="External"/><Relationship Id="rId2231" Type="http://schemas.openxmlformats.org/officeDocument/2006/relationships/hyperlink" Target="https://docs.google.com/forms/d/e/1FAIpQLSeEYwFnViiqk1AbexVe1VDR73UApmeuvfn6Yr2vN8WXjwGu2Q/viewform?edit2=2_ABaOnudsSLlPZmvM5hJhUAr9Ie8Gqyfazldh8iwVrf6LeZVw19HD8LmNurwXrL5vaii8r3g&amp;source=documentstudio&amp;timestamp=1753753651218" TargetMode="External"/><Relationship Id="rId2469" Type="http://schemas.openxmlformats.org/officeDocument/2006/relationships/hyperlink" Target="https://docs.google.com/forms/d/e/1FAIpQLSeEYwFnViiqk1AbexVe1VDR73UApmeuvfn6Yr2vN8WXjwGu2Q/viewform?edit2=2_ABaOnud91qxYvRRIx_i-mRse_MU9Prz_GwCBT3BbI29K6hV6yeJ5VX8LomATgoGZ3_izqeE&amp;source=documentstudio&amp;timestamp=1768442652305" TargetMode="External"/><Relationship Id="rId2676" Type="http://schemas.openxmlformats.org/officeDocument/2006/relationships/hyperlink" Target="https://drive.google.com/open?id=1UtihGyQVmpU77yxvjzqfDOOfPx1Gyp4L" TargetMode="External"/><Relationship Id="rId2883" Type="http://schemas.openxmlformats.org/officeDocument/2006/relationships/hyperlink" Target="https://drive.google.com/open?id=1GkZrdYeD1yQJ7EVfKz8UfOD7LmRVc9Jl" TargetMode="External"/><Relationship Id="rId203" Type="http://schemas.openxmlformats.org/officeDocument/2006/relationships/hyperlink" Target="https://drive.google.com/open?id=1_hu3RktwrZjQxgbqsSKOciO7ZJ8_mmNp" TargetMode="External"/><Relationship Id="rId648" Type="http://schemas.openxmlformats.org/officeDocument/2006/relationships/hyperlink" Target="https://drive.google.com/open?id=1Kx448R6_CjDBoUOLbhLwHgZW05LWGg71" TargetMode="External"/><Relationship Id="rId855" Type="http://schemas.openxmlformats.org/officeDocument/2006/relationships/hyperlink" Target="https://docs.google.com/forms/d/e/1FAIpQLSeEYwFnViiqk1AbexVe1VDR73UApmeuvfn6Yr2vN8WXjwGu2Q/viewform?edit2=2_ABaOnudWMD_K8rjj3cqdHeib4sayCZezyTAjh_LQJdZwsdJGwPM8Q-d_RIIde8uMJ-XZNe4&amp;source=documentstudio&amp;timestamp=1720488043486" TargetMode="External"/><Relationship Id="rId1040" Type="http://schemas.openxmlformats.org/officeDocument/2006/relationships/hyperlink" Target="https://drive.google.com/open?id=1TTIpZZgIT33m4oRV-uXwHPc7VweA4WPv" TargetMode="External"/><Relationship Id="rId1278" Type="http://schemas.openxmlformats.org/officeDocument/2006/relationships/hyperlink" Target="https://drive.google.com/open?id=1JHucRiw_OTh6MgHvlMRjp14wtQCpjgWD" TargetMode="External"/><Relationship Id="rId1485" Type="http://schemas.openxmlformats.org/officeDocument/2006/relationships/hyperlink" Target="https://docs.google.com/forms/d/e/1FAIpQLSeEYwFnViiqk1AbexVe1VDR73UApmeuvfn6Yr2vN8WXjwGu2Q/viewform?edit2=2_ABaOnudOI7jHpieKVEGm7YgYBML4EW2vizkQJSMZpLn-vx8TCsgJh7MhxdiZLVLSXyN-RK8&amp;source=documentstudio&amp;timestamp=1737511554164" TargetMode="External"/><Relationship Id="rId1692" Type="http://schemas.openxmlformats.org/officeDocument/2006/relationships/hyperlink" Target="https://docs.google.com/forms/d/e/1FAIpQLSeEYwFnViiqk1AbexVe1VDR73UApmeuvfn6Yr2vN8WXjwGu2Q/viewform?edit2=2_ABaOnuetoEIYMkMXxofFq7TeQs_8t8o3TEOZLGfC0sMUNOetUWJQAclBRJPj7pvUG2NsvL0&amp;source=documentstudio&amp;timestamp=1741334790541" TargetMode="External"/><Relationship Id="rId2329" Type="http://schemas.openxmlformats.org/officeDocument/2006/relationships/hyperlink" Target="https://docs.google.com/forms/d/e/1FAIpQLSeEYwFnViiqk1AbexVe1VDR73UApmeuvfn6Yr2vN8WXjwGu2Q/viewform?edit2=2_ABaOnucwcXFJ0e9v8ClQOMutrjYLKk5n2sbrr1iTJEjQPNuBrIqliO0qwFxoDXIumsgxAEM&amp;source=documentstudio&amp;timestamp=1764557256502" TargetMode="External"/><Relationship Id="rId2536" Type="http://schemas.openxmlformats.org/officeDocument/2006/relationships/hyperlink" Target="https://drive.google.com/open?id=1C5un974-Aqz1tXia8GRqUr66LCwL8E2i" TargetMode="External"/><Relationship Id="rId2743" Type="http://schemas.openxmlformats.org/officeDocument/2006/relationships/hyperlink" Target="https://docs.google.com/forms/d/e/1FAIpQLSeEYwFnViiqk1AbexVe1VDR73UApmeuvfn6Yr2vN8WXjwGu2Q/viewform?edit2=2_ABaOnueUcVqiV5ExM-dFwVdPE8IYAGfJrUjZ1dpnCQ2iO_XrwfiVdPeSisc9paszcRRLlvo&amp;source=documentstudio&amp;timestamp=1768813859161" TargetMode="External"/><Relationship Id="rId410" Type="http://schemas.openxmlformats.org/officeDocument/2006/relationships/hyperlink" Target="https://drive.google.com/open?id=1v3MJhM_cjIV_vuVpqWrS4cgfZphTKy3I" TargetMode="External"/><Relationship Id="rId508" Type="http://schemas.openxmlformats.org/officeDocument/2006/relationships/hyperlink" Target="https://drive.google.com/open?id=1ycgGPWO_qzVHcmh2yz90x2W-t4vfksgt" TargetMode="External"/><Relationship Id="rId715" Type="http://schemas.openxmlformats.org/officeDocument/2006/relationships/hyperlink" Target="https://docs.google.com/forms/d/e/1FAIpQLSeEYwFnViiqk1AbexVe1VDR73UApmeuvfn6Yr2vN8WXjwGu2Q/viewform?edit2=2_ABaOnud0mAzV__LlmQVEJ-BDa9WjMEqGDf_XdwXnycD5T2CdbSf5R4x_57vOX0xtd4odpV4&amp;source=documentstudio&amp;timestamp=1717559669135" TargetMode="External"/><Relationship Id="rId922" Type="http://schemas.openxmlformats.org/officeDocument/2006/relationships/hyperlink" Target="https://drive.google.com/open?id=1BL3loHP_h8ZjyuUbrI8yfdGrf4A1yNeG" TargetMode="External"/><Relationship Id="rId1138" Type="http://schemas.openxmlformats.org/officeDocument/2006/relationships/hyperlink" Target="https://drive.google.com/open?id=1_4EzzNgd8gULmxOLGEQBDel3TurFFroF" TargetMode="External"/><Relationship Id="rId1345" Type="http://schemas.openxmlformats.org/officeDocument/2006/relationships/hyperlink" Target="https://docs.google.com/forms/d/e/1FAIpQLSeEYwFnViiqk1AbexVe1VDR73UApmeuvfn6Yr2vN8WXjwGu2Q/viewform?edit2=2_ABaOnucX8_Li55MZb79eLc28veSdumQ31POeh2W5qotyhG7WR67eDYuIPhHEa8NLDQAupdM&amp;source=documentstudio&amp;timestamp=1736136336198" TargetMode="External"/><Relationship Id="rId1552" Type="http://schemas.openxmlformats.org/officeDocument/2006/relationships/hyperlink" Target="https://drive.google.com/open?id=13JyY7alukHEW56IsbZYAvj6Rsstcl_kh" TargetMode="External"/><Relationship Id="rId1997" Type="http://schemas.openxmlformats.org/officeDocument/2006/relationships/hyperlink" Target="https://docs.google.com/forms/d/e/1FAIpQLSeEYwFnViiqk1AbexVe1VDR73UApmeuvfn6Yr2vN8WXjwGu2Q/viewform?edit2=2_ABaOnufmMs_rlgidLvB6ErMi_a9IDEYR9gBSVzo4CStnU7UaELQecgtKMWukGt9fYXUryQI&amp;source=documentstudio&amp;timestamp=1748831095631" TargetMode="External"/><Relationship Id="rId2603" Type="http://schemas.openxmlformats.org/officeDocument/2006/relationships/hyperlink" Target="https://docs.google.com/forms/d/e/1FAIpQLSeEYwFnViiqk1AbexVe1VDR73UApmeuvfn6Yr2vN8WXjwGu2Q/viewform?edit2=2_ABaOnudNm_Kb6CRO93Mu7KDQ7zABkGyu0Ib-NdziLKXmjzL6fsKMsRosLlhplCqxBJECIxg&amp;source=documentstudio&amp;timestamp=1768464507647" TargetMode="External"/><Relationship Id="rId2950" Type="http://schemas.openxmlformats.org/officeDocument/2006/relationships/hyperlink" Target="https://docs.google.com/forms/d/e/1FAIpQLSeEYwFnViiqk1AbexVe1VDR73UApmeuvfn6Yr2vN8WXjwGu2Q/viewform?edit2=2_ABaOnufQDb9RdkQJ_Aw3R6N0ITTyOlyyRyClALQltEnLBFfHPeoG9jW6T-4dy1FFs-wHbys&amp;source=documentstudio&amp;timestamp=1769595837863" TargetMode="External"/><Relationship Id="rId1205" Type="http://schemas.openxmlformats.org/officeDocument/2006/relationships/hyperlink" Target="https://docs.google.com/forms/d/e/1FAIpQLSeEYwFnViiqk1AbexVe1VDR73UApmeuvfn6Yr2vN8WXjwGu2Q/viewform?edit2=2_ABaOnuf53oq8Y6yf30crxCUHUfp_001aKNpzBATJ6HqpeQQZT45JGCf4svvhHLW0W5xRdFU&amp;source=documentstudio&amp;timestamp=1731037461916" TargetMode="External"/><Relationship Id="rId1857" Type="http://schemas.openxmlformats.org/officeDocument/2006/relationships/hyperlink" Target="https://drive.google.com/open?id=1af7L2kp9saWIi5PgaFuDFCuM9bcEu2VE" TargetMode="External"/><Relationship Id="rId2810" Type="http://schemas.openxmlformats.org/officeDocument/2006/relationships/hyperlink" Target="https://drive.google.com/open?id=1X9GNlOlcszXpZwaT5lL-Ayn-Fd58RM2F" TargetMode="External"/><Relationship Id="rId2908" Type="http://schemas.openxmlformats.org/officeDocument/2006/relationships/hyperlink" Target="https://docs.google.com/forms/d/e/1FAIpQLSeEYwFnViiqk1AbexVe1VDR73UApmeuvfn6Yr2vN8WXjwGu2Q/viewform?edit2=2_ABaOnud2W3bZTI7leT3uZxkn_2hImgC2DN8F7AxeNaUcG7P_ZMX8-efftaokTPLfKwPlzhk&amp;source=documentstudio&amp;timestamp=1769586263956" TargetMode="External"/><Relationship Id="rId51" Type="http://schemas.openxmlformats.org/officeDocument/2006/relationships/hyperlink" Target="https://drive.google.com/open?id=177RIqaNNWyutZsLvsHtU8UMvv-tWeVJy" TargetMode="External"/><Relationship Id="rId1412" Type="http://schemas.openxmlformats.org/officeDocument/2006/relationships/hyperlink" Target="https://drive.google.com/open?id=159f9UNLdOY97TBOT96TzNZtlLvXxjlFN" TargetMode="External"/><Relationship Id="rId1717" Type="http://schemas.openxmlformats.org/officeDocument/2006/relationships/hyperlink" Target="https://docs.google.com/forms/d/e/1FAIpQLSeEYwFnViiqk1AbexVe1VDR73UApmeuvfn6Yr2vN8WXjwGu2Q/viewform?edit2=2_ABaOnucjGB8wdLVNIKxhDAyENkN2Mmin5M4qqTMSZQ9yKXInca1Err-D3C3G-1MBbUlmx-I&amp;source=documentstudio&amp;timestamp=1741340561315" TargetMode="External"/><Relationship Id="rId1924" Type="http://schemas.openxmlformats.org/officeDocument/2006/relationships/hyperlink" Target="https://docs.google.com/forms/d/e/1FAIpQLSeEYwFnViiqk1AbexVe1VDR73UApmeuvfn6Yr2vN8WXjwGu2Q/viewform?edit2=2_ABaOnufhwIpkz64ITwtxAu32LsU2MArdylQ8WGmObZU18nwVWwXemxIKuepNDYEApe0Qga8&amp;source=documentstudio&amp;timestamp=1745481485538" TargetMode="External"/><Relationship Id="rId298" Type="http://schemas.openxmlformats.org/officeDocument/2006/relationships/hyperlink" Target="https://drive.google.com/open?id=1MKZ5ck-X-CX7UgtB2TjUeFyefW3kDY4-" TargetMode="External"/><Relationship Id="rId158" Type="http://schemas.openxmlformats.org/officeDocument/2006/relationships/hyperlink" Target="https://drive.google.com/open?id=1Y9gslqgz2ZXnrSsluVg75vQzeHBxUsux" TargetMode="External"/><Relationship Id="rId2186" Type="http://schemas.openxmlformats.org/officeDocument/2006/relationships/hyperlink" Target="https://drive.google.com/open?id=1xXnCqPebepEx5RV1Pj67xWvx34Laa8ie" TargetMode="External"/><Relationship Id="rId2393" Type="http://schemas.openxmlformats.org/officeDocument/2006/relationships/hyperlink" Target="https://docs.google.com/forms/d/e/1FAIpQLSeEYwFnViiqk1AbexVe1VDR73UApmeuvfn6Yr2vN8WXjwGu2Q/viewform?edit2=2_ABaOnueoq3w_Yuz54i3ZfgDXccXxuXDp7lyxeZoBOZBrOe-pgXq64EMMb2zZNr3w0bmZSoE&amp;source=documentstudio&amp;timestamp=1768437805302" TargetMode="External"/><Relationship Id="rId2698" Type="http://schemas.openxmlformats.org/officeDocument/2006/relationships/hyperlink" Target="https://drive.google.com/open?id=18-GeRzA1XsNKJns3KYdKOaKMluUiw-4y" TargetMode="External"/><Relationship Id="rId365" Type="http://schemas.openxmlformats.org/officeDocument/2006/relationships/hyperlink" Target="https://drive.google.com/open?id=1KKaqLyO4DdksZ8w6FrgHXTwZ6s4sDuZE" TargetMode="External"/><Relationship Id="rId572" Type="http://schemas.openxmlformats.org/officeDocument/2006/relationships/hyperlink" Target="https://drive.google.com/open?id=1KNOJkG5pat3mSU_db9jJgZkL3Arj1-rg" TargetMode="External"/><Relationship Id="rId2046" Type="http://schemas.openxmlformats.org/officeDocument/2006/relationships/hyperlink" Target="https://drive.google.com/open?id=1-N8eQroMkLO6qdjWV6fgzpCorbjUPRWI" TargetMode="External"/><Relationship Id="rId2253" Type="http://schemas.openxmlformats.org/officeDocument/2006/relationships/hyperlink" Target="https://docs.google.com/forms/d/e/1FAIpQLSeEYwFnViiqk1AbexVe1VDR73UApmeuvfn6Yr2vN8WXjwGu2Q/viewform?edit2=2_ABaOnudcZ4vqZhuSaNIsDtNDatQ1YZQDZSYf9MJXXEVI8x87nvse2gAMClqKmHy6edg6DuY&amp;source=documentstudio&amp;timestamp=1757298832029" TargetMode="External"/><Relationship Id="rId2460" Type="http://schemas.openxmlformats.org/officeDocument/2006/relationships/hyperlink" Target="https://drive.google.com/open?id=1xnOGZQdYIDE6klkctZZAjxmP3jZboR1W" TargetMode="External"/><Relationship Id="rId225" Type="http://schemas.openxmlformats.org/officeDocument/2006/relationships/hyperlink" Target="https://drive.google.com/open?id=1sVwtkAjj1OP70zJdB5Xg-bJgFVYaU169" TargetMode="External"/><Relationship Id="rId432" Type="http://schemas.openxmlformats.org/officeDocument/2006/relationships/hyperlink" Target="https://drive.google.com/open?id=1kmgUUXrBBslG9MK8T3sOl-edvMJ3UI5i" TargetMode="External"/><Relationship Id="rId877" Type="http://schemas.openxmlformats.org/officeDocument/2006/relationships/hyperlink" Target="https://docs.google.com/forms/d/e/1FAIpQLSeEYwFnViiqk1AbexVe1VDR73UApmeuvfn6Yr2vN8WXjwGu2Q/viewform?edit2=2_ABaOnucP8u57i9AwQ0-NLLkRtuEhS6V9XsnYefvZQ-txgEWZIMurmqwUMTF9GVNMJBu6ZqI&amp;source=documentstudio&amp;timestamp=1720490156768" TargetMode="External"/><Relationship Id="rId1062" Type="http://schemas.openxmlformats.org/officeDocument/2006/relationships/hyperlink" Target="https://drive.google.com/open?id=1Nl2OfH3PcR6ZP_Vt18ccTvItRbs30nEN" TargetMode="External"/><Relationship Id="rId2113" Type="http://schemas.openxmlformats.org/officeDocument/2006/relationships/hyperlink" Target="https://docs.google.com/forms/d/e/1FAIpQLSeEYwFnViiqk1AbexVe1VDR73UApmeuvfn6Yr2vN8WXjwGu2Q/viewform?edit2=2_ABaOnudC41wt4_OWEQaLpxWpn5nOOCQCiKm5pa6ykOKsF3thTBP_hvM7Llqo8Zt02d7mO84&amp;source=documentstudio&amp;timestamp=1748917879297" TargetMode="External"/><Relationship Id="rId2320" Type="http://schemas.openxmlformats.org/officeDocument/2006/relationships/hyperlink" Target="https://drive.google.com/open?id=1IAdl0mn9FBQ5ZvHt26FIbFFgU1aCkHQv" TargetMode="External"/><Relationship Id="rId2558" Type="http://schemas.openxmlformats.org/officeDocument/2006/relationships/hyperlink" Target="https://drive.google.com/open?id=1Xnl3plgoeqFQPsk3yuRAwpYyzl6-cHZG" TargetMode="External"/><Relationship Id="rId2765" Type="http://schemas.openxmlformats.org/officeDocument/2006/relationships/hyperlink" Target="https://docs.google.com/forms/d/e/1FAIpQLSeEYwFnViiqk1AbexVe1VDR73UApmeuvfn6Yr2vN8WXjwGu2Q/viewform?edit2=2_ABaOnucajR1YqFXW-cDZNViu5iXCfQ1zdzpSbX6lABrgbtL35TLjtLZQG7Mih9qW4RBLf_E&amp;source=documentstudio&amp;timestamp=1768888571362" TargetMode="External"/><Relationship Id="rId737" Type="http://schemas.openxmlformats.org/officeDocument/2006/relationships/hyperlink" Target="https://docs.google.com/forms/d/e/1FAIpQLSeEYwFnViiqk1AbexVe1VDR73UApmeuvfn6Yr2vN8WXjwGu2Q/viewform?edit2=2_ABaOnucGk8C7yAb_QFWsjTeg_8SYI9SZktrFS-Ey5Nc8pIVPr_ti-gLciaP6UAQ30YP9sCM&amp;source=documentstudio&amp;timestamp=1718064556587" TargetMode="External"/><Relationship Id="rId944" Type="http://schemas.openxmlformats.org/officeDocument/2006/relationships/hyperlink" Target="https://drive.google.com/open?id=1S2tNem4o_T4fhWo824XwrwTgoBRQFwUv" TargetMode="External"/><Relationship Id="rId1367" Type="http://schemas.openxmlformats.org/officeDocument/2006/relationships/hyperlink" Target="https://docs.google.com/forms/d/e/1FAIpQLSeEYwFnViiqk1AbexVe1VDR73UApmeuvfn6Yr2vN8WXjwGu2Q/viewform?edit2=2_ABaOnueWhD_YYihCftDSr8vZXwgRznDklzSKnVQ5QhclyrQNFAEDAShhW4ucyzewdUljAH0&amp;source=documentstudio&amp;timestamp=1736233245541" TargetMode="External"/><Relationship Id="rId1574" Type="http://schemas.openxmlformats.org/officeDocument/2006/relationships/hyperlink" Target="https://drive.google.com/open?id=1OdC4NSvaoz2wyn3zjf8VtF-OHxYYmxjr" TargetMode="External"/><Relationship Id="rId1781" Type="http://schemas.openxmlformats.org/officeDocument/2006/relationships/hyperlink" Target="https://drive.google.com/open?id=1Ss7wXEoGui6RgP5faliuC7qcQDJ5ujfp" TargetMode="External"/><Relationship Id="rId2418" Type="http://schemas.openxmlformats.org/officeDocument/2006/relationships/hyperlink" Target="https://drive.google.com/open?id=1fscIxMwn1XJWjnEeXHVl3KRcYodTOc7E" TargetMode="External"/><Relationship Id="rId2625" Type="http://schemas.openxmlformats.org/officeDocument/2006/relationships/hyperlink" Target="https://docs.google.com/forms/d/e/1FAIpQLSeEYwFnViiqk1AbexVe1VDR73UApmeuvfn6Yr2vN8WXjwGu2Q/viewform?edit2=2_ABaOnudDm4-Jc88RZzlWjcBb-Dvr1jq8w_JE0BpfmQqA5o0jp_XkNjhSaAGxMh-jpKLNTuI&amp;source=documentstudio&amp;timestamp=1768467239432" TargetMode="External"/><Relationship Id="rId2832" Type="http://schemas.openxmlformats.org/officeDocument/2006/relationships/hyperlink" Target="https://drive.google.com/open?id=1m8Y2ZWBF0nWav_QMMDNS9rfGvc4iGN2e" TargetMode="External"/><Relationship Id="rId73" Type="http://schemas.openxmlformats.org/officeDocument/2006/relationships/hyperlink" Target="https://drive.google.com/open?id=1osPwWN3ge01g0SaUAjiiNi35b3xKvyQe" TargetMode="External"/><Relationship Id="rId804" Type="http://schemas.openxmlformats.org/officeDocument/2006/relationships/hyperlink" Target="https://drive.google.com/open?id=1_g3D959a6-pasW39qULvZaNMYsgTl1V3" TargetMode="External"/><Relationship Id="rId1227" Type="http://schemas.openxmlformats.org/officeDocument/2006/relationships/hyperlink" Target="https://docs.google.com/forms/d/e/1FAIpQLSeEYwFnViiqk1AbexVe1VDR73UApmeuvfn6Yr2vN8WXjwGu2Q/viewform?edit2=2_ABaOnudKeqP77nAnW7VM57Rz8dNK3G6ZIMhHX--LmL_YbURf9jUTMZ4ApF9alp22trQAQSI&amp;source=documentstudio&amp;timestamp=1731568418857" TargetMode="External"/><Relationship Id="rId1434" Type="http://schemas.openxmlformats.org/officeDocument/2006/relationships/hyperlink" Target="https://drive.google.com/open?id=1M9Gkbtdc-vygCOswuNpct3r4DIFo46i5" TargetMode="External"/><Relationship Id="rId1641" Type="http://schemas.openxmlformats.org/officeDocument/2006/relationships/hyperlink" Target="https://docs.google.com/forms/d/e/1FAIpQLSeEYwFnViiqk1AbexVe1VDR73UApmeuvfn6Yr2vN8WXjwGu2Q/viewform?edit2=2_ABaOnue1KfO80qEfbmykVHsO4lYu8mnEOdVvuP3WJfTndjEv5pSwPYTyjDCwhyy6TlCotFo&amp;source=documentstudio&amp;timestamp=1741332845662" TargetMode="External"/><Relationship Id="rId1879" Type="http://schemas.openxmlformats.org/officeDocument/2006/relationships/hyperlink" Target="https://drive.google.com/open?id=1COeNltDtMdmu51Tq3bG73oG7OarzH716" TargetMode="External"/><Relationship Id="rId1501" Type="http://schemas.openxmlformats.org/officeDocument/2006/relationships/hyperlink" Target="https://docs.google.com/forms/d/e/1FAIpQLSeEYwFnViiqk1AbexVe1VDR73UApmeuvfn6Yr2vN8WXjwGu2Q/viewform?edit2=2_ABaOnueHJnj5RtXfEaLPFGtp_YNivZixcQwHoMck1IyYGOnvkSDxy2vIzPnkncZcCtO5u_k&amp;source=documentstudio&amp;timestamp=1739325817599" TargetMode="External"/><Relationship Id="rId1739" Type="http://schemas.openxmlformats.org/officeDocument/2006/relationships/hyperlink" Target="https://drive.google.com/open?id=1Rbyk4K-nWbBCx4Nq2N9dL8qj0t9ffg5l" TargetMode="External"/><Relationship Id="rId1946" Type="http://schemas.openxmlformats.org/officeDocument/2006/relationships/hyperlink" Target="https://docs.google.com/forms/d/e/1FAIpQLSeEYwFnViiqk1AbexVe1VDR73UApmeuvfn6Yr2vN8WXjwGu2Q/viewform?edit2=2_ABaOnuen2VcJIzQUJJ3X7Ntw_KZdOsRyCCAmepLeDnxY6_70_OGHsw36TzCpZKyTqWeoauI&amp;source=documentstudio&amp;timestamp=1746428743738" TargetMode="External"/><Relationship Id="rId1806" Type="http://schemas.openxmlformats.org/officeDocument/2006/relationships/hyperlink" Target="https://docs.google.com/forms/d/e/1FAIpQLSeEYwFnViiqk1AbexVe1VDR73UApmeuvfn6Yr2vN8WXjwGu2Q/viewform?edit2=2_ABaOnuefdqeWBpNBS5I30LpujoDeI3STIApJ1uVDguCWkfq-Jfc5RmfdEOgu4DfL3-j6QxU&amp;source=documentstudio&amp;timestamp=1741747519683" TargetMode="External"/><Relationship Id="rId387" Type="http://schemas.openxmlformats.org/officeDocument/2006/relationships/hyperlink" Target="https://drive.google.com/open?id=1uZC3rFtrF-x60z6Aqg_PmD-O3cSrDbhq" TargetMode="External"/><Relationship Id="rId594" Type="http://schemas.openxmlformats.org/officeDocument/2006/relationships/hyperlink" Target="https://drive.google.com/open?id=1E30S3PlKpaswkTquqedcN2hvR_1_ijOZ" TargetMode="External"/><Relationship Id="rId2068" Type="http://schemas.openxmlformats.org/officeDocument/2006/relationships/hyperlink" Target="https://drive.google.com/open?id=1eNw96S9v7BJSYyqYXLfw8tSJ0hpZn1Nx" TargetMode="External"/><Relationship Id="rId2275" Type="http://schemas.openxmlformats.org/officeDocument/2006/relationships/hyperlink" Target="https://docs.google.com/forms/d/e/1FAIpQLSeEYwFnViiqk1AbexVe1VDR73UApmeuvfn6Yr2vN8WXjwGu2Q/viewform?edit2=2_ABaOnuc9uFIBnXbmYHffmbILYiJxu48b_fDEyYJsdAhYoL7tkz7YnOis882aMYSuXBVmetc&amp;source=documentstudio&amp;timestamp=1757401983911" TargetMode="External"/><Relationship Id="rId247" Type="http://schemas.openxmlformats.org/officeDocument/2006/relationships/hyperlink" Target="https://drive.google.com/open?id=1UHgjp3L0jOUXizPrEUcPQxBjQcYB7FkN" TargetMode="External"/><Relationship Id="rId899" Type="http://schemas.openxmlformats.org/officeDocument/2006/relationships/hyperlink" Target="https://docs.google.com/forms/d/e/1FAIpQLSeEYwFnViiqk1AbexVe1VDR73UApmeuvfn6Yr2vN8WXjwGu2Q/viewform?edit2=2_ABaOnudU3t3Zk-CeqTvYxm703vOgL-PRVzWE2SY3RCwte7cuZ_AeUMz5B2cinaIoOm7y3xw&amp;source=documentstudio&amp;timestamp=1720571472892" TargetMode="External"/><Relationship Id="rId1084" Type="http://schemas.openxmlformats.org/officeDocument/2006/relationships/hyperlink" Target="https://drive.google.com/open?id=1MXPIOxVCW18YuO0352qJpBfayuTH0Bzu" TargetMode="External"/><Relationship Id="rId2482" Type="http://schemas.openxmlformats.org/officeDocument/2006/relationships/hyperlink" Target="https://drive.google.com/open?id=1dJetidC_TgutQMIv1650X9Xe60b9mTtY" TargetMode="External"/><Relationship Id="rId2787" Type="http://schemas.openxmlformats.org/officeDocument/2006/relationships/hyperlink" Target="https://docs.google.com/forms/d/e/1FAIpQLSeEYwFnViiqk1AbexVe1VDR73UApmeuvfn6Yr2vN8WXjwGu2Q/viewform?edit2=2_ABaOnuerwC2NDwwDpctHr5gKU_LZhVkqO8V41kXzqfS8_2CPb9w17v8QZ4siFPSIV4rLJwc&amp;source=documentstudio&amp;timestamp=1768960625459" TargetMode="External"/><Relationship Id="rId107" Type="http://schemas.openxmlformats.org/officeDocument/2006/relationships/hyperlink" Target="https://drive.google.com/open?id=1QMDmF2RH66824Ju-XDK3n1CMUrPuQ_Rx" TargetMode="External"/><Relationship Id="rId454" Type="http://schemas.openxmlformats.org/officeDocument/2006/relationships/hyperlink" Target="https://drive.google.com/open?id=1LjMF_MXZ-TYqB55nceNkgje4eTTV35q5" TargetMode="External"/><Relationship Id="rId661" Type="http://schemas.openxmlformats.org/officeDocument/2006/relationships/hyperlink" Target="https://docs.google.com/forms/d/e/1FAIpQLSeEYwFnViiqk1AbexVe1VDR73UApmeuvfn6Yr2vN8WXjwGu2Q/viewform?edit2=2_ABaOnudN07pFF8ncdzXyz5_YThGldhonGOrDwUAS-fAa1I_hNDnq1PaBwy-wOXFEKhVAOLQ&amp;source=documentstudio&amp;timestamp=1717389116453" TargetMode="External"/><Relationship Id="rId759" Type="http://schemas.openxmlformats.org/officeDocument/2006/relationships/hyperlink" Target="https://docs.google.com/forms/d/e/1FAIpQLSeEYwFnViiqk1AbexVe1VDR73UApmeuvfn6Yr2vN8WXjwGu2Q/viewform?edit2=2_ABaOnuf1mGxuGsd4t3aHOHi2C5d5u1V7TuYJIzgQAznIWqXVpXVSTOXf4joOeOCuy7TFTMc&amp;source=documentstudio&amp;timestamp=1718176253869" TargetMode="External"/><Relationship Id="rId966" Type="http://schemas.openxmlformats.org/officeDocument/2006/relationships/hyperlink" Target="https://drive.google.com/open?id=1irsbCMNoO9HwjNSt7siQWOTXNJ-Wk1FZ" TargetMode="External"/><Relationship Id="rId1291" Type="http://schemas.openxmlformats.org/officeDocument/2006/relationships/hyperlink" Target="https://docs.google.com/forms/d/e/1FAIpQLSeEYwFnViiqk1AbexVe1VDR73UApmeuvfn6Yr2vN8WXjwGu2Q/viewform?edit2=2_ABaOnudsozUn-Fybg3WPmKCxW_NzPKtJ9OscwUCaSlSdmyqM1ri2Ivnk7Po4r_-WDdRE6YM&amp;source=documentstudio&amp;timestamp=1733708583869" TargetMode="External"/><Relationship Id="rId1389" Type="http://schemas.openxmlformats.org/officeDocument/2006/relationships/hyperlink" Target="https://docs.google.com/forms/d/e/1FAIpQLSeEYwFnViiqk1AbexVe1VDR73UApmeuvfn6Yr2vN8WXjwGu2Q/viewform?edit2=2_ABaOnufLhLkV93D3N1Bby6d5kEOHA-jcdNtFjbd-BGpYlnChTURQ5YIxegY30yIEr1TIAyg&amp;source=documentstudio&amp;timestamp=1736474735871" TargetMode="External"/><Relationship Id="rId1596" Type="http://schemas.openxmlformats.org/officeDocument/2006/relationships/hyperlink" Target="https://drive.google.com/open?id=1DLXcxv-uwrIUxdf1HxaCyDN_44I7BPpG" TargetMode="External"/><Relationship Id="rId2135" Type="http://schemas.openxmlformats.org/officeDocument/2006/relationships/hyperlink" Target="https://docs.google.com/forms/d/e/1FAIpQLSeEYwFnViiqk1AbexVe1VDR73UApmeuvfn6Yr2vN8WXjwGu2Q/viewform?edit2=2_ABaOnucHQmV12Io5uKncoJ6nyp6rcDqfhv621Z8_1Vzqry31I38lugsRFhtpd4UXg6uPQDw&amp;source=documentstudio&amp;timestamp=1748921755976" TargetMode="External"/><Relationship Id="rId2342" Type="http://schemas.openxmlformats.org/officeDocument/2006/relationships/hyperlink" Target="https://drive.google.com/open?id=1-4t81FQ0c7yqhtWErBz8yaEV8k59H6U1" TargetMode="External"/><Relationship Id="rId2647" Type="http://schemas.openxmlformats.org/officeDocument/2006/relationships/hyperlink" Target="https://docs.google.com/forms/d/e/1FAIpQLSeEYwFnViiqk1AbexVe1VDR73UApmeuvfn6Yr2vN8WXjwGu2Q/viewform?edit2=2_ABaOnuditnCCqzHI4TtTlrx-rRLgP1DreRfgeJfsz8pnQ91wNoIKuLaXHxPQx0FLbSLa5lc&amp;source=documentstudio&amp;timestamp=1768787898061" TargetMode="External"/><Relationship Id="rId314" Type="http://schemas.openxmlformats.org/officeDocument/2006/relationships/hyperlink" Target="https://drive.google.com/open?id=1XyELK3tcFmrljwdkP-sgTlwbAqvPMJGZ" TargetMode="External"/><Relationship Id="rId521" Type="http://schemas.openxmlformats.org/officeDocument/2006/relationships/hyperlink" Target="https://drive.google.com/open?id=1kBHavmp-sHB0ZM-bk_3HHN9tsMOkrQMP" TargetMode="External"/><Relationship Id="rId619" Type="http://schemas.openxmlformats.org/officeDocument/2006/relationships/hyperlink" Target="https://docs.google.com/forms/d/e/1FAIpQLSeEYwFnViiqk1AbexVe1VDR73UApmeuvfn6Yr2vN8WXjwGu2Q/viewform?edit2=2_ABaOnueH7iAnkym5HUZ6n6x7Bp3k4F8QaXVXIT-NL57IyiRnQpVk4A0tiDdKhT7QRg_SuCg&amp;source=documentstudio&amp;timestamp=1715658171887" TargetMode="External"/><Relationship Id="rId1151" Type="http://schemas.openxmlformats.org/officeDocument/2006/relationships/hyperlink" Target="https://docs.google.com/forms/d/e/1FAIpQLSeEYwFnViiqk1AbexVe1VDR73UApmeuvfn6Yr2vN8WXjwGu2Q/viewform?edit2=2_ABaOnud3HqnsC5C2Wk1u1PacYmVKRNtrcOaA8MEHX2D0PoFCmqN0KIb-h34tfnpyqZJCnXg&amp;source=documentstudio&amp;timestamp=1728026330037" TargetMode="External"/><Relationship Id="rId1249" Type="http://schemas.openxmlformats.org/officeDocument/2006/relationships/hyperlink" Target="https://docs.google.com/forms/d/e/1FAIpQLSeEYwFnViiqk1AbexVe1VDR73UApmeuvfn6Yr2vN8WXjwGu2Q/viewform?edit2=2_ABaOnuc2ttc_ZhYL49xeh1BhlobTnmtHstapZtHb-VfiSwlyLgBrSsup7CFmxwffxjZ5Aq0&amp;source=documentstudio&amp;timestamp=1733367945155" TargetMode="External"/><Relationship Id="rId2202" Type="http://schemas.openxmlformats.org/officeDocument/2006/relationships/hyperlink" Target="https://drive.google.com/open?id=16SZ1FO0Eixo0j6QqTRueq2yHjopMC_zq" TargetMode="External"/><Relationship Id="rId2854" Type="http://schemas.openxmlformats.org/officeDocument/2006/relationships/hyperlink" Target="https://drive.google.com/open?id=1dMEWo3N3EYqVL_SucJZvUwj5l8kx_xNR" TargetMode="External"/><Relationship Id="rId95" Type="http://schemas.openxmlformats.org/officeDocument/2006/relationships/hyperlink" Target="https://drive.google.com/open?id=1XcYijVAUDiETPxPowI4u0i_4qWBlZUWs" TargetMode="External"/><Relationship Id="rId826" Type="http://schemas.openxmlformats.org/officeDocument/2006/relationships/hyperlink" Target="https://drive.google.com/open?id=15XoVfqkqu-Ol2OsVwtK-5PDFrnex-mPH" TargetMode="External"/><Relationship Id="rId1011" Type="http://schemas.openxmlformats.org/officeDocument/2006/relationships/hyperlink" Target="https://docs.google.com/forms/d/e/1FAIpQLSeEYwFnViiqk1AbexVe1VDR73UApmeuvfn6Yr2vN8WXjwGu2Q/viewform?edit2=2_ABaOnud99tL9-25lVvJ3jinOUdtM-3rfrX31m8TxXKsM7O7SzcnUiWI9AMcv42Ww6S-Ux7Q&amp;source=documentstudio&amp;timestamp=1723537299162" TargetMode="External"/><Relationship Id="rId1109" Type="http://schemas.openxmlformats.org/officeDocument/2006/relationships/hyperlink" Target="https://docs.google.com/forms/d/e/1FAIpQLSeEYwFnViiqk1AbexVe1VDR73UApmeuvfn6Yr2vN8WXjwGu2Q/viewform?edit2=2_ABaOnue-NWAwW0PHmfvJF2TaKvYADZ-ys68dS-mU2hSaZyKrswMRsT59Kfr10z9ZZbQqinU&amp;source=documentstudio&amp;timestamp=1726622381801" TargetMode="External"/><Relationship Id="rId1456" Type="http://schemas.openxmlformats.org/officeDocument/2006/relationships/hyperlink" Target="https://drive.google.com/open?id=1IJ76c0n4OQIf1UjZR0rDMxWnpG7gxOxe" TargetMode="External"/><Relationship Id="rId1663" Type="http://schemas.openxmlformats.org/officeDocument/2006/relationships/hyperlink" Target="https://docs.google.com/forms/d/e/1FAIpQLSeEYwFnViiqk1AbexVe1VDR73UApmeuvfn6Yr2vN8WXjwGu2Q/viewform?edit2=2_ABaOnudYdz93baaS4lW_R2X-STxocffhYVcYvg-PEFLPLooq8FzjpWKijrpAcBGh9O3In4A&amp;source=documentstudio&amp;timestamp=1741334042598" TargetMode="External"/><Relationship Id="rId1870" Type="http://schemas.openxmlformats.org/officeDocument/2006/relationships/hyperlink" Target="https://docs.google.com/forms/d/e/1FAIpQLSeEYwFnViiqk1AbexVe1VDR73UApmeuvfn6Yr2vN8WXjwGu2Q/viewform?edit2=2_ABaOnucuW9udEosbOaMFpINi8egF5OHdIMOlED_EffSYchgzox4IaIKSFmqziB0bcsvuag0&amp;source=documentstudio&amp;timestamp=1742358548263" TargetMode="External"/><Relationship Id="rId1968" Type="http://schemas.openxmlformats.org/officeDocument/2006/relationships/hyperlink" Target="https://docs.google.com/forms/d/e/1FAIpQLSeEYwFnViiqk1AbexVe1VDR73UApmeuvfn6Yr2vN8WXjwGu2Q/viewform?edit2=2_ABaOnud1K6SWiOOk_0AVM49i4WIDKgQ_ZQbI6I4bnPiB5bASalePe7NSKemL4uVGjWdQ02Y&amp;source=documentstudio&amp;timestamp=1747618604242" TargetMode="External"/><Relationship Id="rId2507" Type="http://schemas.openxmlformats.org/officeDocument/2006/relationships/hyperlink" Target="https://docs.google.com/forms/d/e/1FAIpQLSeEYwFnViiqk1AbexVe1VDR73UApmeuvfn6Yr2vN8WXjwGu2Q/viewform?edit2=2_ABaOnufe1x4nvmgk2KQF9vShTcyZsTFVF8SOkz_tLz9CnK5MppPHW2jqsYufldwoPneUUag&amp;source=documentstudio&amp;timestamp=1768443828368" TargetMode="External"/><Relationship Id="rId2714" Type="http://schemas.openxmlformats.org/officeDocument/2006/relationships/hyperlink" Target="https://drive.google.com/open?id=1L9IfiFeD-EgQSX8WPOq1kD-C-y8u5sX-" TargetMode="External"/><Relationship Id="rId2921" Type="http://schemas.openxmlformats.org/officeDocument/2006/relationships/hyperlink" Target="https://drive.google.com/open?id=1B7SOEpLa1kwlOuyAhp-Ap4M0lNb7FMxz" TargetMode="External"/><Relationship Id="rId1316" Type="http://schemas.openxmlformats.org/officeDocument/2006/relationships/hyperlink" Target="https://drive.google.com/open?id=1PwnOx8KPeGzJ3CKmZmgnaDhwCuGx70W-" TargetMode="External"/><Relationship Id="rId1523" Type="http://schemas.openxmlformats.org/officeDocument/2006/relationships/hyperlink" Target="https://docs.google.com/forms/d/e/1FAIpQLSeEYwFnViiqk1AbexVe1VDR73UApmeuvfn6Yr2vN8WXjwGu2Q/viewform?edit2=2_ABaOnueRBoc0nL2mbE7eBIxDsgiaPn_wCrqfwpuoXkAW4Z_ff7ogYNSJOCszQStO6G3ZjGA&amp;source=documentstudio&amp;timestamp=1739328007501" TargetMode="External"/><Relationship Id="rId1730" Type="http://schemas.openxmlformats.org/officeDocument/2006/relationships/hyperlink" Target="https://drive.google.com/open?id=1tt50HgyJvQRT3UJHjQ9fNVyUqnc2XrQz" TargetMode="External"/><Relationship Id="rId22" Type="http://schemas.openxmlformats.org/officeDocument/2006/relationships/hyperlink" Target="https://drive.google.com/open?id=12bvzZ4Iylplp3l-sAfXlDrhiEqJ4PkEu" TargetMode="External"/><Relationship Id="rId1828" Type="http://schemas.openxmlformats.org/officeDocument/2006/relationships/hyperlink" Target="https://docs.google.com/forms/d/e/1FAIpQLSeEYwFnViiqk1AbexVe1VDR73UApmeuvfn6Yr2vN8WXjwGu2Q/viewform?edit2=2_ABaOnuf3-VwH1DIMr_NSGcWKlBUnM2UM08MTSoRd1iEx8w_zvU0NJacCnGxzvAST-TQosx4&amp;source=documentstudio&amp;timestamp=1741850336711" TargetMode="External"/><Relationship Id="rId171" Type="http://schemas.openxmlformats.org/officeDocument/2006/relationships/hyperlink" Target="https://drive.google.com/open?id=18LXzgRePvd4yasunxMNf3I2xrtXyM04I" TargetMode="External"/><Relationship Id="rId2297" Type="http://schemas.openxmlformats.org/officeDocument/2006/relationships/hyperlink" Target="https://docs.google.com/forms/d/e/1FAIpQLSeEYwFnViiqk1AbexVe1VDR73UApmeuvfn6Yr2vN8WXjwGu2Q/viewform?edit2=2_ABaOnuc3fsaIKPSjJSwiWJgiUKNBb-e9kcH6EgyhQkWSJGUFYApU2Roe-u5sp-2_eNwmuz0&amp;source=documentstudio&amp;timestamp=1759997775634" TargetMode="External"/><Relationship Id="rId269" Type="http://schemas.openxmlformats.org/officeDocument/2006/relationships/hyperlink" Target="https://drive.google.com/open?id=1wbUN8iz5uy4jy-Ewqn38dl3A79xix9Dy" TargetMode="External"/><Relationship Id="rId476" Type="http://schemas.openxmlformats.org/officeDocument/2006/relationships/hyperlink" Target="https://drive.google.com/open?id=1yf_iP2H6M208BxJgguK2-CsuQVdCYP6T" TargetMode="External"/><Relationship Id="rId683" Type="http://schemas.openxmlformats.org/officeDocument/2006/relationships/hyperlink" Target="https://docs.google.com/forms/d/e/1FAIpQLSeEYwFnViiqk1AbexVe1VDR73UApmeuvfn6Yr2vN8WXjwGu2Q/viewform?edit2=2_ABaOnucDnWVcX3U1UWL0BWo5p8bqCw4f6yd6poWVGYCwkf5t50-4bHY2lHIifG8PGxXsfYc&amp;source=documentstudio&amp;timestamp=1717401704205" TargetMode="External"/><Relationship Id="rId890" Type="http://schemas.openxmlformats.org/officeDocument/2006/relationships/hyperlink" Target="https://drive.google.com/open?id=1PTItucageUCb0bL7NYb301RajR6y4GTE" TargetMode="External"/><Relationship Id="rId2157" Type="http://schemas.openxmlformats.org/officeDocument/2006/relationships/hyperlink" Target="https://docs.google.com/forms/d/e/1FAIpQLSeEYwFnViiqk1AbexVe1VDR73UApmeuvfn6Yr2vN8WXjwGu2Q/viewform?edit2=2_ABaOnudD3KkLBGI_1vYDuyYZyrE5QDRKq5ibnvaJph4o5axKbZX-kwWz7q65M5M07piXdDc&amp;source=documentstudio&amp;timestamp=1749604679504" TargetMode="External"/><Relationship Id="rId2364" Type="http://schemas.openxmlformats.org/officeDocument/2006/relationships/hyperlink" Target="https://drive.google.com/open?id=19InCKMt3dWwUkHNufVJiLJ431QNMsKqr" TargetMode="External"/><Relationship Id="rId2571" Type="http://schemas.openxmlformats.org/officeDocument/2006/relationships/hyperlink" Target="https://docs.google.com/forms/d/e/1FAIpQLSeEYwFnViiqk1AbexVe1VDR73UApmeuvfn6Yr2vN8WXjwGu2Q/viewform?edit2=2_ABaOnudPw7MtD4COqhvq9ZVs1R6cxtq1dGohXRCFmW8KYvOcTVBMVGK8cg85mESZ0JjEoso&amp;source=documentstudio&amp;timestamp=1768461947795" TargetMode="External"/><Relationship Id="rId129" Type="http://schemas.openxmlformats.org/officeDocument/2006/relationships/hyperlink" Target="https://drive.google.com/open?id=1nDcclEec3fji74_6PdqAcaxL5JVU53yS" TargetMode="External"/><Relationship Id="rId336" Type="http://schemas.openxmlformats.org/officeDocument/2006/relationships/hyperlink" Target="https://drive.google.com/open?id=1Hfomvwa8g-A82B20voi9Zj9wE3BWRNRw" TargetMode="External"/><Relationship Id="rId543" Type="http://schemas.openxmlformats.org/officeDocument/2006/relationships/hyperlink" Target="https://drive.google.com/open?id=1Qh-RL0aSzeWjuE_a7ZdYr87IIpxyVghY" TargetMode="External"/><Relationship Id="rId988" Type="http://schemas.openxmlformats.org/officeDocument/2006/relationships/hyperlink" Target="https://drive.google.com/open?id=1X9y1IIblUfqcXAFp5azKmEhM8OXac8ZT" TargetMode="External"/><Relationship Id="rId1173" Type="http://schemas.openxmlformats.org/officeDocument/2006/relationships/hyperlink" Target="https://docs.google.com/forms/d/e/1FAIpQLSeEYwFnViiqk1AbexVe1VDR73UApmeuvfn6Yr2vN8WXjwGu2Q/viewform?edit2=2_ABaOnud_08APgLEsBRCecu392xVnYFfR0XK6N3nuAuDV6kcIelZuJtY8h06J7HH0s1xZt2U&amp;source=documentstudio&amp;timestamp=1728374492424" TargetMode="External"/><Relationship Id="rId1380" Type="http://schemas.openxmlformats.org/officeDocument/2006/relationships/hyperlink" Target="https://drive.google.com/open?id=17dj2Oa-FWg6o3t864B7y_qZRbQ7XGKq4" TargetMode="External"/><Relationship Id="rId2017" Type="http://schemas.openxmlformats.org/officeDocument/2006/relationships/hyperlink" Target="https://docs.google.com/forms/d/e/1FAIpQLSeEYwFnViiqk1AbexVe1VDR73UApmeuvfn6Yr2vN8WXjwGu2Q/viewform?edit2=2_ABaOnueX2L26DmYONxYie3CSzAvTNr13cv4NSKEzFtG0GBjGY0DqV0TvZ4pJcsBXE6D3Bnw&amp;source=documentstudio&amp;timestamp=1748831532994" TargetMode="External"/><Relationship Id="rId2224" Type="http://schemas.openxmlformats.org/officeDocument/2006/relationships/hyperlink" Target="https://drive.google.com/open?id=1ff3uLrUEsnLIJD0gYwT36gIkafHeDMED" TargetMode="External"/><Relationship Id="rId2669" Type="http://schemas.openxmlformats.org/officeDocument/2006/relationships/hyperlink" Target="https://docs.google.com/forms/d/e/1FAIpQLSeEYwFnViiqk1AbexVe1VDR73UApmeuvfn6Yr2vN8WXjwGu2Q/viewform?edit2=2_ABaOnuedi0j7nFf5mYqPhaX_Q6-Tkldaes3vYT0lynieERP1sV0hWudz36U9SLXsguqf2Rw&amp;source=documentstudio&amp;timestamp=1768789769489" TargetMode="External"/><Relationship Id="rId2876" Type="http://schemas.openxmlformats.org/officeDocument/2006/relationships/hyperlink" Target="https://drive.google.com/open?id=1-87mmhew6K1QK1mExMflaYIUjEHE1HNm" TargetMode="External"/><Relationship Id="rId403" Type="http://schemas.openxmlformats.org/officeDocument/2006/relationships/hyperlink" Target="https://drive.google.com/open?id=1opuW5Sfi_ZikKdy9JKE2KcGOIs7sXuDClNJZsFbslXM" TargetMode="External"/><Relationship Id="rId750" Type="http://schemas.openxmlformats.org/officeDocument/2006/relationships/hyperlink" Target="https://drive.google.com/open?id=1f99KMQkbkoDlcSYiuZgiQ02RZciQ2zQ-" TargetMode="External"/><Relationship Id="rId848" Type="http://schemas.openxmlformats.org/officeDocument/2006/relationships/hyperlink" Target="https://drive.google.com/open?id=1JKQmHy9w67qmTJ9D7Beey-XpnTF0JbqJ" TargetMode="External"/><Relationship Id="rId1033" Type="http://schemas.openxmlformats.org/officeDocument/2006/relationships/hyperlink" Target="https://docs.google.com/forms/d/e/1FAIpQLSeEYwFnViiqk1AbexVe1VDR73UApmeuvfn6Yr2vN8WXjwGu2Q/viewform?edit2=2_ABaOnueObRqtV3ejNL21H_cqM3xmyLAmyGWoZkg-XcdMkhk0guN_fUIEJBUMWK6sboAZe6g&amp;source=documentstudio&amp;timestamp=1723769112109" TargetMode="External"/><Relationship Id="rId1478" Type="http://schemas.openxmlformats.org/officeDocument/2006/relationships/hyperlink" Target="https://drive.google.com/open?id=11fUH6XuS59Ax4D4UodODbMrh_afpb1Kg" TargetMode="External"/><Relationship Id="rId1685" Type="http://schemas.openxmlformats.org/officeDocument/2006/relationships/hyperlink" Target="https://docs.google.com/forms/d/e/1FAIpQLSeEYwFnViiqk1AbexVe1VDR73UApmeuvfn6Yr2vN8WXjwGu2Q/viewform?edit2=2_ABaOnudWiqlwfS9q7NliThYgvrXSTDnTgDyzOtF4paAXLUe4jlZqaVLbxGEZYhsDqr_IefQ&amp;source=documentstudio&amp;timestamp=1741334734939" TargetMode="External"/><Relationship Id="rId1892" Type="http://schemas.openxmlformats.org/officeDocument/2006/relationships/hyperlink" Target="https://docs.google.com/forms/d/e/1FAIpQLSeEYwFnViiqk1AbexVe1VDR73UApmeuvfn6Yr2vN8WXjwGu2Q/viewform?edit2=2_ABaOnuc4cfn4-cRbgWwzYfTiORNjlfc0qxRAWMWP8YZ2yQdv4TCtnD81VJrwAZWx7hPOlgw&amp;source=documentstudio&amp;timestamp=1745198962155" TargetMode="External"/><Relationship Id="rId2431" Type="http://schemas.openxmlformats.org/officeDocument/2006/relationships/hyperlink" Target="https://docs.google.com/forms/d/e/1FAIpQLSeEYwFnViiqk1AbexVe1VDR73UApmeuvfn6Yr2vN8WXjwGu2Q/viewform?edit2=2_ABaOnufMc4oHvPtYcrILGRun_Dn_Nd4HhQCqaOIyih9ulGOsAjeDtvly0nSiODvDcbgC77w&amp;source=documentstudio&amp;timestamp=1768439734452" TargetMode="External"/><Relationship Id="rId2529" Type="http://schemas.openxmlformats.org/officeDocument/2006/relationships/hyperlink" Target="https://docs.google.com/forms/d/e/1FAIpQLSeEYwFnViiqk1AbexVe1VDR73UApmeuvfn6Yr2vN8WXjwGu2Q/viewform?edit2=2_ABaOnue0kj9wXKRzAqXkifDrP8C3nU4ZBHiZA0BOrhj3rLlLb9CFeCaZeWJALPo2Cl2QuBE&amp;source=documentstudio&amp;timestamp=1768444614997" TargetMode="External"/><Relationship Id="rId2736" Type="http://schemas.openxmlformats.org/officeDocument/2006/relationships/hyperlink" Target="https://drive.google.com/open?id=1fn5hJeLbr7AwoSuxEPvMMpr0A0njtO8o" TargetMode="External"/><Relationship Id="rId610" Type="http://schemas.openxmlformats.org/officeDocument/2006/relationships/hyperlink" Target="https://drive.google.com/open?id=1nq50HJt16m2EJ0EIbSrlK8RleJKOCwNW" TargetMode="External"/><Relationship Id="rId708" Type="http://schemas.openxmlformats.org/officeDocument/2006/relationships/hyperlink" Target="https://drive.google.com/open?id=1ArgQvTZ7C4KL1NNSkgzFD26-mCzq24GC" TargetMode="External"/><Relationship Id="rId915" Type="http://schemas.openxmlformats.org/officeDocument/2006/relationships/hyperlink" Target="https://docs.google.com/forms/d/e/1FAIpQLSeEYwFnViiqk1AbexVe1VDR73UApmeuvfn6Yr2vN8WXjwGu2Q/viewform?edit2=2_ABaOnufoamYxATuOJJ3Xjekqznuq542-y9UN_FqgfF1NSB3vkchdQbLn2tD0JLiU1J1iFaA&amp;source=documentstudio&amp;timestamp=1721619801350" TargetMode="External"/><Relationship Id="rId1240" Type="http://schemas.openxmlformats.org/officeDocument/2006/relationships/hyperlink" Target="https://drive.google.com/open?id=1ZyhWy1nSUIMGwM76wgyW9yj2FIgxhr7K" TargetMode="External"/><Relationship Id="rId1338" Type="http://schemas.openxmlformats.org/officeDocument/2006/relationships/hyperlink" Target="https://drive.google.com/open?id=1pEad7YtTJOCAh4oI8dZeOoLRquu6LBbs" TargetMode="External"/><Relationship Id="rId1545" Type="http://schemas.openxmlformats.org/officeDocument/2006/relationships/hyperlink" Target="https://docs.google.com/forms/d/e/1FAIpQLSeEYwFnViiqk1AbexVe1VDR73UApmeuvfn6Yr2vN8WXjwGu2Q/viewform?edit2=2_ABaOnucxVHv7yEgndYYoNml9Mw2IU3fHH7tnBRG_jET2bBOwrQi4blBhwFFRYeKp5OntAVA&amp;source=documentstudio&amp;timestamp=1739328791381" TargetMode="External"/><Relationship Id="rId2943" Type="http://schemas.openxmlformats.org/officeDocument/2006/relationships/hyperlink" Target="https://drive.google.com/open?id=1Qlo5JFCdhsbooC8x-wQw5DY9Rb9WUIEo" TargetMode="External"/><Relationship Id="rId1100" Type="http://schemas.openxmlformats.org/officeDocument/2006/relationships/hyperlink" Target="https://drive.google.com/open?id=1fflRjULYpblV6cTcq2duR7nm_sFFFaly" TargetMode="External"/><Relationship Id="rId1405" Type="http://schemas.openxmlformats.org/officeDocument/2006/relationships/hyperlink" Target="https://docs.google.com/forms/d/e/1FAIpQLSeEYwFnViiqk1AbexVe1VDR73UApmeuvfn6Yr2vN8WXjwGu2Q/viewform?edit2=2_ABaOnucB4dxA1-NA99U6yCdY6gMXd1IO9PCPjGE8D_OE-jRxrNeYsfbWSxrrorZWw1668ns&amp;source=documentstudio&amp;timestamp=1737445980509" TargetMode="External"/><Relationship Id="rId1752" Type="http://schemas.openxmlformats.org/officeDocument/2006/relationships/hyperlink" Target="https://docs.google.com/forms/d/e/1FAIpQLSeEYwFnViiqk1AbexVe1VDR73UApmeuvfn6Yr2vN8WXjwGu2Q/viewform?edit2=2_ABaOnudfnS4MF1XERvtqOUHh75brxol8twrW4manguf78pUiXWPW9UlPlsG5XapempNnIlI&amp;source=documentstudio&amp;timestamp=1741568535517" TargetMode="External"/><Relationship Id="rId2803" Type="http://schemas.openxmlformats.org/officeDocument/2006/relationships/hyperlink" Target="https://docs.google.com/forms/d/e/1FAIpQLSeEYwFnViiqk1AbexVe1VDR73UApmeuvfn6Yr2vN8WXjwGu2Q/viewform?edit2=2_ABaOnueXUm3bdBTd_nW7YwkBCIq9UZEbPvUz9j1OOpM-FueGcR7lNxEBddniP0v4ULqKmwQ&amp;source=documentstudio&amp;timestamp=1769392976506" TargetMode="External"/><Relationship Id="rId44" Type="http://schemas.openxmlformats.org/officeDocument/2006/relationships/hyperlink" Target="https://drive.google.com/open?id=1J3lGTvPCntXVIL8sZ_cdua4mIzDyMykv" TargetMode="External"/><Relationship Id="rId1612" Type="http://schemas.openxmlformats.org/officeDocument/2006/relationships/hyperlink" Target="https://drive.google.com/open?id=1spPIFN0hVt3eOdSQ9A--wH2jNsR2Eh0Q" TargetMode="External"/><Relationship Id="rId1917" Type="http://schemas.openxmlformats.org/officeDocument/2006/relationships/hyperlink" Target="https://drive.google.com/open?id=1DI8XY8woZ-t1EByhJK3zVR8M3ueDTZ5M" TargetMode="External"/><Relationship Id="rId193" Type="http://schemas.openxmlformats.org/officeDocument/2006/relationships/hyperlink" Target="https://drive.google.com/open?id=1AtfC5D2bRJnXyFqAFosZgsROYHWSm84L" TargetMode="External"/><Relationship Id="rId498" Type="http://schemas.openxmlformats.org/officeDocument/2006/relationships/hyperlink" Target="https://drive.google.com/open?id=1jprWLsTeiMf0869hw3XF7clxfuaSFG19" TargetMode="External"/><Relationship Id="rId2081" Type="http://schemas.openxmlformats.org/officeDocument/2006/relationships/hyperlink" Target="https://docs.google.com/forms/d/e/1FAIpQLSeEYwFnViiqk1AbexVe1VDR73UApmeuvfn6Yr2vN8WXjwGu2Q/viewform?edit2=2_ABaOnucC9mQw17iY-1Km6ycpcj32jCCfvfSJu0DtILXNp1V9DqrMoDmkSx9ooWjcTZSP7-s&amp;source=documentstudio&amp;timestamp=1748846667182" TargetMode="External"/><Relationship Id="rId2179" Type="http://schemas.openxmlformats.org/officeDocument/2006/relationships/hyperlink" Target="https://docs.google.com/forms/d/e/1FAIpQLSeEYwFnViiqk1AbexVe1VDR73UApmeuvfn6Yr2vN8WXjwGu2Q/viewform?edit2=2_ABaOnufJbfPrEHx5xnSsZV2dB_nTEzTpE5m2edQ_BPtNUnJbJ4lxdbzBziqKFEHt6dK6eBU&amp;source=documentstudio&amp;timestamp=1750671405445" TargetMode="External"/><Relationship Id="rId260" Type="http://schemas.openxmlformats.org/officeDocument/2006/relationships/hyperlink" Target="https://drive.google.com/open?id=1yS7iA-lXgKvWNpp4jrCH7NHoQXUHX5Tg" TargetMode="External"/><Relationship Id="rId2386" Type="http://schemas.openxmlformats.org/officeDocument/2006/relationships/hyperlink" Target="https://drive.google.com/open?id=1Nt3-0jAtL_-Isn9iqPqVRGHnN5h9U4Qi" TargetMode="External"/><Relationship Id="rId2593" Type="http://schemas.openxmlformats.org/officeDocument/2006/relationships/hyperlink" Target="https://docs.google.com/forms/d/e/1FAIpQLSeEYwFnViiqk1AbexVe1VDR73UApmeuvfn6Yr2vN8WXjwGu2Q/viewform?edit2=2_ABaOnudA8w-efvC9GlnSdvEhVvLf2yRXOHwsE1iTuddzjrciCqafRzlsi47plLBGOagPfoo&amp;source=documentstudio&amp;timestamp=1768464390602" TargetMode="External"/><Relationship Id="rId120" Type="http://schemas.openxmlformats.org/officeDocument/2006/relationships/hyperlink" Target="https://drive.google.com/open?id=1PsbfCYvrrk1ChlmHbJHEglXh-Wx45p6R" TargetMode="External"/><Relationship Id="rId358" Type="http://schemas.openxmlformats.org/officeDocument/2006/relationships/hyperlink" Target="https://drive.google.com/open?id=1f8GcVjooIuCHjqsnNyoNfhnxz2KRwNfc" TargetMode="External"/><Relationship Id="rId565" Type="http://schemas.openxmlformats.org/officeDocument/2006/relationships/hyperlink" Target="https://drive.google.com/open?id=1cuI6JC0itL4AHl5-GBCzLfiCcZalgsZK" TargetMode="External"/><Relationship Id="rId772" Type="http://schemas.openxmlformats.org/officeDocument/2006/relationships/hyperlink" Target="https://drive.google.com/open?id=1JyIKQNgqzDPgIig2b3GS3eOgW9jT0QLH" TargetMode="External"/><Relationship Id="rId1195" Type="http://schemas.openxmlformats.org/officeDocument/2006/relationships/hyperlink" Target="https://docs.google.com/forms/d/e/1FAIpQLSeEYwFnViiqk1AbexVe1VDR73UApmeuvfn6Yr2vN8WXjwGu2Q/viewform?edit2=2_ABaOnueZKnqi66qZ8N2gESLJU896Bvj9w0bz14CGSazkNfkkFacIc9GsitihHJ1dW7re4oM&amp;source=documentstudio&amp;timestamp=1730949403337" TargetMode="External"/><Relationship Id="rId2039" Type="http://schemas.openxmlformats.org/officeDocument/2006/relationships/hyperlink" Target="https://docs.google.com/forms/d/e/1FAIpQLSeEYwFnViiqk1AbexVe1VDR73UApmeuvfn6Yr2vN8WXjwGu2Q/viewform?edit2=2_ABaOnud4HvETpRRrPAomJx9twd6R12BtKEJMcKV4E9NnxW5yGV8P3RISupgLy9AjEekkJn8&amp;source=documentstudio&amp;timestamp=1748832542488" TargetMode="External"/><Relationship Id="rId2246" Type="http://schemas.openxmlformats.org/officeDocument/2006/relationships/hyperlink" Target="https://drive.google.com/open?id=1M8AreQTVMVru2uynPlFzWslI5UIPQtdy" TargetMode="External"/><Relationship Id="rId2453" Type="http://schemas.openxmlformats.org/officeDocument/2006/relationships/hyperlink" Target="https://docs.google.com/forms/d/e/1FAIpQLSeEYwFnViiqk1AbexVe1VDR73UApmeuvfn6Yr2vN8WXjwGu2Q/viewform?edit2=2_ABaOnufXCGxD1sGmQxVMN0Mw3gQhM8_tkP8uPWHfFr_57sCcq2ixcv9bLHy2kaN5TMZ9tCw&amp;source=documentstudio&amp;timestamp=1768441908549" TargetMode="External"/><Relationship Id="rId2660" Type="http://schemas.openxmlformats.org/officeDocument/2006/relationships/hyperlink" Target="https://drive.google.com/open?id=1onVN1_eM_DFTwTc2Cff5xgOk1GJ18-_u" TargetMode="External"/><Relationship Id="rId2898" Type="http://schemas.openxmlformats.org/officeDocument/2006/relationships/hyperlink" Target="https://docs.google.com/forms/d/e/1FAIpQLSeEYwFnViiqk1AbexVe1VDR73UApmeuvfn6Yr2vN8WXjwGu2Q/viewform?edit2=2_ABaOnucCEzgkAoleMF8FDcWRgtbCV17CkydF3G3wTbrvpTuaLP-pBXjd201t0-Var5EJ-4w&amp;source=documentstudio&amp;timestamp=1769486486454" TargetMode="External"/><Relationship Id="rId218" Type="http://schemas.openxmlformats.org/officeDocument/2006/relationships/hyperlink" Target="https://drive.google.com/open?id=1N3AjoeNMW14LqgCQhBDxlKSgXgoKOPzJ" TargetMode="External"/><Relationship Id="rId425" Type="http://schemas.openxmlformats.org/officeDocument/2006/relationships/hyperlink" Target="https://drive.google.com/open?id=1U_TrwyLxHu6Wk9yvBZzOiy_SRI-M_etP" TargetMode="External"/><Relationship Id="rId632" Type="http://schemas.openxmlformats.org/officeDocument/2006/relationships/hyperlink" Target="https://drive.google.com/open?id=1FxtW-GVEJJWluKuvSSYjMxxY46cb36Tm" TargetMode="External"/><Relationship Id="rId1055" Type="http://schemas.openxmlformats.org/officeDocument/2006/relationships/hyperlink" Target="https://docs.google.com/forms/d/e/1FAIpQLSeEYwFnViiqk1AbexVe1VDR73UApmeuvfn6Yr2vN8WXjwGu2Q/viewform?edit2=2_ABaOnueYV858BJvvAf8ra7oVHAJPhMUK7wl2GeS_D_Mq3PTSVJsAaIKD_gaWz2eBbmhfEjI&amp;source=documentstudio&amp;timestamp=1725499742440" TargetMode="External"/><Relationship Id="rId1262" Type="http://schemas.openxmlformats.org/officeDocument/2006/relationships/hyperlink" Target="https://drive.google.com/open?id=1frLmm4Cn0EJyVegsZdOt9NafHzkDx5x7" TargetMode="External"/><Relationship Id="rId2106" Type="http://schemas.openxmlformats.org/officeDocument/2006/relationships/hyperlink" Target="https://drive.google.com/open?id=1F58-034VN-coW5u4jiAMd1sUnhkAsSXF" TargetMode="External"/><Relationship Id="rId2313" Type="http://schemas.openxmlformats.org/officeDocument/2006/relationships/hyperlink" Target="https://docs.google.com/forms/d/e/1FAIpQLSeEYwFnViiqk1AbexVe1VDR73UApmeuvfn6Yr2vN8WXjwGu2Q/viewform?edit2=2_ABaOnuerS1bx3lj0Tikj5h4s1iDb6HRpXBazgrUuaEbgg6GQlUKvksSOh4rJLQvsDj5i_a4&amp;source=documentstudio&amp;timestamp=1760414714668" TargetMode="External"/><Relationship Id="rId2520" Type="http://schemas.openxmlformats.org/officeDocument/2006/relationships/hyperlink" Target="https://drive.google.com/open?id=1FDSLhE9szgvScrhKAPjgD0h_YxBt_arU" TargetMode="External"/><Relationship Id="rId2758" Type="http://schemas.openxmlformats.org/officeDocument/2006/relationships/hyperlink" Target="https://drive.google.com/open?id=1MQdFp25brcuUS7lDQLx4ifoFgH5Xujkr" TargetMode="External"/><Relationship Id="rId2965" Type="http://schemas.openxmlformats.org/officeDocument/2006/relationships/vmlDrawing" Target="../drawings/vmlDrawing1.vml"/><Relationship Id="rId937" Type="http://schemas.openxmlformats.org/officeDocument/2006/relationships/hyperlink" Target="https://docs.google.com/forms/d/e/1FAIpQLSeEYwFnViiqk1AbexVe1VDR73UApmeuvfn6Yr2vN8WXjwGu2Q/viewform?edit2=2_ABaOnudZFlfpBeUW0Z6mZg9ZDaiRHeq5C9A-78Q0yHO_Uzv0vpryIBz-XZ-21YjfLqrNzkE&amp;source=documentstudio&amp;timestamp=1721620858145" TargetMode="External"/><Relationship Id="rId1122" Type="http://schemas.openxmlformats.org/officeDocument/2006/relationships/hyperlink" Target="https://drive.google.com/open?id=1lvbvGe_i5TnHLgb2Qp_IZ6FDDswtiTFr" TargetMode="External"/><Relationship Id="rId1567" Type="http://schemas.openxmlformats.org/officeDocument/2006/relationships/hyperlink" Target="https://docs.google.com/forms/d/e/1FAIpQLSeEYwFnViiqk1AbexVe1VDR73UApmeuvfn6Yr2vN8WXjwGu2Q/viewform?edit2=2_ABaOnudu9xjvnXKUNtuQLNpOedYf26T4fbbgxOaZSw6S_fFxcvTaiFumtrKkw_5_pVAkp1o&amp;source=documentstudio&amp;timestamp=1739329004077" TargetMode="External"/><Relationship Id="rId1774" Type="http://schemas.openxmlformats.org/officeDocument/2006/relationships/hyperlink" Target="https://docs.google.com/forms/d/e/1FAIpQLSeEYwFnViiqk1AbexVe1VDR73UApmeuvfn6Yr2vN8WXjwGu2Q/viewform?edit2=2_ABaOnufqpya3wpJRptDNlIlTLjPJtBA4snq4cYNPFLZbCVOGjlvrfby92pBbwRTEKE-wq-8&amp;source=documentstudio&amp;timestamp=1741573795566" TargetMode="External"/><Relationship Id="rId1981" Type="http://schemas.openxmlformats.org/officeDocument/2006/relationships/hyperlink" Target="https://docs.google.com/forms/d/e/1FAIpQLSeEYwFnViiqk1AbexVe1VDR73UApmeuvfn6Yr2vN8WXjwGu2Q/viewform?edit2=2_ABaOnufJ1pfy9yemzsaSp-4RFl6sbDnpGPEqygzEi2-Gey2mUzZaRIN2D3tCZJLYw7MOsmE&amp;source=documentstudio&amp;timestamp=1747891470044" TargetMode="External"/><Relationship Id="rId2618" Type="http://schemas.openxmlformats.org/officeDocument/2006/relationships/hyperlink" Target="https://drive.google.com/open?id=1CsFN8iodXVi40rreyn2VwA-Y5aH1FbcE" TargetMode="External"/><Relationship Id="rId2825" Type="http://schemas.openxmlformats.org/officeDocument/2006/relationships/hyperlink" Target="https://docs.google.com/forms/d/e/1FAIpQLSeEYwFnViiqk1AbexVe1VDR73UApmeuvfn6Yr2vN8WXjwGu2Q/viewform?edit2=2_ABaOnucj9E-A_zDuA5XxiCUNN4rYgLzNFQ0cNiVCihZTyvNhkRcdyL0g2UnYQLbp1-XX7uw&amp;source=documentstudio&amp;timestamp=1769395836064" TargetMode="External"/><Relationship Id="rId66" Type="http://schemas.openxmlformats.org/officeDocument/2006/relationships/hyperlink" Target="https://drive.google.com/open?id=1sRBJc7VYHPZpkr0MugxhcB0el8_K0Vmn" TargetMode="External"/><Relationship Id="rId1427" Type="http://schemas.openxmlformats.org/officeDocument/2006/relationships/hyperlink" Target="https://docs.google.com/forms/d/e/1FAIpQLSeEYwFnViiqk1AbexVe1VDR73UApmeuvfn6Yr2vN8WXjwGu2Q/viewform?edit2=2_ABaOnufPb3oXAJjiWdMQW74nkY7L-8E8CsPfpQr7DBBieeo2HMUZk4dsojwhnORVPYQAKbw&amp;source=documentstudio&amp;timestamp=1737446480520" TargetMode="External"/><Relationship Id="rId1634" Type="http://schemas.openxmlformats.org/officeDocument/2006/relationships/hyperlink" Target="https://drive.google.com/open?id=1UnSbmKzFXgCHor1N9v9i8l3A_RKe5EaW" TargetMode="External"/><Relationship Id="rId1841" Type="http://schemas.openxmlformats.org/officeDocument/2006/relationships/hyperlink" Target="https://drive.google.com/open?id=1ofTw2Dbm52iNIyjDasZS2AQV0Yk0NKw2" TargetMode="External"/><Relationship Id="rId1939" Type="http://schemas.openxmlformats.org/officeDocument/2006/relationships/hyperlink" Target="https://drive.google.com/open?id=1HYuI7D-CYXo7WRVS88BPckdRH4dfCmEY" TargetMode="External"/><Relationship Id="rId1701" Type="http://schemas.openxmlformats.org/officeDocument/2006/relationships/hyperlink" Target="https://drive.google.com/open?id=19idpcZ80qOLJnBtgM3ii73YKSxwRvu-p" TargetMode="External"/><Relationship Id="rId282" Type="http://schemas.openxmlformats.org/officeDocument/2006/relationships/hyperlink" Target="https://drive.google.com/open?id=1nc1fiDTf-gb9GjkJ9-lZ1xdsZmpgbofM" TargetMode="External"/><Relationship Id="rId587" Type="http://schemas.openxmlformats.org/officeDocument/2006/relationships/hyperlink" Target="https://drive.google.com/open?id=1TaaB0HNnPGScTI9y3k1E4PLP1Q4rzgXV" TargetMode="External"/><Relationship Id="rId2170" Type="http://schemas.openxmlformats.org/officeDocument/2006/relationships/hyperlink" Target="https://drive.google.com/open?id=1dozZh1H9IXJ1I2pKawsXcnbq8ybMgUtj" TargetMode="External"/><Relationship Id="rId2268" Type="http://schemas.openxmlformats.org/officeDocument/2006/relationships/hyperlink" Target="https://drive.google.com/open?id=1Dk0IElwJTNdXWAup1y6JxWPfWiE4INnL" TargetMode="External"/><Relationship Id="rId8" Type="http://schemas.openxmlformats.org/officeDocument/2006/relationships/hyperlink" Target="https://drive.google.com/open?id=1pPdBcUCPaB79o88XYLXCAQAlfl6iiuEv" TargetMode="External"/><Relationship Id="rId142" Type="http://schemas.openxmlformats.org/officeDocument/2006/relationships/hyperlink" Target="https://drive.google.com/open?id=1yWFCwW428_qoGAiU1pZ94DFdNmC2H0d4" TargetMode="External"/><Relationship Id="rId447" Type="http://schemas.openxmlformats.org/officeDocument/2006/relationships/hyperlink" Target="https://drive.google.com/open?id=1dOiOdAFNWfwg9k-Hbf39nIla4MbOIxrn" TargetMode="External"/><Relationship Id="rId794" Type="http://schemas.openxmlformats.org/officeDocument/2006/relationships/hyperlink" Target="https://drive.google.com/open?id=1gQKB0EDh3KGKadeDibiEd3TAEMit3D-V" TargetMode="External"/><Relationship Id="rId1077" Type="http://schemas.openxmlformats.org/officeDocument/2006/relationships/hyperlink" Target="https://docs.google.com/forms/d/e/1FAIpQLSeEYwFnViiqk1AbexVe1VDR73UApmeuvfn6Yr2vN8WXjwGu2Q/viewform?edit2=2_ABaOnufmj2emCL2LrFw436ec02Lx3DjBj6KGj76b-4tKhatlgndqJXe7-q68u6Eab-oWHdw&amp;source=documentstudio&amp;timestamp=1725854364318" TargetMode="External"/><Relationship Id="rId2030" Type="http://schemas.openxmlformats.org/officeDocument/2006/relationships/hyperlink" Target="https://drive.google.com/open?id=1noMlcc9cvhGwquyNgaBAAKseUg9JYh_x" TargetMode="External"/><Relationship Id="rId2128" Type="http://schemas.openxmlformats.org/officeDocument/2006/relationships/hyperlink" Target="https://drive.google.com/open?id=1oQjGXzOr1AnmDKhIo1WHJWf4vn6b3X3V" TargetMode="External"/><Relationship Id="rId2475" Type="http://schemas.openxmlformats.org/officeDocument/2006/relationships/hyperlink" Target="https://docs.google.com/forms/d/e/1FAIpQLSeEYwFnViiqk1AbexVe1VDR73UApmeuvfn6Yr2vN8WXjwGu2Q/viewform?edit2=2_ABaOnudFN52lZH81X669lTIxUqr3FXdWf8QQ299KR2CLHbdvPN532fc40T3k29zpf4v5Zt4&amp;source=documentstudio&amp;timestamp=1768443002114" TargetMode="External"/><Relationship Id="rId2682" Type="http://schemas.openxmlformats.org/officeDocument/2006/relationships/hyperlink" Target="https://drive.google.com/open?id=1fZrVhlNeTx4BdeKAzwy0cjvHfQT2W-hC" TargetMode="External"/><Relationship Id="rId654" Type="http://schemas.openxmlformats.org/officeDocument/2006/relationships/hyperlink" Target="https://drive.google.com/open?id=1iVtldHtQLNWZwnbUTNcH5julQdQTz1m_" TargetMode="External"/><Relationship Id="rId861" Type="http://schemas.openxmlformats.org/officeDocument/2006/relationships/hyperlink" Target="https://docs.google.com/forms/d/e/1FAIpQLSeEYwFnViiqk1AbexVe1VDR73UApmeuvfn6Yr2vN8WXjwGu2Q/viewform?edit2=2_ABaOnucGmzQxFEFc9WnvqyllBwys9FJl8GF8HozzrEC_kNrVqKweKhC5YjNTnbycq9TAGjE&amp;source=documentstudio&amp;timestamp=1720488203778" TargetMode="External"/><Relationship Id="rId959" Type="http://schemas.openxmlformats.org/officeDocument/2006/relationships/hyperlink" Target="https://docs.google.com/forms/d/e/1FAIpQLSeEYwFnViiqk1AbexVe1VDR73UApmeuvfn6Yr2vN8WXjwGu2Q/viewform?edit2=2_ABaOnuc0mmfehj1VuW-29Atuy7B9t4DAnVRw2tgGtA9v0-F2KSZlwL_XzbYGQuAjw2D9V6o&amp;source=documentstudio&amp;timestamp=1721633357268" TargetMode="External"/><Relationship Id="rId1284" Type="http://schemas.openxmlformats.org/officeDocument/2006/relationships/hyperlink" Target="https://drive.google.com/open?id=1gjXtksjQY-kydBZF3CFWMIY8UmM_Uams" TargetMode="External"/><Relationship Id="rId1491" Type="http://schemas.openxmlformats.org/officeDocument/2006/relationships/hyperlink" Target="https://docs.google.com/forms/d/e/1FAIpQLSeEYwFnViiqk1AbexVe1VDR73UApmeuvfn6Yr2vN8WXjwGu2Q/viewform?edit2=2_ABaOnufVOaKUNcOuRX7d2PlSOzW1xhBLd0O5IPPU34iWCj0lBVA51GoXPXMRRz5XLyHV5r8&amp;source=documentstudio&amp;timestamp=1737516022599" TargetMode="External"/><Relationship Id="rId1589" Type="http://schemas.openxmlformats.org/officeDocument/2006/relationships/hyperlink" Target="https://docs.google.com/forms/d/e/1FAIpQLSeEYwFnViiqk1AbexVe1VDR73UApmeuvfn6Yr2vN8WXjwGu2Q/viewform?edit2=2_ABaOnuecpaY3Ey9cBikRGIJEC4YkNfRDvGWj_SEgDyQEcBlOHEyWx_DhT2JYqNu-QJM_lb8&amp;source=documentstudio&amp;timestamp=1739329486252" TargetMode="External"/><Relationship Id="rId2335" Type="http://schemas.openxmlformats.org/officeDocument/2006/relationships/hyperlink" Target="https://docs.google.com/forms/d/e/1FAIpQLSeEYwFnViiqk1AbexVe1VDR73UApmeuvfn6Yr2vN8WXjwGu2Q/viewform?edit2=2_ABaOnudEqmy9w3d-FqD_bOBvHAGG4ELMXFPXkxL3bPsQDa_eFhA-o4bCeloGDRlbDZHgybQ&amp;source=documentstudio&amp;timestamp=1764569117482" TargetMode="External"/><Relationship Id="rId2542" Type="http://schemas.openxmlformats.org/officeDocument/2006/relationships/hyperlink" Target="https://drive.google.com/open?id=1R34HkLmxDaEOUVLCFQyjvGu3IUX5iEOv" TargetMode="External"/><Relationship Id="rId307" Type="http://schemas.openxmlformats.org/officeDocument/2006/relationships/hyperlink" Target="https://drive.google.com/open?id=1Er9Oq-2N-LQ4pa28kwOTWuaXZIo_u_Xc" TargetMode="External"/><Relationship Id="rId514" Type="http://schemas.openxmlformats.org/officeDocument/2006/relationships/hyperlink" Target="https://drive.google.com/open?id=1siYZNVXgug6D1mlZ1B5KY15D7bOpjfn-" TargetMode="External"/><Relationship Id="rId721" Type="http://schemas.openxmlformats.org/officeDocument/2006/relationships/hyperlink" Target="https://docs.google.com/forms/d/e/1FAIpQLSeEYwFnViiqk1AbexVe1VDR73UApmeuvfn6Yr2vN8WXjwGu2Q/viewform?edit2=2_ABaOnudIma1N0cVgLbuAKoHEVHvR8XIXu2Ye2oNC589_hJysvkS5mAVkACK9l5K1ZcxVjeM&amp;source=documentstudio&amp;timestamp=1717639232976" TargetMode="External"/><Relationship Id="rId1144" Type="http://schemas.openxmlformats.org/officeDocument/2006/relationships/hyperlink" Target="https://drive.google.com/open?id=1NK8IWDRtpwn_WdHNfAAv7yRyVnprZqIF" TargetMode="External"/><Relationship Id="rId1351" Type="http://schemas.openxmlformats.org/officeDocument/2006/relationships/hyperlink" Target="https://docs.google.com/forms/d/e/1FAIpQLSeEYwFnViiqk1AbexVe1VDR73UApmeuvfn6Yr2vN8WXjwGu2Q/viewform?edit2=2_ABaOnuf_vL98tdleLwh57N3a3rbu7cK6qPR4pOVY2Y4btRIRdpL24Jticvw-CMrrfwB6d4k&amp;source=documentstudio&amp;timestamp=1736140884228" TargetMode="External"/><Relationship Id="rId1449" Type="http://schemas.openxmlformats.org/officeDocument/2006/relationships/hyperlink" Target="https://docs.google.com/forms/d/e/1FAIpQLSeEYwFnViiqk1AbexVe1VDR73UApmeuvfn6Yr2vN8WXjwGu2Q/viewform?edit2=2_ABaOnucusApBCnBFHvFW4oj78no1sxSWskf1T1HZ2oooriF5gQr2km4nX6I14hd-D1AjfM4&amp;source=documentstudio&amp;timestamp=1737447052595" TargetMode="External"/><Relationship Id="rId1796" Type="http://schemas.openxmlformats.org/officeDocument/2006/relationships/hyperlink" Target="https://docs.google.com/forms/d/e/1FAIpQLSeEYwFnViiqk1AbexVe1VDR73UApmeuvfn6Yr2vN8WXjwGu2Q/viewform?edit2=2_ABaOnuccXIyIvhfde1af7PXMjqRQiDbmac8ODWFNfXsH-KwRzBbGNn9d4CTUz2gNRTWY4js&amp;source=documentstudio&amp;timestamp=1741740567228" TargetMode="External"/><Relationship Id="rId2402" Type="http://schemas.openxmlformats.org/officeDocument/2006/relationships/hyperlink" Target="https://drive.google.com/open?id=1rRBEkHOLgexkUit4JUD6LFzof4tkmyHN" TargetMode="External"/><Relationship Id="rId2847" Type="http://schemas.openxmlformats.org/officeDocument/2006/relationships/hyperlink" Target="https://docs.google.com/forms/d/e/1FAIpQLSeEYwFnViiqk1AbexVe1VDR73UApmeuvfn6Yr2vN8WXjwGu2Q/viewform?edit2=2_ABaOnudYOtJgn2DOc9Xl8-57Yu9Qfn3MjZKBGKcgKUMItqK2DOcXSPMeuwacd5ShWQrIZOM&amp;source=documentstudio&amp;timestamp=1769415929259" TargetMode="External"/><Relationship Id="rId88" Type="http://schemas.openxmlformats.org/officeDocument/2006/relationships/hyperlink" Target="https://drive.google.com/open?id=1FBjrwdhXbTFWO-gg0kYXaws96pphCtKz" TargetMode="External"/><Relationship Id="rId819" Type="http://schemas.openxmlformats.org/officeDocument/2006/relationships/hyperlink" Target="https://docs.google.com/forms/d/e/1FAIpQLSeEYwFnViiqk1AbexVe1VDR73UApmeuvfn6Yr2vN8WXjwGu2Q/viewform?edit2=2_ABaOnudkuK1AYNy201hJEAgdRH4Yn0eOvXlZ9SyD1jesgddVltW3yxFU0xqe1W5sXzs9aQE&amp;source=documentstudio&amp;timestamp=1720412958041" TargetMode="External"/><Relationship Id="rId1004" Type="http://schemas.openxmlformats.org/officeDocument/2006/relationships/hyperlink" Target="https://drive.google.com/open?id=1_ha0SfoQF1-TlKNs4Y6cZidFu7zd1Zzj" TargetMode="External"/><Relationship Id="rId1211" Type="http://schemas.openxmlformats.org/officeDocument/2006/relationships/hyperlink" Target="https://docs.google.com/forms/d/e/1FAIpQLSeEYwFnViiqk1AbexVe1VDR73UApmeuvfn6Yr2vN8WXjwGu2Q/viewform?edit2=2_ABaOnudOdGo2LIVy2NjnTc_H5ctJ41CWEvXQ--kSCIbsmGJIAJWEB_YvhFa6T_amndSvQZU&amp;source=documentstudio&amp;timestamp=1731484736885" TargetMode="External"/><Relationship Id="rId1656" Type="http://schemas.openxmlformats.org/officeDocument/2006/relationships/hyperlink" Target="https://drive.google.com/open?id=1b27mdIC_fEg4MhbU5D6WD1lQ4tj99xaA" TargetMode="External"/><Relationship Id="rId1863" Type="http://schemas.openxmlformats.org/officeDocument/2006/relationships/hyperlink" Target="https://drive.google.com/open?id=1Zyl1eNY0QyOQ1lu4pO4Xy3fA60DvGexJ" TargetMode="External"/><Relationship Id="rId2707" Type="http://schemas.openxmlformats.org/officeDocument/2006/relationships/hyperlink" Target="https://docs.google.com/forms/d/e/1FAIpQLSeEYwFnViiqk1AbexVe1VDR73UApmeuvfn6Yr2vN8WXjwGu2Q/viewform?edit2=2_ABaOnudieSdj_hxukr8HuWhcD7N5mA8EaRnJmtFP0aSjkTftqbJ6-obUl0Ghiaip6cX1tzI&amp;source=documentstudio&amp;timestamp=1768794671106" TargetMode="External"/><Relationship Id="rId2914" Type="http://schemas.openxmlformats.org/officeDocument/2006/relationships/hyperlink" Target="https://docs.google.com/forms/d/e/1FAIpQLSeEYwFnViiqk1AbexVe1VDR73UApmeuvfn6Yr2vN8WXjwGu2Q/viewform?edit2=2_ABaOnucq2HpRYQPCaI_dRODtENHld0uoCsc1dOK4h3NRZTtA6Fy-v7S_UeULEe0PugkIjYU&amp;source=documentstudio&amp;timestamp=1769587360042" TargetMode="External"/><Relationship Id="rId1309" Type="http://schemas.openxmlformats.org/officeDocument/2006/relationships/hyperlink" Target="https://docs.google.com/forms/d/e/1FAIpQLSeEYwFnViiqk1AbexVe1VDR73UApmeuvfn6Yr2vN8WXjwGu2Q/viewform?edit2=2_ABaOnucec974AlVwAAIsqwfRb5FnJF9NMvBIQUjZgSnkik1hCS09Dbbj145wcI86Sx9-HDo&amp;source=documentstudio&amp;timestamp=1733796331970" TargetMode="External"/><Relationship Id="rId1516" Type="http://schemas.openxmlformats.org/officeDocument/2006/relationships/hyperlink" Target="https://drive.google.com/open?id=14q9FH1cy__0A3VFzHcP52B1CexDDbXh8" TargetMode="External"/><Relationship Id="rId1723" Type="http://schemas.openxmlformats.org/officeDocument/2006/relationships/hyperlink" Target="https://docs.google.com/forms/d/e/1FAIpQLSeEYwFnViiqk1AbexVe1VDR73UApmeuvfn6Yr2vN8WXjwGu2Q/viewform?edit2=2_ABaOnuf5yNLbiFnqLjY9FDWZ1Y49wy15dIeXBiNIwJ__klUyJHjtpM0-btotmSKehY-gGMs&amp;source=documentstudio&amp;timestamp=1741340721586" TargetMode="External"/><Relationship Id="rId1930" Type="http://schemas.openxmlformats.org/officeDocument/2006/relationships/hyperlink" Target="https://docs.google.com/forms/d/e/1FAIpQLSeEYwFnViiqk1AbexVe1VDR73UApmeuvfn6Yr2vN8WXjwGu2Q/viewform?edit2=2_ABaOnueXuq7qQ2qm6PUgwnpHGKHgz2Bd9l7NAr71MylHgDRAPBpcPMaPsTJqAZedt-JswKE&amp;source=documentstudio&amp;timestamp=1745542479830" TargetMode="External"/><Relationship Id="rId15" Type="http://schemas.openxmlformats.org/officeDocument/2006/relationships/hyperlink" Target="https://drive.google.com/open?id=19UNxwDSly1DDAqT7pknD-erFyJG2CWpr" TargetMode="External"/><Relationship Id="rId2192" Type="http://schemas.openxmlformats.org/officeDocument/2006/relationships/hyperlink" Target="https://drive.google.com/open?id=1MoQV3iCkroL5kLuMRNcyTnz5wdarGDYj" TargetMode="External"/><Relationship Id="rId164" Type="http://schemas.openxmlformats.org/officeDocument/2006/relationships/hyperlink" Target="https://drive.google.com/open?id=1IFrK_YmL1AyU3biVRRJdvadPDsjfcYvw" TargetMode="External"/><Relationship Id="rId371" Type="http://schemas.openxmlformats.org/officeDocument/2006/relationships/hyperlink" Target="https://drive.google.com/open?id=185PZwo-i0l04XxIfNBtTjyV-cuoQ4MyE" TargetMode="External"/><Relationship Id="rId2052" Type="http://schemas.openxmlformats.org/officeDocument/2006/relationships/hyperlink" Target="https://drive.google.com/open?id=1JsSFr8Dda-1U7Il3JHJ5ddC89exEVgGz" TargetMode="External"/><Relationship Id="rId2497" Type="http://schemas.openxmlformats.org/officeDocument/2006/relationships/hyperlink" Target="https://docs.google.com/forms/d/e/1FAIpQLSeEYwFnViiqk1AbexVe1VDR73UApmeuvfn6Yr2vN8WXjwGu2Q/viewform?edit2=2_ABaOnueIVIf-bpmvPLKkXJtvT8DqJjgFZ7CptjrHIRbRCBNWIYQ4NEwunDsdNn2mDy4VDcg&amp;source=documentstudio&amp;timestamp=1768443286683" TargetMode="External"/><Relationship Id="rId469" Type="http://schemas.openxmlformats.org/officeDocument/2006/relationships/hyperlink" Target="https://drive.google.com/open?id=12mV1gDeo-dIX21BTT7RDJIQLzRQxGJYC" TargetMode="External"/><Relationship Id="rId676" Type="http://schemas.openxmlformats.org/officeDocument/2006/relationships/hyperlink" Target="https://drive.google.com/open?id=1tSpvszSDU91tz_ugUJMEdBLWvzwFLl0N" TargetMode="External"/><Relationship Id="rId883" Type="http://schemas.openxmlformats.org/officeDocument/2006/relationships/hyperlink" Target="https://docs.google.com/forms/d/e/1FAIpQLSeEYwFnViiqk1AbexVe1VDR73UApmeuvfn6Yr2vN8WXjwGu2Q/viewform?edit2=2_ABaOnud36py3T4dDhVrjowG_URnlcHSZg6woumKLL_8FfOHJawVFOGpdV3l9Qa5w6mv1GxI&amp;source=documentstudio&amp;timestamp=1720490538969" TargetMode="External"/><Relationship Id="rId1099" Type="http://schemas.openxmlformats.org/officeDocument/2006/relationships/hyperlink" Target="https://docs.google.com/forms/d/e/1FAIpQLSeEYwFnViiqk1AbexVe1VDR73UApmeuvfn6Yr2vN8WXjwGu2Q/viewform?edit2=2_ABaOnucxj6EpkobGz3PR8YNZo11DlB5Tsn3FXFH4XC9b_plC0H80e8Dv1iL5KkgTONNxnYU&amp;source=documentstudio&amp;timestamp=1726618858568" TargetMode="External"/><Relationship Id="rId2357" Type="http://schemas.openxmlformats.org/officeDocument/2006/relationships/hyperlink" Target="https://docs.google.com/forms/d/e/1FAIpQLSeEYwFnViiqk1AbexVe1VDR73UApmeuvfn6Yr2vN8WXjwGu2Q/viewform?edit2=2_ABaOnuc3Tlpb9HpXyX_fzf0XfCuSoRNysBLTvHp91Yw2LoBsVhU-NAVTHxC2KuK0LvrHgXg&amp;source=documentstudio&amp;timestamp=1768378412129" TargetMode="External"/><Relationship Id="rId2564" Type="http://schemas.openxmlformats.org/officeDocument/2006/relationships/hyperlink" Target="https://drive.google.com/open?id=1ooIYeAatdKIsdl26-OtGPHDqbpur92eO" TargetMode="External"/><Relationship Id="rId231" Type="http://schemas.openxmlformats.org/officeDocument/2006/relationships/hyperlink" Target="https://drive.google.com/open?id=1GdagV-8_2rMEYYPvF9LSdyrhKJvAmZ83" TargetMode="External"/><Relationship Id="rId329" Type="http://schemas.openxmlformats.org/officeDocument/2006/relationships/hyperlink" Target="https://drive.google.com/open?id=1thXO5ekbwUInVCYtlHGLMp4imO2h5sPq" TargetMode="External"/><Relationship Id="rId536" Type="http://schemas.openxmlformats.org/officeDocument/2006/relationships/hyperlink" Target="https://drive.google.com/open?id=1CUdH1CYlzWg-Bycy37M3K9VYuzbokfEs" TargetMode="External"/><Relationship Id="rId1166" Type="http://schemas.openxmlformats.org/officeDocument/2006/relationships/hyperlink" Target="https://drive.google.com/open?id=1C1vcUgcSYlGm1FEhPXd7e_QSClV3gXLr" TargetMode="External"/><Relationship Id="rId1373" Type="http://schemas.openxmlformats.org/officeDocument/2006/relationships/hyperlink" Target="https://docs.google.com/forms/d/e/1FAIpQLSeEYwFnViiqk1AbexVe1VDR73UApmeuvfn6Yr2vN8WXjwGu2Q/viewform?edit2=2_ABaOnucOGGK9_TheXI5XBVECJsK3RKoxBZ_cjvrTDWCeqQ8Gs1J9-WIM76lZKUXTXS7SQU8&amp;source=documentstudio&amp;timestamp=1736389157801" TargetMode="External"/><Relationship Id="rId2217" Type="http://schemas.openxmlformats.org/officeDocument/2006/relationships/hyperlink" Target="https://docs.google.com/forms/d/e/1FAIpQLSeEYwFnViiqk1AbexVe1VDR73UApmeuvfn6Yr2vN8WXjwGu2Q/viewform?edit2=2_ABaOnuchnYhIbS1824Cgm9Sj4o99_PP9goQSypAImDVV-GYZ3sHeW4X_JT6qFCUgld0csTU&amp;source=documentstudio&amp;timestamp=1752193206577" TargetMode="External"/><Relationship Id="rId2771" Type="http://schemas.openxmlformats.org/officeDocument/2006/relationships/hyperlink" Target="https://docs.google.com/forms/d/e/1FAIpQLSeEYwFnViiqk1AbexVe1VDR73UApmeuvfn6Yr2vN8WXjwGu2Q/viewform?edit2=2_ABaOnue1jpaHz70E8KPTwNRl1vDT1GIU_dz7MZMlHQjuc10WZV9ImsWXOkdd5WWkiyQMlgA&amp;source=documentstudio&amp;timestamp=1768888676360" TargetMode="External"/><Relationship Id="rId2869" Type="http://schemas.openxmlformats.org/officeDocument/2006/relationships/hyperlink" Target="https://docs.google.com/forms/d/e/1FAIpQLSeEYwFnViiqk1AbexVe1VDR73UApmeuvfn6Yr2vN8WXjwGu2Q/viewform?edit2=2_ABaOnudnZdtBjTOlh1_SAGoq3hSyH80JvTEcZRpXymhfZw6cxQYjwUiwx6evTVObNUU78Qs&amp;source=documentstudio&amp;timestamp=1769416494815" TargetMode="External"/><Relationship Id="rId743" Type="http://schemas.openxmlformats.org/officeDocument/2006/relationships/hyperlink" Target="https://docs.google.com/forms/d/e/1FAIpQLSeEYwFnViiqk1AbexVe1VDR73UApmeuvfn6Yr2vN8WXjwGu2Q/viewform?edit2=2_ABaOnud1z0x1Ko55KDpMOto53dT7v-lvY9aYfiL7MGxPyyysWNopa36M-xBwgHvRuC84fCE&amp;source=documentstudio&amp;timestamp=1718068922889" TargetMode="External"/><Relationship Id="rId950" Type="http://schemas.openxmlformats.org/officeDocument/2006/relationships/hyperlink" Target="https://drive.google.com/open?id=1A5QKEIZIQyR6yxq9auQ8-iS0TycRL0PV" TargetMode="External"/><Relationship Id="rId1026" Type="http://schemas.openxmlformats.org/officeDocument/2006/relationships/hyperlink" Target="https://drive.google.com/open?id=1itAZriIoCgWhXUqCXIEnwh_04BsNE6nr" TargetMode="External"/><Relationship Id="rId1580" Type="http://schemas.openxmlformats.org/officeDocument/2006/relationships/hyperlink" Target="https://drive.google.com/open?id=1fI3_Qul2pMxjU1tDdUNeFmv-Twi_Sx8d" TargetMode="External"/><Relationship Id="rId1678" Type="http://schemas.openxmlformats.org/officeDocument/2006/relationships/hyperlink" Target="https://drive.google.com/open?id=110MbxkLKzGJ7ypTHJuufIMlQ5hbcm5fb" TargetMode="External"/><Relationship Id="rId1885" Type="http://schemas.openxmlformats.org/officeDocument/2006/relationships/hyperlink" Target="https://drive.google.com/open?id=1gvel94sjELQPrw4GwTcK1oBcPlSteuYh" TargetMode="External"/><Relationship Id="rId2424" Type="http://schemas.openxmlformats.org/officeDocument/2006/relationships/hyperlink" Target="https://drive.google.com/open?id=1vSBJMB1pgQdwQ_P3EkkmfCTdfL_eOCH1" TargetMode="External"/><Relationship Id="rId2631" Type="http://schemas.openxmlformats.org/officeDocument/2006/relationships/hyperlink" Target="https://docs.google.com/forms/d/e/1FAIpQLSeEYwFnViiqk1AbexVe1VDR73UApmeuvfn6Yr2vN8WXjwGu2Q/viewform?edit2=2_ABaOnudVFBOanmjk9aAsJFGdirSSE5rmd5JGByj1d2xoyZNvmlmJ3DYCojJtKvMGRXk1QOs&amp;source=documentstudio&amp;timestamp=1768467931354" TargetMode="External"/><Relationship Id="rId2729" Type="http://schemas.openxmlformats.org/officeDocument/2006/relationships/hyperlink" Target="https://docs.google.com/forms/d/e/1FAIpQLSeEYwFnViiqk1AbexVe1VDR73UApmeuvfn6Yr2vN8WXjwGu2Q/viewform?edit2=2_ABaOnueuEnoUoSyFf33hDJD61TeCISTvVXTxgwIdJJKux-X7AJEolFjOagksIvl94CaHjVI&amp;source=documentstudio&amp;timestamp=1768797742652" TargetMode="External"/><Relationship Id="rId2936" Type="http://schemas.openxmlformats.org/officeDocument/2006/relationships/hyperlink" Target="https://docs.google.com/forms/d/e/1FAIpQLSeEYwFnViiqk1AbexVe1VDR73UApmeuvfn6Yr2vN8WXjwGu2Q/viewform?edit2=2_ABaOnudy1wwovMiZFs9HCsMTHG5-GSCZTBbyXL5n5KXLIb_qRfzhIADxMgf2nTYSBs5Yb8I&amp;source=documentstudio&amp;timestamp=1769589462929" TargetMode="External"/><Relationship Id="rId603" Type="http://schemas.openxmlformats.org/officeDocument/2006/relationships/hyperlink" Target="https://drive.google.com/open?id=1pKHguqDoyMZ1hAW0fb3JxOABwHBjcBpB" TargetMode="External"/><Relationship Id="rId810" Type="http://schemas.openxmlformats.org/officeDocument/2006/relationships/hyperlink" Target="https://drive.google.com/open?id=1QqBvh646y5X9Tricjh1w3FmlN45-OFnT" TargetMode="External"/><Relationship Id="rId908" Type="http://schemas.openxmlformats.org/officeDocument/2006/relationships/hyperlink" Target="https://drive.google.com/open?id=1hNe1SPDTJrWGKVIGveLMwPHa_C_uuKT8" TargetMode="External"/><Relationship Id="rId1233" Type="http://schemas.openxmlformats.org/officeDocument/2006/relationships/hyperlink" Target="https://docs.google.com/forms/d/e/1FAIpQLSeEYwFnViiqk1AbexVe1VDR73UApmeuvfn6Yr2vN8WXjwGu2Q/viewform?edit2=2_ABaOnufjZijhcrGyl4lknsFQZ0LIOPF_LP5NZEntx1mHPZclBEDxWgfIrvtvmWDuUtUN_-M&amp;source=documentstudio&amp;timestamp=1731637610508" TargetMode="External"/><Relationship Id="rId1440" Type="http://schemas.openxmlformats.org/officeDocument/2006/relationships/hyperlink" Target="https://drive.google.com/open?id=1eJaEEoQwlJSoDxps_5qEKdKU-ljAWCyA" TargetMode="External"/><Relationship Id="rId1538" Type="http://schemas.openxmlformats.org/officeDocument/2006/relationships/hyperlink" Target="https://drive.google.com/open?id=1hDMHtKNFRIfvZHY8sRF5rnLiHksdNwJO" TargetMode="External"/><Relationship Id="rId1300" Type="http://schemas.openxmlformats.org/officeDocument/2006/relationships/hyperlink" Target="https://drive.google.com/open?id=1kkInGecXV-FeSVFCmwmHa0Z31TT4jLtd" TargetMode="External"/><Relationship Id="rId1745" Type="http://schemas.openxmlformats.org/officeDocument/2006/relationships/hyperlink" Target="https://drive.google.com/open?id=1umSX_9YlfcmGyHYmH8UxCOWu8jxfPWmN" TargetMode="External"/><Relationship Id="rId1952" Type="http://schemas.openxmlformats.org/officeDocument/2006/relationships/hyperlink" Target="https://docs.google.com/forms/d/e/1FAIpQLSeEYwFnViiqk1AbexVe1VDR73UApmeuvfn6Yr2vN8WXjwGu2Q/viewform?edit2=2_ABaOnucvKK33YQIiqiHGCMnDGxHjhiDP6OzRBlmdAgEl18CKwPvjBxqAsZ6-7SeyUgiFwiU&amp;source=documentstudio&amp;timestamp=1746592896131" TargetMode="External"/><Relationship Id="rId37" Type="http://schemas.openxmlformats.org/officeDocument/2006/relationships/hyperlink" Target="https://drive.google.com/open?id=1otwdF0aVjsZs0L2BJlkUTWn0JRkZJq6C" TargetMode="External"/><Relationship Id="rId1605" Type="http://schemas.openxmlformats.org/officeDocument/2006/relationships/hyperlink" Target="https://docs.google.com/forms/d/e/1FAIpQLSeEYwFnViiqk1AbexVe1VDR73UApmeuvfn6Yr2vN8WXjwGu2Q/viewform?edit2=2_ABaOnufleGE2hyg8jHHTyztj6YvnRhBHU9vxjnwHvmpQNzpiPqfc0sfMy32TaW2WbKDCj98&amp;source=documentstudio&amp;timestamp=1739329583688" TargetMode="External"/><Relationship Id="rId1812" Type="http://schemas.openxmlformats.org/officeDocument/2006/relationships/hyperlink" Target="https://docs.google.com/forms/d/e/1FAIpQLSeEYwFnViiqk1AbexVe1VDR73UApmeuvfn6Yr2vN8WXjwGu2Q/viewform?edit2=2_ABaOnuc_oszw8QHu9hxrO_PTOdEr1BDy4bM-UINCezVi2-Q_O0k1tBQSvRhaCcGpgWNvW6w&amp;source=documentstudio&amp;timestamp=1741748169284" TargetMode="External"/><Relationship Id="rId186" Type="http://schemas.openxmlformats.org/officeDocument/2006/relationships/hyperlink" Target="https://drive.google.com/open?id=16zhj2sRo-C6K6fStkOb6Qerrxk7tIJb4" TargetMode="External"/><Relationship Id="rId393" Type="http://schemas.openxmlformats.org/officeDocument/2006/relationships/hyperlink" Target="https://drive.google.com/open?id=1a5CBGqzHcAMGj1G9amMLFu8HZ8PGTzX0" TargetMode="External"/><Relationship Id="rId2074" Type="http://schemas.openxmlformats.org/officeDocument/2006/relationships/hyperlink" Target="https://drive.google.com/open?id=10NPUgn0WGjvlSYx0G9q2WTp2WrAEVHJM" TargetMode="External"/><Relationship Id="rId2281" Type="http://schemas.openxmlformats.org/officeDocument/2006/relationships/hyperlink" Target="https://docs.google.com/forms/d/e/1FAIpQLSeEYwFnViiqk1AbexVe1VDR73UApmeuvfn6Yr2vN8WXjwGu2Q/viewform?edit2=2_ABaOnucaMNk-QXvu7T3wR1_F84ulg-lAMsNLYQPEajV5PSHGeZfae69UFqaKYmwXIjIi8v8&amp;source=documentstudio&amp;timestamp=1757404716794" TargetMode="External"/><Relationship Id="rId253" Type="http://schemas.openxmlformats.org/officeDocument/2006/relationships/hyperlink" Target="https://drive.google.com/open?id=1z0cYSLS3bZxAOkzgz1TVkMp1eMz1tf2A" TargetMode="External"/><Relationship Id="rId460" Type="http://schemas.openxmlformats.org/officeDocument/2006/relationships/hyperlink" Target="https://drive.google.com/open?id=1reTZepS6q0a5E-oQASG1pHOGJVP_fbu8" TargetMode="External"/><Relationship Id="rId698" Type="http://schemas.openxmlformats.org/officeDocument/2006/relationships/hyperlink" Target="https://drive.google.com/open?id=1kc5hina9c1sPvtBV0jyaxkbrU6jqpBa0" TargetMode="External"/><Relationship Id="rId1090" Type="http://schemas.openxmlformats.org/officeDocument/2006/relationships/hyperlink" Target="https://drive.google.com/open?id=1KjLRcnoAJCh43VZq7JRYePWfcSiTU5Q6" TargetMode="External"/><Relationship Id="rId2141" Type="http://schemas.openxmlformats.org/officeDocument/2006/relationships/hyperlink" Target="https://docs.google.com/forms/d/e/1FAIpQLSeEYwFnViiqk1AbexVe1VDR73UApmeuvfn6Yr2vN8WXjwGu2Q/viewform?edit2=2_ABaOnuctvqlmQLJA04yPJOerv2ojSLDMT6l6DC3L7nZnmPU5GnULgwMJ9mGiOi4w4zVpClY&amp;source=documentstudio&amp;timestamp=1749024103989" TargetMode="External"/><Relationship Id="rId2379" Type="http://schemas.openxmlformats.org/officeDocument/2006/relationships/hyperlink" Target="https://docs.google.com/forms/d/e/1FAIpQLSeEYwFnViiqk1AbexVe1VDR73UApmeuvfn6Yr2vN8WXjwGu2Q/viewform?edit2=2_ABaOnufK03iaaNnGq_-Tq515ExAiqWnT_QdwG5e-dtuGA1Jwq9LBjbmLFiqmTFkE5aTjOPo&amp;source=documentstudio&amp;timestamp=1768437357485" TargetMode="External"/><Relationship Id="rId2586" Type="http://schemas.openxmlformats.org/officeDocument/2006/relationships/hyperlink" Target="https://drive.google.com/open?id=1MwjBhi-JwPBJuMmniHU97aq5BB9ggy3N" TargetMode="External"/><Relationship Id="rId2793" Type="http://schemas.openxmlformats.org/officeDocument/2006/relationships/hyperlink" Target="https://docs.google.com/forms/d/e/1FAIpQLSeEYwFnViiqk1AbexVe1VDR73UApmeuvfn6Yr2vN8WXjwGu2Q/viewform?edit2=2_ABaOnudfZ_JIoMJhJuqVwprUtTRkX6B-iVk8-GS4QWDMMVNTkgKUWCOCR-wTIhDh-i4bzfY&amp;source=documentstudio&amp;timestamp=1768960767188" TargetMode="External"/><Relationship Id="rId113" Type="http://schemas.openxmlformats.org/officeDocument/2006/relationships/hyperlink" Target="https://drive.google.com/open?id=1SAPhU51P8JhhTJhlRgDQP9sDZSFWu8sW" TargetMode="External"/><Relationship Id="rId320" Type="http://schemas.openxmlformats.org/officeDocument/2006/relationships/hyperlink" Target="https://drive.google.com/open?id=1sKwwZpDvMu8_OH9BIrMkGRZXDxFptnpa" TargetMode="External"/><Relationship Id="rId558" Type="http://schemas.openxmlformats.org/officeDocument/2006/relationships/hyperlink" Target="https://drive.google.com/open?id=1atXYksQIgZl9J1wW5QAGnDUJfVticiqy" TargetMode="External"/><Relationship Id="rId765" Type="http://schemas.openxmlformats.org/officeDocument/2006/relationships/hyperlink" Target="https://docs.google.com/forms/d/e/1FAIpQLSeEYwFnViiqk1AbexVe1VDR73UApmeuvfn6Yr2vN8WXjwGu2Q/viewform?edit2=2_ABaOnudV8wnCLKDi4i8v6dRpIHGMBBbrXF7mbdlMSts0bFxCWYqq_9TDMQFh26cdINQSr7U&amp;source=documentstudio&amp;timestamp=1718176479756" TargetMode="External"/><Relationship Id="rId972" Type="http://schemas.openxmlformats.org/officeDocument/2006/relationships/hyperlink" Target="https://drive.google.com/open?id=1cxNDDUSFWDePRXBBL4vTcjXR8UcgFnRU" TargetMode="External"/><Relationship Id="rId1188" Type="http://schemas.openxmlformats.org/officeDocument/2006/relationships/hyperlink" Target="https://drive.google.com/open?id=1G8Uo3M-k_KZNAAoZ9rmPBkW1l4mbZnCN" TargetMode="External"/><Relationship Id="rId1395" Type="http://schemas.openxmlformats.org/officeDocument/2006/relationships/hyperlink" Target="https://docs.google.com/forms/d/e/1FAIpQLSeEYwFnViiqk1AbexVe1VDR73UApmeuvfn6Yr2vN8WXjwGu2Q/viewform?edit2=2_ABaOnucjbAbgotKBDednPgizCVbyyCgeggKwfdyEYGgw1qbMtiOAnjsi0WPAbzqANpeqQmY&amp;source=documentstudio&amp;timestamp=1736910429324" TargetMode="External"/><Relationship Id="rId2001" Type="http://schemas.openxmlformats.org/officeDocument/2006/relationships/hyperlink" Target="https://docs.google.com/forms/d/e/1FAIpQLSeEYwFnViiqk1AbexVe1VDR73UApmeuvfn6Yr2vN8WXjwGu2Q/viewform?edit2=2_ABaOnuffHBuWVIzgJ27EsC2c1OGNaUBDFFVerW52RYvI_7yOWn2zjw8xYCDaE9eO759DvNA&amp;source=documentstudio&amp;timestamp=1748831221626" TargetMode="External"/><Relationship Id="rId2239" Type="http://schemas.openxmlformats.org/officeDocument/2006/relationships/hyperlink" Target="https://docs.google.com/forms/d/e/1FAIpQLSeEYwFnViiqk1AbexVe1VDR73UApmeuvfn6Yr2vN8WXjwGu2Q/viewform?edit2=2_ABaOnudrT3GWCJgiUX3KcWMNy5OXFjsmzPTk7bAJQVCEH1thDHuMnyII9CYzKBivf6FOB-A&amp;source=documentstudio&amp;timestamp=1755676787561" TargetMode="External"/><Relationship Id="rId2446" Type="http://schemas.openxmlformats.org/officeDocument/2006/relationships/hyperlink" Target="https://drive.google.com/open?id=1FPar-0ff-mYeWjP793lUDKJcXZ07dhQK" TargetMode="External"/><Relationship Id="rId2653" Type="http://schemas.openxmlformats.org/officeDocument/2006/relationships/hyperlink" Target="https://docs.google.com/forms/d/e/1FAIpQLSeEYwFnViiqk1AbexVe1VDR73UApmeuvfn6Yr2vN8WXjwGu2Q/viewform?edit2=2_ABaOnufOKcitzkuPznbUyzcgI80-7Om956rTgVrrgAv1R0dpBK9dSJDZA0YwscLL53kalGw&amp;source=documentstudio&amp;timestamp=1768788039993" TargetMode="External"/><Relationship Id="rId2860" Type="http://schemas.openxmlformats.org/officeDocument/2006/relationships/hyperlink" Target="https://drive.google.com/open?id=1vTzrinXJQKGDna6YohNgR-Bz8JLPsMWS" TargetMode="External"/><Relationship Id="rId418" Type="http://schemas.openxmlformats.org/officeDocument/2006/relationships/hyperlink" Target="https://drive.google.com/open?id=1vrOFRfiDLZcppuipoLKRVwV8GpOCWfih" TargetMode="External"/><Relationship Id="rId625" Type="http://schemas.openxmlformats.org/officeDocument/2006/relationships/hyperlink" Target="https://docs.google.com/forms/d/e/1FAIpQLSeEYwFnViiqk1AbexVe1VDR73UApmeuvfn6Yr2vN8WXjwGu2Q/viewform?edit2=2_ABaOnudOsCpur2_UHH1bhflK-CH8C4irFSat0rG-TpK2y-ERCAj_0ot2hLLhWPGlnqdmvE8&amp;source=documentstudio&amp;timestamp=1715759946673" TargetMode="External"/><Relationship Id="rId832" Type="http://schemas.openxmlformats.org/officeDocument/2006/relationships/hyperlink" Target="https://drive.google.com/open?id=19pozJary6PgiXR48g74os9Cqm4WwQvER" TargetMode="External"/><Relationship Id="rId1048" Type="http://schemas.openxmlformats.org/officeDocument/2006/relationships/hyperlink" Target="https://drive.google.com/open?id=1XxdCGFAPcv7TCsXLX8GW4Qn9FIXqyhCg" TargetMode="External"/><Relationship Id="rId1255" Type="http://schemas.openxmlformats.org/officeDocument/2006/relationships/hyperlink" Target="https://docs.google.com/forms/d/e/1FAIpQLSeEYwFnViiqk1AbexVe1VDR73UApmeuvfn6Yr2vN8WXjwGu2Q/viewform?edit2=2_ABaOnueF49cJ9gq4kAwO3ai748mwmsnCD8hxdZxtvDjRcKbLMVOjN59ERExBsR8e_Y4Z8Zc&amp;source=documentstudio&amp;timestamp=1733371992033" TargetMode="External"/><Relationship Id="rId1462" Type="http://schemas.openxmlformats.org/officeDocument/2006/relationships/hyperlink" Target="https://drive.google.com/open?id=1pU7BZSSz3-IFz5uX7SBPkJl6qEryL2LR" TargetMode="External"/><Relationship Id="rId2306" Type="http://schemas.openxmlformats.org/officeDocument/2006/relationships/hyperlink" Target="https://drive.google.com/open?id=1tIrp0MNzO7mLN6Hrfi312qfeooj7BBYd" TargetMode="External"/><Relationship Id="rId2513" Type="http://schemas.openxmlformats.org/officeDocument/2006/relationships/hyperlink" Target="https://docs.google.com/forms/d/e/1FAIpQLSeEYwFnViiqk1AbexVe1VDR73UApmeuvfn6Yr2vN8WXjwGu2Q/viewform?edit2=2_ABaOnuckKRXnTMN123hZFhsZeGxRYmMYqCDPr45xmHZHmNewXWRTsx6kqjf13PgErZCFqKE&amp;source=documentstudio&amp;timestamp=1768443986306" TargetMode="External"/><Relationship Id="rId2958" Type="http://schemas.openxmlformats.org/officeDocument/2006/relationships/hyperlink" Target="https://docs.google.com/forms/d/e/1FAIpQLSeEYwFnViiqk1AbexVe1VDR73UApmeuvfn6Yr2vN8WXjwGu2Q/viewform?edit2=2_ABaOnucVL9a8fWzTWcXkP9fWFKwAjPN2dVV8WDHhymGwbYn6iCJIToiswDRyQlBnv7f21p8&amp;source=documentstudio&amp;timestamp=1769614093351" TargetMode="External"/><Relationship Id="rId1115" Type="http://schemas.openxmlformats.org/officeDocument/2006/relationships/hyperlink" Target="https://docs.google.com/forms/d/e/1FAIpQLSeEYwFnViiqk1AbexVe1VDR73UApmeuvfn6Yr2vN8WXjwGu2Q/viewform?edit2=2_ABaOnucunS0XjjVnqBSykL7hbbAlVSl6_ARGvyrSOTO94r2Rcv8a3xfwH8-I3Oh3kVciGDc&amp;source=documentstudio&amp;timestamp=1727832432314" TargetMode="External"/><Relationship Id="rId1322" Type="http://schemas.openxmlformats.org/officeDocument/2006/relationships/hyperlink" Target="https://drive.google.com/open?id=1F_7IuW_qjRZ-T1ZsuH8tt68-Yy9xhYwe" TargetMode="External"/><Relationship Id="rId1767" Type="http://schemas.openxmlformats.org/officeDocument/2006/relationships/hyperlink" Target="https://drive.google.com/open?id=1OGHM_Z5IVwspdAY0akqUDCFwFuowVzpm" TargetMode="External"/><Relationship Id="rId1974" Type="http://schemas.openxmlformats.org/officeDocument/2006/relationships/hyperlink" Target="https://drive.google.com/open?id=15yM_8iKB1W2izfKcws8bBernPgcPm-fa" TargetMode="External"/><Relationship Id="rId2720" Type="http://schemas.openxmlformats.org/officeDocument/2006/relationships/hyperlink" Target="https://drive.google.com/open?id=1i0VUuzNrG62bYlYNz3fBY-_J2otDAiXx" TargetMode="External"/><Relationship Id="rId2818" Type="http://schemas.openxmlformats.org/officeDocument/2006/relationships/hyperlink" Target="https://drive.google.com/open?id=1l5Zy8JnGR3_ZF9AMfqtdHKCLRPoWj3Dv" TargetMode="External"/><Relationship Id="rId59" Type="http://schemas.openxmlformats.org/officeDocument/2006/relationships/hyperlink" Target="https://drive.google.com/open?id=15mABNC98CNX7618ey6N4leZecMz-0Mrs" TargetMode="External"/><Relationship Id="rId1627" Type="http://schemas.openxmlformats.org/officeDocument/2006/relationships/hyperlink" Target="https://docs.google.com/forms/d/e/1FAIpQLSeEYwFnViiqk1AbexVe1VDR73UApmeuvfn6Yr2vN8WXjwGu2Q/viewform?edit2=2_ABaOnueSc2v-xeYykY2nRd1cIavF5iP2qYf7h6NbsoZ6D7bYC6k8aDOSxcA3VOFKmOONrUs&amp;source=documentstudio&amp;timestamp=1741332041861" TargetMode="External"/><Relationship Id="rId1834" Type="http://schemas.openxmlformats.org/officeDocument/2006/relationships/hyperlink" Target="https://docs.google.com/forms/d/e/1FAIpQLSeEYwFnViiqk1AbexVe1VDR73UApmeuvfn6Yr2vN8WXjwGu2Q/viewform?edit2=2_ABaOnue5OfP5oftrJt87q5bOWpMcyNWAN7Ppl80JpGKUCj_023GhKARjCQdxcf10aPiCVmU&amp;source=documentstudio&amp;timestamp=1741922207269" TargetMode="External"/><Relationship Id="rId2096" Type="http://schemas.openxmlformats.org/officeDocument/2006/relationships/hyperlink" Target="https://drive.google.com/open?id=16yZ3TPcULxORapAFHKItCuSyQyjgCa_r" TargetMode="External"/><Relationship Id="rId1901" Type="http://schemas.openxmlformats.org/officeDocument/2006/relationships/hyperlink" Target="https://drive.google.com/open?id=1YRn66f5GUIeFCwYywfr0W6xnTr0mAqoS" TargetMode="External"/><Relationship Id="rId275" Type="http://schemas.openxmlformats.org/officeDocument/2006/relationships/hyperlink" Target="https://drive.google.com/open?id=1kvYargQexO9sJqz57NmriZmdPAP9Chxa" TargetMode="External"/><Relationship Id="rId482" Type="http://schemas.openxmlformats.org/officeDocument/2006/relationships/hyperlink" Target="https://drive.google.com/open?id=1ILEsZ9CBSCwCP8WnXTGbU6ojrEgwdSLY" TargetMode="External"/><Relationship Id="rId2163" Type="http://schemas.openxmlformats.org/officeDocument/2006/relationships/hyperlink" Target="https://docs.google.com/forms/d/e/1FAIpQLSeEYwFnViiqk1AbexVe1VDR73UApmeuvfn6Yr2vN8WXjwGu2Q/viewform?edit2=2_ABaOnuenRJuhJWBs_Cq_rSB3nnk7flnxIq2YsxNgNqYRgxfhWjslnwvhzFK45tmpZaRbD14&amp;source=documentstudio&amp;timestamp=1750020370672" TargetMode="External"/><Relationship Id="rId2370" Type="http://schemas.openxmlformats.org/officeDocument/2006/relationships/hyperlink" Target="https://drive.google.com/open?id=16YYNnVTGRzTsmOqVITX8meGMiSsBdNiZ" TargetMode="External"/><Relationship Id="rId135" Type="http://schemas.openxmlformats.org/officeDocument/2006/relationships/hyperlink" Target="https://drive.google.com/open?id=1ITui2i5t6ke2pLw2bs2KU9WrVerbSw5E" TargetMode="External"/><Relationship Id="rId342" Type="http://schemas.openxmlformats.org/officeDocument/2006/relationships/hyperlink" Target="https://drive.google.com/open?id=10JbPe6up0ubqtST7r_QlVgWKxti-4NLq" TargetMode="External"/><Relationship Id="rId787" Type="http://schemas.openxmlformats.org/officeDocument/2006/relationships/hyperlink" Target="https://docs.google.com/forms/d/e/1FAIpQLSeEYwFnViiqk1AbexVe1VDR73UApmeuvfn6Yr2vN8WXjwGu2Q/viewform?edit2=2_ABaOnucIHVN9wlxPir8nYZ_A979u3hNB8POUn7g1Qy30GySdzT6J6wwvt5zV71_GgOFdDks&amp;source=documentstudio&amp;timestamp=1718180332055" TargetMode="External"/><Relationship Id="rId994" Type="http://schemas.openxmlformats.org/officeDocument/2006/relationships/hyperlink" Target="https://drive.google.com/open?id=1HtsfId7fY4WJzMy174xzmN87IOsSuThY" TargetMode="External"/><Relationship Id="rId2023" Type="http://schemas.openxmlformats.org/officeDocument/2006/relationships/hyperlink" Target="https://docs.google.com/forms/d/e/1FAIpQLSeEYwFnViiqk1AbexVe1VDR73UApmeuvfn6Yr2vN8WXjwGu2Q/viewform?edit2=2_ABaOnuen6U3xJX2iSjUPmYCkjRGSRvBkpFRg7UFJI0jREeEL6RQNnXTc5KaMOBpardD9c9o&amp;source=documentstudio&amp;timestamp=1748831724516" TargetMode="External"/><Relationship Id="rId2230" Type="http://schemas.openxmlformats.org/officeDocument/2006/relationships/hyperlink" Target="https://drive.google.com/open?id=1fj5_xBqCbg0liJR6lvonXP9jb_Ms67kx" TargetMode="External"/><Relationship Id="rId2468" Type="http://schemas.openxmlformats.org/officeDocument/2006/relationships/hyperlink" Target="https://drive.google.com/open?id=15xK7Ony3sqiQ4jflehhiM2OtFeZRlaD8" TargetMode="External"/><Relationship Id="rId2675" Type="http://schemas.openxmlformats.org/officeDocument/2006/relationships/hyperlink" Target="https://docs.google.com/forms/d/e/1FAIpQLSeEYwFnViiqk1AbexVe1VDR73UApmeuvfn6Yr2vN8WXjwGu2Q/viewform?edit2=2_ABaOnufS-efC64Jiqg7yyIAi7doVOeLLXd44IzwBR_LLAk5iIlerfxzuVD-vpkKRzNtHt9s&amp;source=documentstudio&amp;timestamp=1768791509160" TargetMode="External"/><Relationship Id="rId2882" Type="http://schemas.openxmlformats.org/officeDocument/2006/relationships/hyperlink" Target="https://docs.google.com/forms/d/e/1FAIpQLSeEYwFnViiqk1AbexVe1VDR73UApmeuvfn6Yr2vN8WXjwGu2Q/viewform?edit2=2_ABaOnudbp4h4nzzPJpJeiz62p4iHxbDs99-HMsmmZLOxjs5OMRMzRAwTd_K4DbfEQXmXhs4&amp;source=documentstudio&amp;timestamp=1769418599590" TargetMode="External"/><Relationship Id="rId202" Type="http://schemas.openxmlformats.org/officeDocument/2006/relationships/hyperlink" Target="https://drive.google.com/open?id=1W8vPLfi1xmg-EyO4B93rtBjGPUy86wb9" TargetMode="External"/><Relationship Id="rId647" Type="http://schemas.openxmlformats.org/officeDocument/2006/relationships/hyperlink" Target="https://docs.google.com/forms/d/e/1FAIpQLSeEYwFnViiqk1AbexVe1VDR73UApmeuvfn6Yr2vN8WXjwGu2Q/viewform?edit2=2_ABaOnufKJWnz_7UywoPX7CUqiWxoJcrqrcUgFZVdghFt_spAPl1CbHIPmTy3xsFAWalICzg&amp;source=documentstudio&amp;timestamp=1717384887480" TargetMode="External"/><Relationship Id="rId854" Type="http://schemas.openxmlformats.org/officeDocument/2006/relationships/hyperlink" Target="https://drive.google.com/open?id=18-qMUXIH-GiMhrW3Eb4ZzN48IwbkxQk-" TargetMode="External"/><Relationship Id="rId1277" Type="http://schemas.openxmlformats.org/officeDocument/2006/relationships/hyperlink" Target="https://docs.google.com/forms/d/e/1FAIpQLSeEYwFnViiqk1AbexVe1VDR73UApmeuvfn6Yr2vN8WXjwGu2Q/viewform?edit2=2_ABaOnuehliY-vA7IBWidfwtTNPhJ8HsZrFSLZbDtO-oLt9n4xoYAFcsf16qw4ZpVM1687cs&amp;source=documentstudio&amp;timestamp=1733469598054" TargetMode="External"/><Relationship Id="rId1484" Type="http://schemas.openxmlformats.org/officeDocument/2006/relationships/hyperlink" Target="https://drive.google.com/open?id=1l8vJwet6V0z3H6fi-I5lBxDkNSUOPVRU" TargetMode="External"/><Relationship Id="rId1691" Type="http://schemas.openxmlformats.org/officeDocument/2006/relationships/hyperlink" Target="https://drive.google.com/open?id=1r0EZe4SqbdPZ67iyrlwPpgmtQTRpL0J6" TargetMode="External"/><Relationship Id="rId2328" Type="http://schemas.openxmlformats.org/officeDocument/2006/relationships/hyperlink" Target="https://drive.google.com/open?id=1Tig6yWg_T5nbGjzyHpGjV5KWw-QcJZVR" TargetMode="External"/><Relationship Id="rId2535" Type="http://schemas.openxmlformats.org/officeDocument/2006/relationships/hyperlink" Target="https://docs.google.com/forms/d/e/1FAIpQLSeEYwFnViiqk1AbexVe1VDR73UApmeuvfn6Yr2vN8WXjwGu2Q/viewform?edit2=2_ABaOnueDIuFQybBvSt_etOhGxCcx5GbmwWIFdHHwXZ4_y7SpfhHx21bkLakbgJJ6p1ezqGA&amp;source=documentstudio&amp;timestamp=1768449536226" TargetMode="External"/><Relationship Id="rId2742" Type="http://schemas.openxmlformats.org/officeDocument/2006/relationships/hyperlink" Target="https://drive.google.com/open?id=1EF6PaTF1nK07rMD74LhAUzhGRKB-e--b" TargetMode="External"/><Relationship Id="rId507" Type="http://schemas.openxmlformats.org/officeDocument/2006/relationships/hyperlink" Target="https://drive.google.com/open?id=1heDc29AhRbX1FYlNoXi9cmqIN63HTPrr" TargetMode="External"/><Relationship Id="rId714" Type="http://schemas.openxmlformats.org/officeDocument/2006/relationships/hyperlink" Target="https://drive.google.com/open?id=1_LBq-QIBU-Ao6UTpKRb85Sn9fPtyFjSU" TargetMode="External"/><Relationship Id="rId921" Type="http://schemas.openxmlformats.org/officeDocument/2006/relationships/hyperlink" Target="https://docs.google.com/forms/d/e/1FAIpQLSeEYwFnViiqk1AbexVe1VDR73UApmeuvfn6Yr2vN8WXjwGu2Q/viewform?edit2=2_ABaOnucdF4rjjjGm3CSUuie-mecxJD8GYtbEqUdSQ6rb4a1LTrq6VZq09LX_3w5Cov5JB58&amp;source=documentstudio&amp;timestamp=1721620076973" TargetMode="External"/><Relationship Id="rId1137" Type="http://schemas.openxmlformats.org/officeDocument/2006/relationships/hyperlink" Target="https://docs.google.com/forms/d/e/1FAIpQLSeEYwFnViiqk1AbexVe1VDR73UApmeuvfn6Yr2vN8WXjwGu2Q/viewform?edit2=2_ABaOnud_SJM2QFVr-3Z3ZuSt0c-yhly5CLlHlhFPHSr-w98VDmxFU1bYgscW_MLq0TxZ9Hc&amp;source=documentstudio&amp;timestamp=1727919750814" TargetMode="External"/><Relationship Id="rId1344" Type="http://schemas.openxmlformats.org/officeDocument/2006/relationships/hyperlink" Target="https://drive.google.com/open?id=1YDzOH8jbVXvzrWGd3KZRdIvAsyUlq7Gq" TargetMode="External"/><Relationship Id="rId1551" Type="http://schemas.openxmlformats.org/officeDocument/2006/relationships/hyperlink" Target="https://docs.google.com/forms/d/e/1FAIpQLSeEYwFnViiqk1AbexVe1VDR73UApmeuvfn6Yr2vN8WXjwGu2Q/viewform?edit2=2_ABaOnucf6b2hvtlUAdgcs5Zdsofy-DunZTxRRjHn7eXFB8YgLxGC9ckX66y3jLhTVuR__98&amp;source=documentstudio&amp;timestamp=1739328851681" TargetMode="External"/><Relationship Id="rId1789" Type="http://schemas.openxmlformats.org/officeDocument/2006/relationships/hyperlink" Target="https://drive.google.com/open?id=1WDmrMDn3nMRfQAx59ZqGSeDACsW3REvh" TargetMode="External"/><Relationship Id="rId1996" Type="http://schemas.openxmlformats.org/officeDocument/2006/relationships/hyperlink" Target="https://drive.google.com/open?id=1a2wAz3mGkA5Z0kQptFGZgVIDIKSVBvMg" TargetMode="External"/><Relationship Id="rId2602" Type="http://schemas.openxmlformats.org/officeDocument/2006/relationships/hyperlink" Target="https://drive.google.com/open?id=1gu6SV0HD730qft4LVtNnK6V044WU1Dxi" TargetMode="External"/><Relationship Id="rId50" Type="http://schemas.openxmlformats.org/officeDocument/2006/relationships/hyperlink" Target="https://drive.google.com/open?id=1Vy2QeBqyBU-_F3xnM_pw2kivc7oCLyZO" TargetMode="External"/><Relationship Id="rId1204" Type="http://schemas.openxmlformats.org/officeDocument/2006/relationships/hyperlink" Target="https://drive.google.com/open?id=1429RBd0gwtG_RtJDmPSI50TFLBnLqOhP" TargetMode="External"/><Relationship Id="rId1411" Type="http://schemas.openxmlformats.org/officeDocument/2006/relationships/hyperlink" Target="https://docs.google.com/forms/d/e/1FAIpQLSeEYwFnViiqk1AbexVe1VDR73UApmeuvfn6Yr2vN8WXjwGu2Q/viewform?edit2=2_ABaOnucwHcMAoqEfcMW3TvwAkB-yUXjmXtHuukUdZpB1xc1WGdpTFWsqLU3mkDtK6siHgKU&amp;source=documentstudio&amp;timestamp=1737446173903" TargetMode="External"/><Relationship Id="rId1649" Type="http://schemas.openxmlformats.org/officeDocument/2006/relationships/hyperlink" Target="https://docs.google.com/forms/d/e/1FAIpQLSeEYwFnViiqk1AbexVe1VDR73UApmeuvfn6Yr2vN8WXjwGu2Q/viewform?edit2=2_ABaOnudgpGpHYrr2AUxd2oBTbtfuTr8l28kltfjtJPltKDbi0zoyTH2GllBbuyX5ou2K-js&amp;source=documentstudio&amp;timestamp=1741333611820" TargetMode="External"/><Relationship Id="rId1856" Type="http://schemas.openxmlformats.org/officeDocument/2006/relationships/hyperlink" Target="https://docs.google.com/forms/d/e/1FAIpQLSeEYwFnViiqk1AbexVe1VDR73UApmeuvfn6Yr2vN8WXjwGu2Q/viewform?edit2=2_ABaOnudoEs-BK5q_5PZkCAzMUBRWYgPC9TUsODbA2U51m2qqQ21KE7Jis0PLf0BrbnTV33c&amp;source=documentstudio&amp;timestamp=1742179905309" TargetMode="External"/><Relationship Id="rId2907" Type="http://schemas.openxmlformats.org/officeDocument/2006/relationships/hyperlink" Target="https://drive.google.com/open?id=1_6yNJTCXKIFHscvJk_BzVWuxlndhAsZH" TargetMode="External"/><Relationship Id="rId1509" Type="http://schemas.openxmlformats.org/officeDocument/2006/relationships/hyperlink" Target="https://docs.google.com/forms/d/e/1FAIpQLSeEYwFnViiqk1AbexVe1VDR73UApmeuvfn6Yr2vN8WXjwGu2Q/viewform?edit2=2_ABaOnucgST09PUGE07C0-sYMbDXZYEmquuMPHGKqWffXdaeQ8nUgyk4FuuSMI6O5Rf_IuVU&amp;source=documentstudio&amp;timestamp=1739327698989" TargetMode="External"/><Relationship Id="rId1716" Type="http://schemas.openxmlformats.org/officeDocument/2006/relationships/hyperlink" Target="https://drive.google.com/open?id=1U3eUB7esjS6_iD6M8rUZVaKV2SRm2VYl" TargetMode="External"/><Relationship Id="rId1923" Type="http://schemas.openxmlformats.org/officeDocument/2006/relationships/hyperlink" Target="https://drive.google.com/open?id=1QlI9NkwbkAoKrwKlr5kvHmQZmNV4YP8O" TargetMode="External"/><Relationship Id="rId297" Type="http://schemas.openxmlformats.org/officeDocument/2006/relationships/hyperlink" Target="https://drive.google.com/open?id=18LMBx8r8QO7R8YDSd6L3MRQSywJLnJDt" TargetMode="External"/><Relationship Id="rId2185" Type="http://schemas.openxmlformats.org/officeDocument/2006/relationships/hyperlink" Target="https://docs.google.com/forms/d/e/1FAIpQLSeEYwFnViiqk1AbexVe1VDR73UApmeuvfn6Yr2vN8WXjwGu2Q/viewform?edit2=2_ABaOnud4qyGYWleWJwDExKqevyUYqQK8Mx6bPsVLDj4P7QzgISAmUot7axptyYTTdoreMgA&amp;source=documentstudio&amp;timestamp=1750729127629" TargetMode="External"/><Relationship Id="rId2392" Type="http://schemas.openxmlformats.org/officeDocument/2006/relationships/hyperlink" Target="https://drive.google.com/open?id=1VvYYAAe4qFkmIA6bXEbvo6lKvv4AqWfi" TargetMode="External"/><Relationship Id="rId157" Type="http://schemas.openxmlformats.org/officeDocument/2006/relationships/hyperlink" Target="https://drive.google.com/open?id=1QGieGdUeTjiZIkftAPwXVRwoOMVSEjEv" TargetMode="External"/><Relationship Id="rId364" Type="http://schemas.openxmlformats.org/officeDocument/2006/relationships/hyperlink" Target="https://drive.google.com/open?id=1Jxn1mHo6XW7kYa9o7YymCIE6q2gy6b2s" TargetMode="External"/><Relationship Id="rId2045" Type="http://schemas.openxmlformats.org/officeDocument/2006/relationships/hyperlink" Target="https://docs.google.com/forms/d/e/1FAIpQLSeEYwFnViiqk1AbexVe1VDR73UApmeuvfn6Yr2vN8WXjwGu2Q/viewform?edit2=2_ABaOnucVA04UzcA-0An2NU82THU7LAdBFE9P--Xqhq9NB-PwPcBRAyauOQeDH-m-LXq87Gk&amp;source=documentstudio&amp;timestamp=1748834089812" TargetMode="External"/><Relationship Id="rId2697" Type="http://schemas.openxmlformats.org/officeDocument/2006/relationships/hyperlink" Target="https://docs.google.com/forms/d/e/1FAIpQLSeEYwFnViiqk1AbexVe1VDR73UApmeuvfn6Yr2vN8WXjwGu2Q/viewform?edit2=2_ABaOnuf40KNdbM9mwatoTgSwGSJlFSSF5p9l1FR7PBqmmht8VCHpV6bDQemcSpY8y87nZBE&amp;source=documentstudio&amp;timestamp=1768794107438" TargetMode="External"/><Relationship Id="rId571" Type="http://schemas.openxmlformats.org/officeDocument/2006/relationships/hyperlink" Target="https://drive.google.com/open?id=1-tFWyyJ1arRU2rDk-HYGjcDkLvLsmCyL" TargetMode="External"/><Relationship Id="rId669" Type="http://schemas.openxmlformats.org/officeDocument/2006/relationships/hyperlink" Target="https://docs.google.com/forms/d/e/1FAIpQLSeEYwFnViiqk1AbexVe1VDR73UApmeuvfn6Yr2vN8WXjwGu2Q/viewform?edit2=2_ABaOnufMNwN8UOg32zxHdmJfFrI4PbjJ5jvPFG4J28orRx64CyKMj1h_UlsspqthiQMkjVA&amp;source=documentstudio&amp;timestamp=1717389399641" TargetMode="External"/><Relationship Id="rId876" Type="http://schemas.openxmlformats.org/officeDocument/2006/relationships/hyperlink" Target="https://drive.google.com/open?id=19OLIB4iZt0ciwE-rBFiRWluZQYImqVdE" TargetMode="External"/><Relationship Id="rId1299" Type="http://schemas.openxmlformats.org/officeDocument/2006/relationships/hyperlink" Target="https://docs.google.com/forms/d/e/1FAIpQLSeEYwFnViiqk1AbexVe1VDR73UApmeuvfn6Yr2vN8WXjwGu2Q/viewform?edit2=2_ABaOnueLLeus6elxXfkpOIOqy4B3cQcqkyM3_D_YQ7GZ3Gd3UzuEwGSbL8WoOr-k6QUzYLY&amp;source=documentstudio&amp;timestamp=1733792128025" TargetMode="External"/><Relationship Id="rId2252" Type="http://schemas.openxmlformats.org/officeDocument/2006/relationships/hyperlink" Target="https://drive.google.com/open?id=1o45wQOYc_ErFYkblxhjKNfkkhMBsE7we" TargetMode="External"/><Relationship Id="rId2557" Type="http://schemas.openxmlformats.org/officeDocument/2006/relationships/hyperlink" Target="https://docs.google.com/forms/d/e/1FAIpQLSeEYwFnViiqk1AbexVe1VDR73UApmeuvfn6Yr2vN8WXjwGu2Q/viewform?edit2=2_ABaOnufMI70wsMh0XZve1LV5d5nobJ8bXHcytctjCgCn7Sesn1x4T2d3DbwVSygYX8X5BRY&amp;source=documentstudio&amp;timestamp=1768461018210" TargetMode="External"/><Relationship Id="rId224" Type="http://schemas.openxmlformats.org/officeDocument/2006/relationships/hyperlink" Target="https://drive.google.com/open?id=1fx-17H5aWQ72c9Fe7dqWuIgNizq9Mz4_" TargetMode="External"/><Relationship Id="rId431" Type="http://schemas.openxmlformats.org/officeDocument/2006/relationships/hyperlink" Target="https://drive.google.com/open?id=1v-P0i5l43DTq9lo5p8xIk9Ub7Pyq9Ja7" TargetMode="External"/><Relationship Id="rId529" Type="http://schemas.openxmlformats.org/officeDocument/2006/relationships/hyperlink" Target="https://drive.google.com/open?id=1HqiA-qpPsLxe3XOjn3WGKdmz57So8mLf" TargetMode="External"/><Relationship Id="rId736" Type="http://schemas.openxmlformats.org/officeDocument/2006/relationships/hyperlink" Target="https://drive.google.com/open?id=1GC7eU-Kvcj7jx5AQE4_ivdR7F3h3xyR0" TargetMode="External"/><Relationship Id="rId1061" Type="http://schemas.openxmlformats.org/officeDocument/2006/relationships/hyperlink" Target="https://docs.google.com/forms/d/e/1FAIpQLSeEYwFnViiqk1AbexVe1VDR73UApmeuvfn6Yr2vN8WXjwGu2Q/viewform?edit2=2_ABaOnuctKdUneu0gaiJpvIjOx-Mqo-tUrtc0Hg0JbhDbAuUvob5Vw-VyqplHSCacfb8qBq4&amp;source=documentstudio&amp;timestamp=1725510402335" TargetMode="External"/><Relationship Id="rId1159" Type="http://schemas.openxmlformats.org/officeDocument/2006/relationships/hyperlink" Target="https://docs.google.com/forms/d/e/1FAIpQLSeEYwFnViiqk1AbexVe1VDR73UApmeuvfn6Yr2vN8WXjwGu2Q/viewform?edit2=2_ABaOnud-zTlMFJE9eqrblYzf5cnbint_aZrJVc4O1PtqdHqQcq2c3ZHGqD8RuT9WrYNj4fI&amp;source=documentstudio&amp;timestamp=1728038587548" TargetMode="External"/><Relationship Id="rId1366" Type="http://schemas.openxmlformats.org/officeDocument/2006/relationships/hyperlink" Target="https://drive.google.com/open?id=1oLnruLniTkjI3Yf6Sip60jr3eDRSzIUd" TargetMode="External"/><Relationship Id="rId2112" Type="http://schemas.openxmlformats.org/officeDocument/2006/relationships/hyperlink" Target="https://drive.google.com/open?id=1ngfSfyo7UL2f70qdcXODXVIbf1wFjqnl" TargetMode="External"/><Relationship Id="rId2417" Type="http://schemas.openxmlformats.org/officeDocument/2006/relationships/hyperlink" Target="https://docs.google.com/forms/d/e/1FAIpQLSeEYwFnViiqk1AbexVe1VDR73UApmeuvfn6Yr2vN8WXjwGu2Q/viewform?edit2=2_ABaOnuerx5MT-qRpkccVH9dVypI-vRKN6lUAWP2WlZRjK9YY1LJb0z0JhRS2R0EepTIDGUA&amp;source=documentstudio&amp;timestamp=1768439534013" TargetMode="External"/><Relationship Id="rId2764" Type="http://schemas.openxmlformats.org/officeDocument/2006/relationships/hyperlink" Target="https://drive.google.com/open?id=1BoRpcun-Ws6B_ADctPWZwJsuWlcE-0c4" TargetMode="External"/><Relationship Id="rId943" Type="http://schemas.openxmlformats.org/officeDocument/2006/relationships/hyperlink" Target="https://docs.google.com/forms/d/e/1FAIpQLSeEYwFnViiqk1AbexVe1VDR73UApmeuvfn6Yr2vN8WXjwGu2Q/viewform?edit2=2_ABaOnufIVK-Z4b3StuQMjr2KzjhM_cnX9SKCgDuXc4jyG4lF0sSS1OHIupe1uChBnjdPxwA&amp;source=documentstudio&amp;timestamp=1721623169254" TargetMode="External"/><Relationship Id="rId1019" Type="http://schemas.openxmlformats.org/officeDocument/2006/relationships/hyperlink" Target="https://docs.google.com/forms/d/e/1FAIpQLSeEYwFnViiqk1AbexVe1VDR73UApmeuvfn6Yr2vN8WXjwGu2Q/viewform?edit2=2_ABaOnueuoE8LrRZmKmcbFo99vy-0R0dcNKHDxFYBXHob-1SJak2IT6MfmQk636gJcaJ_8i8&amp;source=documentstudio&amp;timestamp=1723610349864" TargetMode="External"/><Relationship Id="rId1573" Type="http://schemas.openxmlformats.org/officeDocument/2006/relationships/hyperlink" Target="https://docs.google.com/forms/d/e/1FAIpQLSeEYwFnViiqk1AbexVe1VDR73UApmeuvfn6Yr2vN8WXjwGu2Q/viewform?edit2=2_ABaOnufSTHL4L7PgktcOOT3tNCpB0H4YHPLi0p3Y1OgF7Yv1aAd5BxeP0s4XONf2yJCujWw&amp;source=documentstudio&amp;timestamp=1739329261798" TargetMode="External"/><Relationship Id="rId1780" Type="http://schemas.openxmlformats.org/officeDocument/2006/relationships/hyperlink" Target="https://docs.google.com/forms/d/e/1FAIpQLSeEYwFnViiqk1AbexVe1VDR73UApmeuvfn6Yr2vN8WXjwGu2Q/viewform?edit2=2_ABaOnucbPzBgzBc_UlY983HNAsdup9lGRdNQX8fYbrkbYAvJhr9r8O8ej1xHcY5gFBwZd8o&amp;source=documentstudio&amp;timestamp=1741574741587" TargetMode="External"/><Relationship Id="rId1878" Type="http://schemas.openxmlformats.org/officeDocument/2006/relationships/hyperlink" Target="https://docs.google.com/forms/d/e/1FAIpQLSeEYwFnViiqk1AbexVe1VDR73UApmeuvfn6Yr2vN8WXjwGu2Q/viewform?edit2=2_ABaOnuecCZaaNgr2-lZ0m3WVLzzweD8XJ3K7lf670td226N_oBAmGYGXt4b03HhrmQpAzHo&amp;source=documentstudio&amp;timestamp=1744596219855" TargetMode="External"/><Relationship Id="rId2624" Type="http://schemas.openxmlformats.org/officeDocument/2006/relationships/hyperlink" Target="https://drive.google.com/open?id=1q1_baWGNLCgJq_sL3zGUUu1XOiFPgrXO" TargetMode="External"/><Relationship Id="rId2831" Type="http://schemas.openxmlformats.org/officeDocument/2006/relationships/hyperlink" Target="https://docs.google.com/forms/d/e/1FAIpQLSeEYwFnViiqk1AbexVe1VDR73UApmeuvfn6Yr2vN8WXjwGu2Q/viewform?edit2=2_ABaOnueJ97Km7FwfW9_nNUHYE7DQGGaLwfd5E_u3bSd4FzJoaiOlezLyUOJq2PQxVr9Z1gk&amp;source=documentstudio&amp;timestamp=1769395915965" TargetMode="External"/><Relationship Id="rId2929" Type="http://schemas.openxmlformats.org/officeDocument/2006/relationships/hyperlink" Target="https://drive.google.com/open?id=1L-gNmkerQb81HvOkiP2buhzyejj7A62J" TargetMode="External"/><Relationship Id="rId72" Type="http://schemas.openxmlformats.org/officeDocument/2006/relationships/hyperlink" Target="https://drive.google.com/open?id=1w0u1tjpvlzAvUyZruEUOtimf1lRAMTtS" TargetMode="External"/><Relationship Id="rId803" Type="http://schemas.openxmlformats.org/officeDocument/2006/relationships/hyperlink" Target="https://docs.google.com/forms/d/e/1FAIpQLSeEYwFnViiqk1AbexVe1VDR73UApmeuvfn6Yr2vN8WXjwGu2Q/viewform?edit2=2_ABaOnufNfG4XCD9eWKcOv-2la80kiheGHqezUuzrUoywW1oCiN5Pc0bQriI7Z32I8V4PVU4&amp;source=documentstudio&amp;timestamp=1720401800769" TargetMode="External"/><Relationship Id="rId1226" Type="http://schemas.openxmlformats.org/officeDocument/2006/relationships/hyperlink" Target="https://drive.google.com/open?id=1fyt2-hnErUgz24DW_soAMcRGjb2u3p_i" TargetMode="External"/><Relationship Id="rId1433" Type="http://schemas.openxmlformats.org/officeDocument/2006/relationships/hyperlink" Target="https://docs.google.com/forms/d/e/1FAIpQLSeEYwFnViiqk1AbexVe1VDR73UApmeuvfn6Yr2vN8WXjwGu2Q/viewform?edit2=2_ABaOnueM-fw-KDB8GRRVSpPqIgajYujVjpa1BVf6wvWNW8TXeMs3dnzzkARfBCEna1yrFak&amp;source=documentstudio&amp;timestamp=1737446685303" TargetMode="External"/><Relationship Id="rId1640" Type="http://schemas.openxmlformats.org/officeDocument/2006/relationships/hyperlink" Target="https://drive.google.com/open?id=1A5C6oMxigocgsc9zdxIF6DZ6MAgEB6ql" TargetMode="External"/><Relationship Id="rId1738" Type="http://schemas.openxmlformats.org/officeDocument/2006/relationships/hyperlink" Target="https://docs.google.com/forms/d/e/1FAIpQLSeEYwFnViiqk1AbexVe1VDR73UApmeuvfn6Yr2vN8WXjwGu2Q/viewform?edit2=2_ABaOnucNidgxSfwZoqXcGmAOhu3fAXOe5pZGCZkbE2DLVEE1Vxn6-2Yag4PhLLb8UyTTMIk&amp;source=documentstudio&amp;timestamp=1741511849485" TargetMode="External"/><Relationship Id="rId1500" Type="http://schemas.openxmlformats.org/officeDocument/2006/relationships/hyperlink" Target="https://drive.google.com/open?id=12SoFMNlav0Vokxnp60C-wY6C6kYjlZXS" TargetMode="External"/><Relationship Id="rId1945" Type="http://schemas.openxmlformats.org/officeDocument/2006/relationships/hyperlink" Target="https://drive.google.com/open?id=1oFDtyC15uKX2A_6rkI_Xi3cNud5Ddm2x" TargetMode="External"/><Relationship Id="rId1805" Type="http://schemas.openxmlformats.org/officeDocument/2006/relationships/hyperlink" Target="https://drive.google.com/open?id=16K1lZaPC4g_RPvmeuTyg6ONRBJpP08bA" TargetMode="External"/><Relationship Id="rId179" Type="http://schemas.openxmlformats.org/officeDocument/2006/relationships/hyperlink" Target="https://drive.google.com/open?id=1_nLq4VBqnQQVUaGPYgUt8ys9vPO_pbxK" TargetMode="External"/><Relationship Id="rId386" Type="http://schemas.openxmlformats.org/officeDocument/2006/relationships/hyperlink" Target="https://drive.google.com/open?id=1qzsxqBI3qxiOnmgCCvSB4ORp72ZroGlW" TargetMode="External"/><Relationship Id="rId593" Type="http://schemas.openxmlformats.org/officeDocument/2006/relationships/hyperlink" Target="https://drive.google.com/open?id=1wg_5l9pJvW07_nZEZYwqRhrG9dePxTw4" TargetMode="External"/><Relationship Id="rId2067" Type="http://schemas.openxmlformats.org/officeDocument/2006/relationships/hyperlink" Target="https://docs.google.com/forms/d/e/1FAIpQLSeEYwFnViiqk1AbexVe1VDR73UApmeuvfn6Yr2vN8WXjwGu2Q/viewform?edit2=2_ABaOnueOoSkw5RdPtQTjMqWagg74HmkOGVhkCPXnLlHrNRTxauwaBrfkPDvM1TlWy4IZCOg&amp;source=documentstudio&amp;timestamp=1748846165116" TargetMode="External"/><Relationship Id="rId2274" Type="http://schemas.openxmlformats.org/officeDocument/2006/relationships/hyperlink" Target="https://drive.google.com/open?id=1bmns4sy_ckkmQneuIN8rkBVEy8l8OjJ1" TargetMode="External"/><Relationship Id="rId2481" Type="http://schemas.openxmlformats.org/officeDocument/2006/relationships/hyperlink" Target="https://docs.google.com/forms/d/e/1FAIpQLSeEYwFnViiqk1AbexVe1VDR73UApmeuvfn6Yr2vN8WXjwGu2Q/viewform?edit2=2_ABaOnueOVPqZwc28t9Jb7Y3l0Obyak_vKzX_UXB6A1NYDB7w9q8kUCtI2VV2ZPKmhHhvuJ8&amp;source=documentstudio&amp;timestamp=1768443119352" TargetMode="External"/><Relationship Id="rId246" Type="http://schemas.openxmlformats.org/officeDocument/2006/relationships/hyperlink" Target="https://drive.google.com/open?id=1-01fPjILN13md1rZYLdf0nBk5jcJeiqI" TargetMode="External"/><Relationship Id="rId453" Type="http://schemas.openxmlformats.org/officeDocument/2006/relationships/hyperlink" Target="https://drive.google.com/open?id=1cT9sPitvxXFfGfP9x826yK0-1eVygv1m" TargetMode="External"/><Relationship Id="rId660" Type="http://schemas.openxmlformats.org/officeDocument/2006/relationships/hyperlink" Target="https://drive.google.com/open?id=1mIZyb5fgPeNMdwqt114jQoQ58TgYWoqH" TargetMode="External"/><Relationship Id="rId898" Type="http://schemas.openxmlformats.org/officeDocument/2006/relationships/hyperlink" Target="https://drive.google.com/open?id=1Zr-Ut4JJVBzpHL6hHpjq8dYeepi6xd1Z" TargetMode="External"/><Relationship Id="rId1083" Type="http://schemas.openxmlformats.org/officeDocument/2006/relationships/hyperlink" Target="https://docs.google.com/forms/d/e/1FAIpQLSeEYwFnViiqk1AbexVe1VDR73UApmeuvfn6Yr2vN8WXjwGu2Q/viewform?edit2=2_ABaOnucdyqPZjSC7erVIxgMGRcTatyskxpRPInQuH0hBQrQ9V1krLO6tK0exHZr51uFejtU&amp;source=documentstudio&amp;timestamp=1725872667248" TargetMode="External"/><Relationship Id="rId1290" Type="http://schemas.openxmlformats.org/officeDocument/2006/relationships/hyperlink" Target="https://drive.google.com/open?id=1BtBz5OigK7jpR8--SmJvu65N6GLXFMoM" TargetMode="External"/><Relationship Id="rId2134" Type="http://schemas.openxmlformats.org/officeDocument/2006/relationships/hyperlink" Target="https://drive.google.com/open?id=1AXj-BtiiXjwuLDyRcpL120HwAfaMLjpk" TargetMode="External"/><Relationship Id="rId2341" Type="http://schemas.openxmlformats.org/officeDocument/2006/relationships/hyperlink" Target="https://docs.google.com/forms/d/e/1FAIpQLSeEYwFnViiqk1AbexVe1VDR73UApmeuvfn6Yr2vN8WXjwGu2Q/viewform?edit2=2_ABaOnufRbdgoBLUPzQ8kPCqt6GXV5oDhyVukxpctQ9HkQjzvEAIwoZDePS2irFfh0MWycGg&amp;source=documentstudio&amp;timestamp=1764830581421" TargetMode="External"/><Relationship Id="rId2579" Type="http://schemas.openxmlformats.org/officeDocument/2006/relationships/hyperlink" Target="https://docs.google.com/forms/d/e/1FAIpQLSeEYwFnViiqk1AbexVe1VDR73UApmeuvfn6Yr2vN8WXjwGu2Q/viewform?edit2=2_ABaOnudA5G2sahNzLvagsgPiPhfgmbDATtcmwbYYzBsutwF_ppGWkozuQTMMnnv46Mn7awY&amp;source=documentstudio&amp;timestamp=1768463748255" TargetMode="External"/><Relationship Id="rId2786" Type="http://schemas.openxmlformats.org/officeDocument/2006/relationships/hyperlink" Target="https://drive.google.com/open?id=17WKVAMSVpP7QjCZm2XxMfY7ppnaJH_oV" TargetMode="External"/><Relationship Id="rId106" Type="http://schemas.openxmlformats.org/officeDocument/2006/relationships/hyperlink" Target="https://drive.google.com/open?id=1sN-ytySdHuIJ5yd1Yc59WC42tA0dZjMX" TargetMode="External"/><Relationship Id="rId313" Type="http://schemas.openxmlformats.org/officeDocument/2006/relationships/hyperlink" Target="https://drive.google.com/open?id=1lG0MxKUROEj7ZAovAxJXdZwoqwUzlMlF" TargetMode="External"/><Relationship Id="rId758" Type="http://schemas.openxmlformats.org/officeDocument/2006/relationships/hyperlink" Target="https://drive.google.com/open?id=1t2QT3VVNvrsNFkO2OG42zXytcZBR-rmx" TargetMode="External"/><Relationship Id="rId965" Type="http://schemas.openxmlformats.org/officeDocument/2006/relationships/hyperlink" Target="https://docs.google.com/forms/d/e/1FAIpQLSeEYwFnViiqk1AbexVe1VDR73UApmeuvfn6Yr2vN8WXjwGu2Q/viewform?edit2=2_ABaOnufJsA7waz19LBrBMjhL6uXSmtQFNxOJlzXe2i79vsdh3iatIAzmHmsmBRRuUCAjxtE&amp;source=documentstudio&amp;timestamp=1721638964301" TargetMode="External"/><Relationship Id="rId1150" Type="http://schemas.openxmlformats.org/officeDocument/2006/relationships/hyperlink" Target="https://drive.google.com/open?id=1ciQbXbwVuI3ozHO5Tr_frxowferIPBfj" TargetMode="External"/><Relationship Id="rId1388" Type="http://schemas.openxmlformats.org/officeDocument/2006/relationships/hyperlink" Target="https://drive.google.com/open?id=1Xg1YZIPeuKVcWKtEIptSMLUU8PtHAMhU" TargetMode="External"/><Relationship Id="rId1595" Type="http://schemas.openxmlformats.org/officeDocument/2006/relationships/hyperlink" Target="https://docs.google.com/forms/d/e/1FAIpQLSeEYwFnViiqk1AbexVe1VDR73UApmeuvfn6Yr2vN8WXjwGu2Q/viewform?edit2=2_ABaOnucyYaXtH_N9LEl388pXjraPuGDU9wuhVDYH3nMdTIHaEKLcgJeR-j1rd1GMi_4eWJU&amp;source=documentstudio&amp;timestamp=1739329537308" TargetMode="External"/><Relationship Id="rId2439" Type="http://schemas.openxmlformats.org/officeDocument/2006/relationships/hyperlink" Target="https://docs.google.com/forms/d/e/1FAIpQLSeEYwFnViiqk1AbexVe1VDR73UApmeuvfn6Yr2vN8WXjwGu2Q/viewform?edit2=2_ABaOnufCAI_I1VcGVw3eO8Q0l5KXEe70Xz-WekO7TgXAseyHVSrWZFD1nHRUSn1sbc9-Ph4&amp;source=documentstudio&amp;timestamp=1768441477195" TargetMode="External"/><Relationship Id="rId2646" Type="http://schemas.openxmlformats.org/officeDocument/2006/relationships/hyperlink" Target="https://drive.google.com/open?id=1Tr-scgg1rux11rYxuRfQ2ee13j1oKqH8" TargetMode="External"/><Relationship Id="rId2853" Type="http://schemas.openxmlformats.org/officeDocument/2006/relationships/hyperlink" Target="https://docs.google.com/forms/d/e/1FAIpQLSeEYwFnViiqk1AbexVe1VDR73UApmeuvfn6Yr2vN8WXjwGu2Q/viewform?edit2=2_ABaOnueKqfQfyGAxrEXFd70JiF_qHX-TKi7a-rLhaP1zcyZXlb5_aI_dyF_YuHxRDFlq9_Y&amp;source=documentstudio&amp;timestamp=1769416082816" TargetMode="External"/><Relationship Id="rId94" Type="http://schemas.openxmlformats.org/officeDocument/2006/relationships/hyperlink" Target="https://drive.google.com/open?id=1Re6BHejEkQV82kJxcqUs4Vam3ViUvP1Y" TargetMode="External"/><Relationship Id="rId520" Type="http://schemas.openxmlformats.org/officeDocument/2006/relationships/hyperlink" Target="https://drive.google.com/open?id=1zJsgWcyoiDOxJAvAfJgEu5gxacWnBCBZ" TargetMode="External"/><Relationship Id="rId618" Type="http://schemas.openxmlformats.org/officeDocument/2006/relationships/hyperlink" Target="https://drive.google.com/open?id=1tKoj864zW7mCk6iO3DUB8IOh0DloeaPI" TargetMode="External"/><Relationship Id="rId825" Type="http://schemas.openxmlformats.org/officeDocument/2006/relationships/hyperlink" Target="https://docs.google.com/forms/d/e/1FAIpQLSeEYwFnViiqk1AbexVe1VDR73UApmeuvfn6Yr2vN8WXjwGu2Q/viewform?edit2=2_ABaOnucv7zKX4cpEhr_qO-tLQYPj9QwSejtdTACZkeuU5Z76sdRz0p1B93A1mfe1M_gdr2E&amp;source=documentstudio&amp;timestamp=1720424123449" TargetMode="External"/><Relationship Id="rId1248" Type="http://schemas.openxmlformats.org/officeDocument/2006/relationships/hyperlink" Target="https://drive.google.com/open?id=1S2-s7aIt6fST9E6gVCVIxWWInJSmjrb1" TargetMode="External"/><Relationship Id="rId1455" Type="http://schemas.openxmlformats.org/officeDocument/2006/relationships/hyperlink" Target="https://docs.google.com/forms/d/e/1FAIpQLSeEYwFnViiqk1AbexVe1VDR73UApmeuvfn6Yr2vN8WXjwGu2Q/viewform?edit2=2_ABaOnudtrB8m5WpFN-L2Z49aXSi5hVjNDjITsoTPBqDv7aJ8FKLNvU1i7t7C57xXSz1IbW4&amp;source=documentstudio&amp;timestamp=1737447500932" TargetMode="External"/><Relationship Id="rId1662" Type="http://schemas.openxmlformats.org/officeDocument/2006/relationships/hyperlink" Target="https://drive.google.com/open?id=15KU6VwQiAg66y4sVpckNWaW0gIcDStMq" TargetMode="External"/><Relationship Id="rId2201" Type="http://schemas.openxmlformats.org/officeDocument/2006/relationships/hyperlink" Target="https://docs.google.com/forms/d/e/1FAIpQLSeEYwFnViiqk1AbexVe1VDR73UApmeuvfn6Yr2vN8WXjwGu2Q/viewform?edit2=2_ABaOnucOYq_BdIZdzpMdpilynDrWIVWeV8Awdct1OCANPYsHc6x5BGC1b1s0x8D59Jw3-Yo&amp;source=documentstudio&amp;timestamp=1751277298705" TargetMode="External"/><Relationship Id="rId2506" Type="http://schemas.openxmlformats.org/officeDocument/2006/relationships/hyperlink" Target="https://drive.google.com/open?id=1LI6PS6wHr_LU8CcGLHNlHoIjztVhlXh8" TargetMode="External"/><Relationship Id="rId1010" Type="http://schemas.openxmlformats.org/officeDocument/2006/relationships/hyperlink" Target="https://drive.google.com/open?id=1-pcv-c0WnBxoPhd8Y7VduIYn2Ea27tJ9" TargetMode="External"/><Relationship Id="rId1108" Type="http://schemas.openxmlformats.org/officeDocument/2006/relationships/hyperlink" Target="https://drive.google.com/open?id=19ZokdDrU_goUgn9RDuMyVJVU4Wg2BMlF" TargetMode="External"/><Relationship Id="rId1315" Type="http://schemas.openxmlformats.org/officeDocument/2006/relationships/hyperlink" Target="https://docs.google.com/forms/d/e/1FAIpQLSeEYwFnViiqk1AbexVe1VDR73UApmeuvfn6Yr2vN8WXjwGu2Q/viewform?edit2=2_ABaOnudq-FlSX7vaJbV44xMN2gN9hpGj3VaEOupep9c46hZ0Fmsq0JrujHzMvlW7FJHZFbE&amp;source=documentstudio&amp;timestamp=1735868047984" TargetMode="External"/><Relationship Id="rId1967" Type="http://schemas.openxmlformats.org/officeDocument/2006/relationships/hyperlink" Target="https://drive.google.com/open?id=1pMBCONvvijPj-7w1QpplbRvaBVy8pESM" TargetMode="External"/><Relationship Id="rId2713" Type="http://schemas.openxmlformats.org/officeDocument/2006/relationships/hyperlink" Target="https://docs.google.com/forms/d/e/1FAIpQLSeEYwFnViiqk1AbexVe1VDR73UApmeuvfn6Yr2vN8WXjwGu2Q/viewform?edit2=2_ABaOnudSKicmIyIV0NG1Y3bXyWaEasdyxdI9Ks1iQVTAsuCEB9dV1ifpGLqjAY61qNqjeZU&amp;source=documentstudio&amp;timestamp=1768794722086" TargetMode="External"/><Relationship Id="rId2920" Type="http://schemas.openxmlformats.org/officeDocument/2006/relationships/hyperlink" Target="https://docs.google.com/forms/d/e/1FAIpQLSeEYwFnViiqk1AbexVe1VDR73UApmeuvfn6Yr2vN8WXjwGu2Q/viewform?edit2=2_ABaOnueWPX4jdAgSyf6NVxqbYCjKDow3sA6ftwgNGx0b7N62cn0OZYnezK_9YzW16Gaxjt4&amp;source=documentstudio&amp;timestamp=1769587608763" TargetMode="External"/><Relationship Id="rId1522" Type="http://schemas.openxmlformats.org/officeDocument/2006/relationships/hyperlink" Target="https://drive.google.com/open?id=1xRYV5MKlJsMCKmtuZpImXdHj2Mntu4sp" TargetMode="External"/><Relationship Id="rId21" Type="http://schemas.openxmlformats.org/officeDocument/2006/relationships/hyperlink" Target="https://drive.google.com/open?id=1NWXaTIwsQYlkAn3RxO7bx4G4xlr1CVQG" TargetMode="External"/><Relationship Id="rId2089" Type="http://schemas.openxmlformats.org/officeDocument/2006/relationships/hyperlink" Target="https://docs.google.com/forms/d/e/1FAIpQLSeEYwFnViiqk1AbexVe1VDR73UApmeuvfn6Yr2vN8WXjwGu2Q/viewform?edit2=2_ABaOnufcSyBFJ95MiLpzDo4QEUBGmFE_eCnkJbtOXIgYs_pDjkHXPDWexjEdvO80CAldK1M&amp;source=documentstudio&amp;timestamp=1748850042278" TargetMode="External"/><Relationship Id="rId2296" Type="http://schemas.openxmlformats.org/officeDocument/2006/relationships/hyperlink" Target="https://drive.google.com/open?id=14l9T23aKnxaA1jjBX6jnD_Md6RVAXjrb" TargetMode="External"/><Relationship Id="rId268" Type="http://schemas.openxmlformats.org/officeDocument/2006/relationships/hyperlink" Target="https://drive.google.com/open?id=16sVvt1m9P1nHu4b7W6D1P1VKjez9ftkn" TargetMode="External"/><Relationship Id="rId475" Type="http://schemas.openxmlformats.org/officeDocument/2006/relationships/hyperlink" Target="https://drive.google.com/open?id=14mhB2LgD5ouRa-MySy6NX-j5b3DmMtvf" TargetMode="External"/><Relationship Id="rId682" Type="http://schemas.openxmlformats.org/officeDocument/2006/relationships/hyperlink" Target="https://drive.google.com/open?id=10xLXHWY5-2towezUFvRnx4NYtDqx4-QL" TargetMode="External"/><Relationship Id="rId2156" Type="http://schemas.openxmlformats.org/officeDocument/2006/relationships/hyperlink" Target="https://drive.google.com/open?id=1HXydVT1HangBSoT4MWJnG0tqjprdUkxu" TargetMode="External"/><Relationship Id="rId2363" Type="http://schemas.openxmlformats.org/officeDocument/2006/relationships/hyperlink" Target="https://docs.google.com/forms/d/e/1FAIpQLSeEYwFnViiqk1AbexVe1VDR73UApmeuvfn6Yr2vN8WXjwGu2Q/viewform?edit2=2_ABaOnufuJzWL1M-BZOuKJNew6E9ByGZ6MKiLg4cssSZwaod5PRcVr9IGrBR6Ppf4vpkPYwk&amp;source=documentstudio&amp;timestamp=1768378494417" TargetMode="External"/><Relationship Id="rId2570" Type="http://schemas.openxmlformats.org/officeDocument/2006/relationships/hyperlink" Target="https://drive.google.com/open?id=10-SYfMpZDpLIipiFIBjHdxDL-wjbVOxt" TargetMode="External"/><Relationship Id="rId128" Type="http://schemas.openxmlformats.org/officeDocument/2006/relationships/hyperlink" Target="https://drive.google.com/open?id=1StOgC7h57adXZD88ZRdmKubS4gjNJF2L" TargetMode="External"/><Relationship Id="rId335" Type="http://schemas.openxmlformats.org/officeDocument/2006/relationships/hyperlink" Target="https://drive.google.com/open?id=11ZqvPVHiY4cgf8vsC_88isXZCsklzImR" TargetMode="External"/><Relationship Id="rId542" Type="http://schemas.openxmlformats.org/officeDocument/2006/relationships/hyperlink" Target="https://drive.google.com/open?id=14IDy07cODoOcl0mpFFz7Qka9Ev0g7M3b" TargetMode="External"/><Relationship Id="rId1172" Type="http://schemas.openxmlformats.org/officeDocument/2006/relationships/hyperlink" Target="https://drive.google.com/open?id=1_bNwgPkyefS9wn0inHnTPc7rgvX0InTK" TargetMode="External"/><Relationship Id="rId2016" Type="http://schemas.openxmlformats.org/officeDocument/2006/relationships/hyperlink" Target="https://drive.google.com/open?id=1GgO_XwsNtwC7GMRMExrzsBiZV8I0fkK2" TargetMode="External"/><Relationship Id="rId2223" Type="http://schemas.openxmlformats.org/officeDocument/2006/relationships/hyperlink" Target="https://docs.google.com/forms/d/e/1FAIpQLSeEYwFnViiqk1AbexVe1VDR73UApmeuvfn6Yr2vN8WXjwGu2Q/viewform?edit2=2_ABaOnudyGIWwRwesFctgBzkLegfFrRl4bW5ugDX9wCHsHgVXFbJLC8g3eh1bH4t1YkdMoFw&amp;source=documentstudio&amp;timestamp=1752530214963" TargetMode="External"/><Relationship Id="rId2430" Type="http://schemas.openxmlformats.org/officeDocument/2006/relationships/hyperlink" Target="https://drive.google.com/open?id=1xLg-3VbZTr4jLNxwbsoMt8MIvrGls9_s" TargetMode="External"/><Relationship Id="rId402" Type="http://schemas.openxmlformats.org/officeDocument/2006/relationships/hyperlink" Target="https://drive.google.com/open?id=1e16FYK3Ud3paK09eLOnVUXTXMan5j1yw" TargetMode="External"/><Relationship Id="rId1032" Type="http://schemas.openxmlformats.org/officeDocument/2006/relationships/hyperlink" Target="https://drive.google.com/open?id=1fZbJFoffDTzudPNCkV5ewjOiZODRSH8B" TargetMode="External"/><Relationship Id="rId1989" Type="http://schemas.openxmlformats.org/officeDocument/2006/relationships/hyperlink" Target="https://docs.google.com/forms/d/e/1FAIpQLSeEYwFnViiqk1AbexVe1VDR73UApmeuvfn6Yr2vN8WXjwGu2Q/viewform?edit2=2_ABaOnufrp-iWN5ucICqOjfJgnfykP6X8sbGkmrk4ju0AinXV9ecP3Ye1nVkk66msO5FOaxU&amp;source=documentstudio&amp;timestamp=1748217920511" TargetMode="External"/><Relationship Id="rId1849" Type="http://schemas.openxmlformats.org/officeDocument/2006/relationships/hyperlink" Target="https://drive.google.com/open?id=1SBE7BoAsQ34q0BSA7bMkVaxQtX7kB0Fk" TargetMode="External"/><Relationship Id="rId192" Type="http://schemas.openxmlformats.org/officeDocument/2006/relationships/hyperlink" Target="https://drive.google.com/open?id=11hnV_uNc33DrF-m2WgG_erXhhcd3SFif" TargetMode="External"/><Relationship Id="rId1709" Type="http://schemas.openxmlformats.org/officeDocument/2006/relationships/hyperlink" Target="https://docs.google.com/forms/d/e/1FAIpQLSeEYwFnViiqk1AbexVe1VDR73UApmeuvfn6Yr2vN8WXjwGu2Q/viewform?edit2=2_ABaOnuc8RRW7o5tNul9fXJREr7KOobql1lpW5Taaj3qyLDiXzXolt_FK6GhMBJ8HW49kwu4&amp;source=documentstudio&amp;timestamp=1741337059711" TargetMode="External"/><Relationship Id="rId1916" Type="http://schemas.openxmlformats.org/officeDocument/2006/relationships/hyperlink" Target="https://docs.google.com/forms/d/e/1FAIpQLSeEYwFnViiqk1AbexVe1VDR73UApmeuvfn6Yr2vN8WXjwGu2Q/viewform?edit2=2_ABaOnufYjFAW4MeXdhMyKG5ar2_kb8pr9nfGPNp3Y-uZGJi0Q7u9JHTri7T9brTFrEcxsls&amp;source=documentstudio&amp;timestamp=1745377318794" TargetMode="External"/><Relationship Id="rId2080" Type="http://schemas.openxmlformats.org/officeDocument/2006/relationships/hyperlink" Target="https://drive.google.com/open?id=1C99524b-B76k3U3WbAGYmC1C9_uJ2VMk" TargetMode="External"/><Relationship Id="rId2897" Type="http://schemas.openxmlformats.org/officeDocument/2006/relationships/hyperlink" Target="https://drive.google.com/open?id=1qTw06nN4dfIU9B7oW2pFh8NEsMI75A4-" TargetMode="External"/><Relationship Id="rId869" Type="http://schemas.openxmlformats.org/officeDocument/2006/relationships/hyperlink" Target="https://docs.google.com/forms/d/e/1FAIpQLSeEYwFnViiqk1AbexVe1VDR73UApmeuvfn6Yr2vN8WXjwGu2Q/viewform?edit2=2_ABaOnuc7oEIPjNk8Z0YyWQdxnH4l3ocmZPVWq2n6n_iSPZ8p7Y2-NMxp8vg7tdFVhqRxzlk&amp;source=documentstudio&amp;timestamp=1720488345948" TargetMode="External"/><Relationship Id="rId1499" Type="http://schemas.openxmlformats.org/officeDocument/2006/relationships/hyperlink" Target="https://docs.google.com/forms/d/e/1FAIpQLSeEYwFnViiqk1AbexVe1VDR73UApmeuvfn6Yr2vN8WXjwGu2Q/viewform?edit2=2_ABaOnucz9t4NwLnl5lvfcfuTSl5fyIKuFgbEfMXU9u6syPsoC0mrCZs5DFHIJC3hpIv-Aio&amp;source=documentstudio&amp;timestamp=1739321644515" TargetMode="External"/><Relationship Id="rId729" Type="http://schemas.openxmlformats.org/officeDocument/2006/relationships/hyperlink" Target="https://docs.google.com/forms/d/e/1FAIpQLSeEYwFnViiqk1AbexVe1VDR73UApmeuvfn6Yr2vN8WXjwGu2Q/viewform?edit2=2_ABaOnuc8IvDg3wwE40lby9tOYAMpbyzX1gK28Kw77kx2K3931rYtbMayrMazb6Isz5ih6CM&amp;source=documentstudio&amp;timestamp=1717985209133" TargetMode="External"/><Relationship Id="rId1359" Type="http://schemas.openxmlformats.org/officeDocument/2006/relationships/hyperlink" Target="https://docs.google.com/forms/d/e/1FAIpQLSeEYwFnViiqk1AbexVe1VDR73UApmeuvfn6Yr2vN8WXjwGu2Q/viewform?edit2=2_ABaOnueVw1ICP9mQs9wlcsHE9sMlNvpJrw90DJoH6BtXsbDccu8oNcTS91-rOjto0PyLTQY&amp;source=documentstudio&amp;timestamp=1736215534781" TargetMode="External"/><Relationship Id="rId2757" Type="http://schemas.openxmlformats.org/officeDocument/2006/relationships/hyperlink" Target="https://docs.google.com/forms/d/e/1FAIpQLSeEYwFnViiqk1AbexVe1VDR73UApmeuvfn6Yr2vN8WXjwGu2Q/viewform?edit2=2_ABaOnueIcmYoGrZ-qDVZxQ2N2KG4SjIDraq4EMdiGMB7a9o8-l0ebyR5L8QUdNNNnGfZGbY&amp;source=documentstudio&amp;timestamp=1768882295448" TargetMode="External"/><Relationship Id="rId2964" Type="http://schemas.openxmlformats.org/officeDocument/2006/relationships/hyperlink" Target="https://docs.google.com/forms/d/e/1FAIpQLSeEYwFnViiqk1AbexVe1VDR73UApmeuvfn6Yr2vN8WXjwGu2Q/viewform?edit2=2_ABaOnudZpYvtYrvDUIh8tjHDTZW5Acg1fyDfnT7Vg49sCdefGkIqh4MUaFcuT_U_n-VGphI&amp;source=documentstudio&amp;timestamp=1769652669853" TargetMode="External"/><Relationship Id="rId936" Type="http://schemas.openxmlformats.org/officeDocument/2006/relationships/hyperlink" Target="https://drive.google.com/open?id=1rs7o1t3NqL6QJlquO-VkI2Xg-IK_nrLH" TargetMode="External"/><Relationship Id="rId1219" Type="http://schemas.openxmlformats.org/officeDocument/2006/relationships/hyperlink" Target="https://docs.google.com/forms/d/e/1FAIpQLSeEYwFnViiqk1AbexVe1VDR73UApmeuvfn6Yr2vN8WXjwGu2Q/viewform?edit2=2_ABaOnucxAinruIHl_O0tJj6LPL2Klk823qT4eRPiraRxv_geocDQcN3zR6CajrNNXQCec1U&amp;source=documentstudio&amp;timestamp=1731551135678" TargetMode="External"/><Relationship Id="rId1566" Type="http://schemas.openxmlformats.org/officeDocument/2006/relationships/hyperlink" Target="https://drive.google.com/open?id=1ol7SjbFAdlYMwDlN6mChN5STHUKfUnU8" TargetMode="External"/><Relationship Id="rId1773" Type="http://schemas.openxmlformats.org/officeDocument/2006/relationships/hyperlink" Target="https://drive.google.com/open?id=1dMQdCObVOq0H2sPuBqiItYeBJ50_UlEn" TargetMode="External"/><Relationship Id="rId1980" Type="http://schemas.openxmlformats.org/officeDocument/2006/relationships/hyperlink" Target="https://drive.google.com/open?id=1FwARG9xrmBbRQzdHOX7YVtGlgt4psmrv" TargetMode="External"/><Relationship Id="rId2617" Type="http://schemas.openxmlformats.org/officeDocument/2006/relationships/hyperlink" Target="https://docs.google.com/forms/d/e/1FAIpQLSeEYwFnViiqk1AbexVe1VDR73UApmeuvfn6Yr2vN8WXjwGu2Q/viewform?edit2=2_ABaOnuccE87V7c4iss16_Vu7YIcxCYsWs9qbnsJcE4sA5lo9jvq2tvr_HzsWzyzUVwTqzd0&amp;source=documentstudio&amp;timestamp=1768466830333" TargetMode="External"/><Relationship Id="rId2824" Type="http://schemas.openxmlformats.org/officeDocument/2006/relationships/hyperlink" Target="https://drive.google.com/open?id=1UD787nd302hAJs3NiA9P58bPMiyIOUCr" TargetMode="External"/><Relationship Id="rId65" Type="http://schemas.openxmlformats.org/officeDocument/2006/relationships/hyperlink" Target="https://drive.google.com/open?id=1LYz4sFHqISgB5oO5mAbmLsUJ0y1MeT09" TargetMode="External"/><Relationship Id="rId1426" Type="http://schemas.openxmlformats.org/officeDocument/2006/relationships/hyperlink" Target="https://drive.google.com/open?id=19asjjLFDZWnoXePjZTXXvgRlteLmE8-O" TargetMode="External"/><Relationship Id="rId1633" Type="http://schemas.openxmlformats.org/officeDocument/2006/relationships/hyperlink" Target="https://docs.google.com/forms/d/e/1FAIpQLSeEYwFnViiqk1AbexVe1VDR73UApmeuvfn6Yr2vN8WXjwGu2Q/viewform?edit2=2_ABaOnufDGAHG8zhFO9hfIw_Fxi_QtIJVMOGOFgjeQT6mQZ5zk8Yv1-wtIts6XG8f4yPLx7w&amp;source=documentstudio&amp;timestamp=1741332491642" TargetMode="External"/><Relationship Id="rId1840" Type="http://schemas.openxmlformats.org/officeDocument/2006/relationships/hyperlink" Target="https://docs.google.com/forms/d/e/1FAIpQLSeEYwFnViiqk1AbexVe1VDR73UApmeuvfn6Yr2vN8WXjwGu2Q/viewform?edit2=2_ABaOnudRSGsky_2Kek-ldhUtxgFpxhwqBMh7WHx9bt7bORyH-cYNaOT78mwIcjuRgF0fDCY&amp;source=documentstudio&amp;timestamp=1741926595033" TargetMode="External"/><Relationship Id="rId1700" Type="http://schemas.openxmlformats.org/officeDocument/2006/relationships/hyperlink" Target="https://docs.google.com/forms/d/e/1FAIpQLSeEYwFnViiqk1AbexVe1VDR73UApmeuvfn6Yr2vN8WXjwGu2Q/viewform?edit2=2_ABaOnucwaDcTLl6BBl3v7nt4kugv-OYObJyD50r77Ioz2FR_QGdr14KCnA133QFojMEXndo&amp;source=documentstudio&amp;timestamp=1741336034694" TargetMode="External"/><Relationship Id="rId379" Type="http://schemas.openxmlformats.org/officeDocument/2006/relationships/hyperlink" Target="https://drive.google.com/open?id=14mT_EjaO_GMzYfRu8rfLliqbQFo6PQDc" TargetMode="External"/><Relationship Id="rId586" Type="http://schemas.openxmlformats.org/officeDocument/2006/relationships/hyperlink" Target="https://drive.google.com/open?id=1sqthTsk3lOV5xc53QlJBbcV68vp8u6B9" TargetMode="External"/><Relationship Id="rId793" Type="http://schemas.openxmlformats.org/officeDocument/2006/relationships/hyperlink" Target="https://docs.google.com/forms/d/e/1FAIpQLSeEYwFnViiqk1AbexVe1VDR73UApmeuvfn6Yr2vN8WXjwGu2Q/viewform?edit2=2_ABaOnueN5mhq0jW8WD0zI3Pg2V8mEQ9WCerFNjbej0dzdNvKk9YxBpWPT4ykQKar765Owo0&amp;source=documentstudio&amp;timestamp=1718243558477" TargetMode="External"/><Relationship Id="rId2267" Type="http://schemas.openxmlformats.org/officeDocument/2006/relationships/hyperlink" Target="https://docs.google.com/forms/d/e/1FAIpQLSeEYwFnViiqk1AbexVe1VDR73UApmeuvfn6Yr2vN8WXjwGu2Q/viewform?edit2=2_ABaOnueZ2nLIqp6OLcv0qIuqzN99juU9gv9sO2AXmqkxsJDdgyz8ih2pbdkCCTIQ19MlMmE&amp;source=documentstudio&amp;timestamp=1757401824447" TargetMode="External"/><Relationship Id="rId2474" Type="http://schemas.openxmlformats.org/officeDocument/2006/relationships/hyperlink" Target="https://drive.google.com/open?id=1fxnL0Cu3CndAXe1a83LConQC_JR1NuLr" TargetMode="External"/><Relationship Id="rId2681" Type="http://schemas.openxmlformats.org/officeDocument/2006/relationships/hyperlink" Target="https://docs.google.com/forms/d/e/1FAIpQLSeEYwFnViiqk1AbexVe1VDR73UApmeuvfn6Yr2vN8WXjwGu2Q/viewform?edit2=2_ABaOnufcAS1KDJ9VTm9f9aYzaqQvphdcwI33ULRVY0_sr5fsRB_NxMi3dMs67niH9Cl7YWE&amp;source=documentstudio&amp;timestamp=1768791678013" TargetMode="External"/><Relationship Id="rId239" Type="http://schemas.openxmlformats.org/officeDocument/2006/relationships/hyperlink" Target="https://drive.google.com/open?id=1TdD3lXsAbhJqDkRF-r0vAmEI9ooX3v1n" TargetMode="External"/><Relationship Id="rId446" Type="http://schemas.openxmlformats.org/officeDocument/2006/relationships/hyperlink" Target="https://drive.google.com/open?id=1OJQTZXZNZuW9ymEw-3_PkKZRJOB8-dFw" TargetMode="External"/><Relationship Id="rId653" Type="http://schemas.openxmlformats.org/officeDocument/2006/relationships/hyperlink" Target="https://docs.google.com/forms/d/e/1FAIpQLSeEYwFnViiqk1AbexVe1VDR73UApmeuvfn6Yr2vN8WXjwGu2Q/viewform?edit2=2_ABaOnucxS2sRQikqujdHxkG1qJ4HYKzEmI3M9WOqgF0gNvnUrOhYH6aomjBVZVSMExXIpPk&amp;source=documentstudio&amp;timestamp=1717385396531" TargetMode="External"/><Relationship Id="rId1076" Type="http://schemas.openxmlformats.org/officeDocument/2006/relationships/hyperlink" Target="https://drive.google.com/open?id=151RnhrAtNDqFn4FunIBlJy0O_HCUW-Ka" TargetMode="External"/><Relationship Id="rId1283" Type="http://schemas.openxmlformats.org/officeDocument/2006/relationships/hyperlink" Target="https://docs.google.com/forms/d/e/1FAIpQLSeEYwFnViiqk1AbexVe1VDR73UApmeuvfn6Yr2vN8WXjwGu2Q/viewform?edit2=2_ABaOnuc5fXrR02z7hr3JXpFAI3CMDFS-7DfEQEj3JYPn0YrNwOqaDbCWQDU3IgGShopy8j4&amp;source=documentstudio&amp;timestamp=1733703711863" TargetMode="External"/><Relationship Id="rId1490" Type="http://schemas.openxmlformats.org/officeDocument/2006/relationships/hyperlink" Target="https://drive.google.com/open?id=1x9fjBIlK7JtLTj73XELhVa9PceaAV9yY" TargetMode="External"/><Relationship Id="rId2127" Type="http://schemas.openxmlformats.org/officeDocument/2006/relationships/hyperlink" Target="https://docs.google.com/forms/d/e/1FAIpQLSeEYwFnViiqk1AbexVe1VDR73UApmeuvfn6Yr2vN8WXjwGu2Q/viewform?edit2=2_ABaOnucrN30nx3jsj4SiINt2mFhOfDoErGg6G_-DCLLk5H1_mhDobmVEtZBNWC-4gm3axVU&amp;source=documentstudio&amp;timestamp=1748920138205" TargetMode="External"/><Relationship Id="rId2334" Type="http://schemas.openxmlformats.org/officeDocument/2006/relationships/hyperlink" Target="https://drive.google.com/open?id=1SkEw2RQnSOVR2ZdU36d6Ry_ZVIUHJC4j" TargetMode="External"/><Relationship Id="rId306" Type="http://schemas.openxmlformats.org/officeDocument/2006/relationships/hyperlink" Target="https://drive.google.com/open?id=1zXQU2UFhwo0MTMQbQr4qJVFg_1DI0VRu" TargetMode="External"/><Relationship Id="rId860" Type="http://schemas.openxmlformats.org/officeDocument/2006/relationships/hyperlink" Target="https://drive.google.com/open?id=1_20sK6sg0_0Mz1Oqc8w1NZbZrMFVvnPe" TargetMode="External"/><Relationship Id="rId1143" Type="http://schemas.openxmlformats.org/officeDocument/2006/relationships/hyperlink" Target="https://docs.google.com/forms/d/e/1FAIpQLSeEYwFnViiqk1AbexVe1VDR73UApmeuvfn6Yr2vN8WXjwGu2Q/viewform?edit2=2_ABaOnueyXhfExEA-aRmRsWui46d1yVH8H_Q3CxOCvUuoa6L4V3pf061v3duVtul7AaTiWLc&amp;source=documentstudio&amp;timestamp=1728007762412" TargetMode="External"/><Relationship Id="rId2541" Type="http://schemas.openxmlformats.org/officeDocument/2006/relationships/hyperlink" Target="https://docs.google.com/forms/d/e/1FAIpQLSeEYwFnViiqk1AbexVe1VDR73UApmeuvfn6Yr2vN8WXjwGu2Q/viewform?edit2=2_ABaOnucmMQQ-bBJEpal5gEqHedzz7QnGSHyIIANY723uuSuHmq4JL5QigtoCcysK3AgyI2c&amp;source=documentstudio&amp;timestamp=1768460290725" TargetMode="External"/><Relationship Id="rId513" Type="http://schemas.openxmlformats.org/officeDocument/2006/relationships/hyperlink" Target="https://drive.google.com/open?id=1iPrZCtPGn1ttTZGsgcc2mubImvZoCjCS" TargetMode="External"/><Relationship Id="rId720" Type="http://schemas.openxmlformats.org/officeDocument/2006/relationships/hyperlink" Target="https://drive.google.com/open?id=19F6jOgMj9YrxAzKjmxvo2FNKL5w4pXJs" TargetMode="External"/><Relationship Id="rId1350" Type="http://schemas.openxmlformats.org/officeDocument/2006/relationships/hyperlink" Target="https://drive.google.com/open?id=1BydsgS4uoQ9_VJZMb9vvWUHQlbZHw_D2" TargetMode="External"/><Relationship Id="rId2401" Type="http://schemas.openxmlformats.org/officeDocument/2006/relationships/hyperlink" Target="https://docs.google.com/forms/d/e/1FAIpQLSeEYwFnViiqk1AbexVe1VDR73UApmeuvfn6Yr2vN8WXjwGu2Q/viewform?edit2=2_ABaOnueXDzvqc2m57hS5W6GTqGbTJ3qEs3F7xeIth6WPkn429oGskq1oZ0XPBOosCTOD6aQ&amp;source=documentstudio&amp;timestamp=1768438051864" TargetMode="External"/><Relationship Id="rId1003" Type="http://schemas.openxmlformats.org/officeDocument/2006/relationships/hyperlink" Target="https://docs.google.com/forms/d/e/1FAIpQLSeEYwFnViiqk1AbexVe1VDR73UApmeuvfn6Yr2vN8WXjwGu2Q/viewform?edit2=2_ABaOnuddnK0xZ5Z5L796Pkmai9wKrwi839t-7f0r9bYnfTwEefokrUQyO8rNVtqpXNnz45s&amp;source=documentstudio&amp;timestamp=1723528124099" TargetMode="External"/><Relationship Id="rId1210" Type="http://schemas.openxmlformats.org/officeDocument/2006/relationships/hyperlink" Target="https://drive.google.com/open?id=1HxrCSZ_t_cI7Lfbcf7QNdwVKpHJ6utt1" TargetMode="External"/><Relationship Id="rId2191" Type="http://schemas.openxmlformats.org/officeDocument/2006/relationships/hyperlink" Target="https://docs.google.com/forms/d/e/1FAIpQLSeEYwFnViiqk1AbexVe1VDR73UApmeuvfn6Yr2vN8WXjwGu2Q/viewform?edit2=2_ABaOnue6zn4HJP-aEgyo4AMtAAKpA5HgA1ehm6xoFXML-M5j9pXTgG3m-Phcm0x3ApzQW6U&amp;source=documentstudio&amp;timestamp=1750814618012" TargetMode="External"/><Relationship Id="rId163" Type="http://schemas.openxmlformats.org/officeDocument/2006/relationships/hyperlink" Target="https://drive.google.com/open?id=1y5KV7KJGJFa-gFRmzwCzYzofMRZUw6B5" TargetMode="External"/><Relationship Id="rId370" Type="http://schemas.openxmlformats.org/officeDocument/2006/relationships/hyperlink" Target="https://drive.google.com/open?id=1HXeQvudHqjqafDM_Ebm_qt9cSdXsvthv" TargetMode="External"/><Relationship Id="rId2051" Type="http://schemas.openxmlformats.org/officeDocument/2006/relationships/hyperlink" Target="https://docs.google.com/forms/d/e/1FAIpQLSeEYwFnViiqk1AbexVe1VDR73UApmeuvfn6Yr2vN8WXjwGu2Q/viewform?edit2=2_ABaOnueTv8xFiyknKag815TqpALtla0msIf1c84n0V408Kkur4_lCDlh9qIf_EdMurCUIKQ&amp;source=documentstudio&amp;timestamp=1748839583981" TargetMode="External"/><Relationship Id="rId230" Type="http://schemas.openxmlformats.org/officeDocument/2006/relationships/hyperlink" Target="https://drive.google.com/open?id=1fvdS6af-pWX_I7xpnAJC4q3yP8oyfD2_" TargetMode="External"/><Relationship Id="rId2868" Type="http://schemas.openxmlformats.org/officeDocument/2006/relationships/hyperlink" Target="https://drive.google.com/open?id=1C3aYXhZZh_N0VyBLzUEgNkFHLM05o4wW" TargetMode="External"/><Relationship Id="rId1677" Type="http://schemas.openxmlformats.org/officeDocument/2006/relationships/hyperlink" Target="https://docs.google.com/forms/d/e/1FAIpQLSeEYwFnViiqk1AbexVe1VDR73UApmeuvfn6Yr2vN8WXjwGu2Q/viewform?edit2=2_ABaOnucNe_K2wrNfn3_cBQ_9MAfZRHCe6xQ1YCU-hrdMNV1aOzOAZf6pyqWZUKdqLbeVmvQ&amp;source=documentstudio&amp;timestamp=1741334565828" TargetMode="External"/><Relationship Id="rId1884" Type="http://schemas.openxmlformats.org/officeDocument/2006/relationships/hyperlink" Target="https://docs.google.com/forms/d/e/1FAIpQLSeEYwFnViiqk1AbexVe1VDR73UApmeuvfn6Yr2vN8WXjwGu2Q/viewform?edit2=2_ABaOnucX2Wpt35TyaWiZWvxX2LRoZYF9yE1S5Wje6UhcJOTvMioYh48FDqP8fuaeGEEeObk&amp;source=documentstudio&amp;timestamp=1744683363545" TargetMode="External"/><Relationship Id="rId2728" Type="http://schemas.openxmlformats.org/officeDocument/2006/relationships/hyperlink" Target="https://drive.google.com/open?id=1k6fnaFvqn-dEgK4QVisoMv5DEzmKMCxY" TargetMode="External"/><Relationship Id="rId2935" Type="http://schemas.openxmlformats.org/officeDocument/2006/relationships/hyperlink" Target="https://drive.google.com/open?id=1gbsILUdRO00gqr0ASRUSlp5bv0Si601L" TargetMode="External"/><Relationship Id="rId907" Type="http://schemas.openxmlformats.org/officeDocument/2006/relationships/hyperlink" Target="https://docs.google.com/forms/d/e/1FAIpQLSeEYwFnViiqk1AbexVe1VDR73UApmeuvfn6Yr2vN8WXjwGu2Q/viewform?edit2=2_ABaOnueieWZopsMOamRdp6JHKD1gu5fcxzGRDix31uGB2_Tn3GPg0iG-ERqASMm5zwngCG4&amp;source=documentstudio&amp;timestamp=1721619504867" TargetMode="External"/><Relationship Id="rId1537" Type="http://schemas.openxmlformats.org/officeDocument/2006/relationships/hyperlink" Target="https://docs.google.com/forms/d/e/1FAIpQLSeEYwFnViiqk1AbexVe1VDR73UApmeuvfn6Yr2vN8WXjwGu2Q/viewform?edit2=2_ABaOnudbTA8pFH5ZiYHp0CqoGcIBGINuOLuhPs-mbiTi1KaRskS5n6rbTdnlYxNKp2TMRdU&amp;source=documentstudio&amp;timestamp=1739328571276" TargetMode="External"/><Relationship Id="rId1744" Type="http://schemas.openxmlformats.org/officeDocument/2006/relationships/hyperlink" Target="https://docs.google.com/forms/d/e/1FAIpQLSeEYwFnViiqk1AbexVe1VDR73UApmeuvfn6Yr2vN8WXjwGu2Q/viewform?edit2=2_ABaOnuep44rIn4SNDYQ8UzrrwIen_5beXxv1m-mH2b6HAuZUX4FbyCBUg4cijH1fYOLHj5M&amp;source=documentstudio&amp;timestamp=1741567396004" TargetMode="External"/><Relationship Id="rId1951" Type="http://schemas.openxmlformats.org/officeDocument/2006/relationships/hyperlink" Target="https://drive.google.com/open?id=1bKTa5dOpFl4YLTc_SVu5wE-wbs6plUp2" TargetMode="External"/><Relationship Id="rId36" Type="http://schemas.openxmlformats.org/officeDocument/2006/relationships/hyperlink" Target="https://drive.google.com/open?id=1g4yfUZ4xX5s1C-5XrFY4Tfm36zuVYBP1" TargetMode="External"/><Relationship Id="rId1604" Type="http://schemas.openxmlformats.org/officeDocument/2006/relationships/hyperlink" Target="https://drive.google.com/open?id=1Gx7OY2_UgddzbC3UbZNKeEuVW3qrlnQY" TargetMode="External"/><Relationship Id="rId1811" Type="http://schemas.openxmlformats.org/officeDocument/2006/relationships/hyperlink" Target="https://drive.google.com/open?id=1fvxMRBgtY4T_I1FyPbRSsgxvptgS2_12" TargetMode="External"/><Relationship Id="rId697" Type="http://schemas.openxmlformats.org/officeDocument/2006/relationships/hyperlink" Target="https://docs.google.com/forms/d/e/1FAIpQLSeEYwFnViiqk1AbexVe1VDR73UApmeuvfn6Yr2vN8WXjwGu2Q/viewform?edit2=2_ABaOnudf6ueu5WSCXMi4VMVBfXkiB6pF-LhmaQy19IwdOdhXLCsrHIaGxkcqOTTZbNo3pmY&amp;source=documentstudio&amp;timestamp=1717468495550" TargetMode="External"/><Relationship Id="rId2378" Type="http://schemas.openxmlformats.org/officeDocument/2006/relationships/hyperlink" Target="https://drive.google.com/open?id=1gEgqZ5PuUPic3BFEdN2wJOAgxm1Hej3m" TargetMode="External"/><Relationship Id="rId1187" Type="http://schemas.openxmlformats.org/officeDocument/2006/relationships/hyperlink" Target="https://docs.google.com/forms/d/e/1FAIpQLSeEYwFnViiqk1AbexVe1VDR73UApmeuvfn6Yr2vN8WXjwGu2Q/viewform?edit2=2_ABaOnucXHOmNvhN-TSrb68HH1u3tFTuH9HUTLlvwyp1Yu5za4NTxGZ_jarLj8-EdL98mZso&amp;source=documentstudio&amp;timestamp=1730941110088" TargetMode="External"/><Relationship Id="rId2585" Type="http://schemas.openxmlformats.org/officeDocument/2006/relationships/hyperlink" Target="https://docs.google.com/forms/d/e/1FAIpQLSeEYwFnViiqk1AbexVe1VDR73UApmeuvfn6Yr2vN8WXjwGu2Q/viewform?edit2=2_ABaOnufQ3XEJH9aUNT0XtzLKyjLfutb932MpBYfS_X3yBO9L-2u7e5TTezTrttwG-9nBwck&amp;source=documentstudio&amp;timestamp=1768463846305" TargetMode="External"/><Relationship Id="rId2792" Type="http://schemas.openxmlformats.org/officeDocument/2006/relationships/hyperlink" Target="https://drive.google.com/open?id=19MSrsxzMrstKIkMiBen2Ac-4jhkaj7jV" TargetMode="External"/><Relationship Id="rId557" Type="http://schemas.openxmlformats.org/officeDocument/2006/relationships/hyperlink" Target="https://drive.google.com/open?id=1z5ZUD1dCtxSrcfYCo3IuiwfSBE9j6gXO" TargetMode="External"/><Relationship Id="rId764" Type="http://schemas.openxmlformats.org/officeDocument/2006/relationships/hyperlink" Target="https://drive.google.com/open?id=1Dd5QTBWF0syDOqnjGnpF1piB_AEHFBmk" TargetMode="External"/><Relationship Id="rId971" Type="http://schemas.openxmlformats.org/officeDocument/2006/relationships/hyperlink" Target="https://docs.google.com/forms/d/e/1FAIpQLSeEYwFnViiqk1AbexVe1VDR73UApmeuvfn6Yr2vN8WXjwGu2Q/viewform?edit2=2_ABaOnueWSLQ95dYDbUqZuQILJdyX8M9Z7WbFxvMp0MHE0TX3o41OQ_i6a3h6S_MhUZvXauw&amp;source=documentstudio&amp;timestamp=1721871067494" TargetMode="External"/><Relationship Id="rId1394" Type="http://schemas.openxmlformats.org/officeDocument/2006/relationships/hyperlink" Target="https://drive.google.com/open?id=14rL65ox8U4s4Vr2Fnn_l9NTjgJsUsdor" TargetMode="External"/><Relationship Id="rId2238" Type="http://schemas.openxmlformats.org/officeDocument/2006/relationships/hyperlink" Target="https://drive.google.com/open?id=1fsgsL082jNkdlJiWzTT3jm1HMNlBkSMd" TargetMode="External"/><Relationship Id="rId2445" Type="http://schemas.openxmlformats.org/officeDocument/2006/relationships/hyperlink" Target="https://docs.google.com/forms/d/e/1FAIpQLSeEYwFnViiqk1AbexVe1VDR73UApmeuvfn6Yr2vN8WXjwGu2Q/viewform?edit2=2_ABaOnuf4uYTG_RYDVgY1s_ROwZ3OdIU7QLmv4Z1NJCsW5-5kM0vPI_hn_imw9GO5XzCi_x0&amp;source=documentstudio&amp;timestamp=1768441616730" TargetMode="External"/><Relationship Id="rId2652" Type="http://schemas.openxmlformats.org/officeDocument/2006/relationships/hyperlink" Target="https://drive.google.com/open?id=1gnUj7hi8NusPe3eAdMaUNPT6OBP_qeYI" TargetMode="External"/><Relationship Id="rId417" Type="http://schemas.openxmlformats.org/officeDocument/2006/relationships/hyperlink" Target="https://drive.google.com/open?id=1LFUiBMNkApyySecZoOJKHH-wqoKS5fTa" TargetMode="External"/><Relationship Id="rId624" Type="http://schemas.openxmlformats.org/officeDocument/2006/relationships/hyperlink" Target="https://drive.google.com/open?id=1aJwhmF55_qDOJRz8cOccZp40wSiAwVi6" TargetMode="External"/><Relationship Id="rId831" Type="http://schemas.openxmlformats.org/officeDocument/2006/relationships/hyperlink" Target="https://docs.google.com/forms/d/e/1FAIpQLSeEYwFnViiqk1AbexVe1VDR73UApmeuvfn6Yr2vN8WXjwGu2Q/viewform?edit2=2_ABaOnudtRr3ZeITmog7J6G4uT0DPCPThYhik95l32LQJ6dWQ8jqksk4UdPeqFxiu7lqQZRc&amp;source=documentstudio&amp;timestamp=1720428262597" TargetMode="External"/><Relationship Id="rId1047" Type="http://schemas.openxmlformats.org/officeDocument/2006/relationships/hyperlink" Target="https://docs.google.com/forms/d/e/1FAIpQLSeEYwFnViiqk1AbexVe1VDR73UApmeuvfn6Yr2vN8WXjwGu2Q/viewform?edit2=2_ABaOnudUXE6k0vrwONC3kDaybBXgcy1rLyoczKA9wibAZ79XdsoaRo_I097c1GklYGX0mWo&amp;source=documentstudio&amp;timestamp=1725498543785" TargetMode="External"/><Relationship Id="rId1254" Type="http://schemas.openxmlformats.org/officeDocument/2006/relationships/hyperlink" Target="https://drive.google.com/open?id=19fWh64x55cilJWBGqzdPi80VFrzfF33t" TargetMode="External"/><Relationship Id="rId1461" Type="http://schemas.openxmlformats.org/officeDocument/2006/relationships/hyperlink" Target="https://docs.google.com/forms/d/e/1FAIpQLSeEYwFnViiqk1AbexVe1VDR73UApmeuvfn6Yr2vN8WXjwGu2Q/viewform?edit2=2_ABaOnufLJ-vuVG23s_QIvYrVyopLkONnCaSQghDtK0kBO3-ZML2ZK23P8i19DcPZpyRivuY&amp;source=documentstudio&amp;timestamp=1737447714731" TargetMode="External"/><Relationship Id="rId2305" Type="http://schemas.openxmlformats.org/officeDocument/2006/relationships/hyperlink" Target="https://docs.google.com/forms/d/e/1FAIpQLSeEYwFnViiqk1AbexVe1VDR73UApmeuvfn6Yr2vN8WXjwGu2Q/viewform?edit2=2_ABaOnue4nc_ZOrPbg48DgGP-DRLRu3qawR30esVlv-M0NUeaWr5COzQsjRYyQiKcSz_2rm0&amp;source=documentstudio&amp;timestamp=1760320617454" TargetMode="External"/><Relationship Id="rId2512" Type="http://schemas.openxmlformats.org/officeDocument/2006/relationships/hyperlink" Target="https://drive.google.com/open?id=1mZ3wtU4LGK6m4mr8JomLJMhsP0j0t6yn" TargetMode="External"/><Relationship Id="rId1114" Type="http://schemas.openxmlformats.org/officeDocument/2006/relationships/hyperlink" Target="https://drive.google.com/open?id=1c1kp6b1ADPvyw15xfelozcpwyfVWIuli" TargetMode="External"/><Relationship Id="rId1321" Type="http://schemas.openxmlformats.org/officeDocument/2006/relationships/hyperlink" Target="https://docs.google.com/forms/d/e/1FAIpQLSeEYwFnViiqk1AbexVe1VDR73UApmeuvfn6Yr2vN8WXjwGu2Q/viewform?edit2=2_ABaOnucvpM75MnkBKZxTu2ZHvfaLTvv83dz9AaNTX0Cb0RLk2fzklo05s3iIgTZRgvIupdc&amp;source=documentstudio&amp;timestamp=1735891487592" TargetMode="External"/><Relationship Id="rId2095" Type="http://schemas.openxmlformats.org/officeDocument/2006/relationships/hyperlink" Target="https://docs.google.com/forms/d/e/1FAIpQLSeEYwFnViiqk1AbexVe1VDR73UApmeuvfn6Yr2vN8WXjwGu2Q/viewform?edit2=2_ABaOnueDJDdS92x4W2Yn5eJoKL_1qSNgFEaLSRlIODbxQo0DlCaZBv4XgaT5ea5X7BOzosI&amp;source=documentstudio&amp;timestamp=1748917174087" TargetMode="External"/><Relationship Id="rId274" Type="http://schemas.openxmlformats.org/officeDocument/2006/relationships/hyperlink" Target="https://drive.google.com/open?id=1oax05wsk7I_QUO5vWmtCgpPEdaIsKpWM" TargetMode="External"/><Relationship Id="rId481" Type="http://schemas.openxmlformats.org/officeDocument/2006/relationships/hyperlink" Target="https://drive.google.com/open?id=1eBrec2KZ6N1qupVvni_os5W1jeFpnahm" TargetMode="External"/><Relationship Id="rId2162" Type="http://schemas.openxmlformats.org/officeDocument/2006/relationships/hyperlink" Target="https://drive.google.com/open?id=1WNi3NASbfKxDlJp4O0RQFJS8CBIY3gBS" TargetMode="External"/><Relationship Id="rId134" Type="http://schemas.openxmlformats.org/officeDocument/2006/relationships/hyperlink" Target="https://drive.google.com/open?id=1_zstiFmLusGXsLJmSANxHhMxapzKvhQ9" TargetMode="External"/><Relationship Id="rId341" Type="http://schemas.openxmlformats.org/officeDocument/2006/relationships/hyperlink" Target="https://drive.google.com/open?id=1BGONNKz0ixA0NwlaTDoefDUFeOpsbCyN" TargetMode="External"/><Relationship Id="rId2022" Type="http://schemas.openxmlformats.org/officeDocument/2006/relationships/hyperlink" Target="https://drive.google.com/open?id=1AQ-yFp6IYyuUFRs1pkifTtn8W6hxLOG9" TargetMode="External"/><Relationship Id="rId201" Type="http://schemas.openxmlformats.org/officeDocument/2006/relationships/hyperlink" Target="https://drive.google.com/open?id=1dCKRU4BrlOLsHBynGFraT_ayanpNr_jO" TargetMode="External"/><Relationship Id="rId1788" Type="http://schemas.openxmlformats.org/officeDocument/2006/relationships/hyperlink" Target="https://docs.google.com/forms/d/e/1FAIpQLSeEYwFnViiqk1AbexVe1VDR73UApmeuvfn6Yr2vN8WXjwGu2Q/viewform?edit2=2_ABaOnudmtv0MXw9Qtzj5lugH5rpTdxfkoqhxjbfOnYq005ijRsshnAfEBwVeje9YDqagxYo&amp;source=documentstudio&amp;timestamp=1741576361455" TargetMode="External"/><Relationship Id="rId1995" Type="http://schemas.openxmlformats.org/officeDocument/2006/relationships/hyperlink" Target="https://docs.google.com/forms/d/e/1FAIpQLSeEYwFnViiqk1AbexVe1VDR73UApmeuvfn6Yr2vN8WXjwGu2Q/viewform?edit2=2_ABaOnucM1HK0nJV7mii8jX_WAGc-0MMhn5LkQHJS99iQYrLXi9laQSosHjF3Pow9hINtIpg&amp;source=documentstudio&amp;timestamp=1748831071080" TargetMode="External"/><Relationship Id="rId2839" Type="http://schemas.openxmlformats.org/officeDocument/2006/relationships/hyperlink" Target="https://docs.google.com/forms/d/e/1FAIpQLSeEYwFnViiqk1AbexVe1VDR73UApmeuvfn6Yr2vN8WXjwGu2Q/viewform?edit2=2_ABaOnuenfCDJ-8AuTpP1B1wqpwMKIVgUHD20dwfVeQL7955lUUXCU6uUJKiqW7tdrcxnZPI&amp;source=documentstudio&amp;timestamp=1769402660244" TargetMode="External"/><Relationship Id="rId1648" Type="http://schemas.openxmlformats.org/officeDocument/2006/relationships/hyperlink" Target="https://drive.google.com/open?id=17AcT9vu2muzgp7po6ar_jCpVq4idFdWh" TargetMode="External"/><Relationship Id="rId1508" Type="http://schemas.openxmlformats.org/officeDocument/2006/relationships/hyperlink" Target="https://drive.google.com/open?id=1-69SpU_SZ0N9bh24leZpGBqWIE4ifLfL" TargetMode="External"/><Relationship Id="rId1855" Type="http://schemas.openxmlformats.org/officeDocument/2006/relationships/hyperlink" Target="https://drive.google.com/open?id=1KcxNnt1w83VQugobkdgua0LyvZrJHPX6" TargetMode="External"/><Relationship Id="rId2906" Type="http://schemas.openxmlformats.org/officeDocument/2006/relationships/hyperlink" Target="https://docs.google.com/forms/d/e/1FAIpQLSeEYwFnViiqk1AbexVe1VDR73UApmeuvfn6Yr2vN8WXjwGu2Q/viewform?edit2=2_ABaOnuc2SdZLiM3_KwGb3t8cYyL1KBMc8aw6XmcJSZAOGyoIYEWsbptpcoOBCmkzbPqZMRc&amp;source=documentstudio&amp;timestamp=1769501700858" TargetMode="External"/><Relationship Id="rId1715" Type="http://schemas.openxmlformats.org/officeDocument/2006/relationships/hyperlink" Target="https://docs.google.com/forms/d/e/1FAIpQLSeEYwFnViiqk1AbexVe1VDR73UApmeuvfn6Yr2vN8WXjwGu2Q/viewform?edit2=2_ABaOnueIsb5umpw7a3rUMT3FGJZXxaKdhe4bb-9C3zJcHvEel-DtSU-RR6BdjAaKAZFDNCg&amp;source=documentstudio&amp;timestamp=1741340510490" TargetMode="External"/><Relationship Id="rId1922" Type="http://schemas.openxmlformats.org/officeDocument/2006/relationships/hyperlink" Target="https://docs.google.com/forms/d/e/1FAIpQLSeEYwFnViiqk1AbexVe1VDR73UApmeuvfn6Yr2vN8WXjwGu2Q/viewform?edit2=2_ABaOnucFKuPTM43iSV6gyoD3g_NkKrHVf4nyn6E1ApFO5NKLT6NDE40Q_Xdy7yihn5TiEf4&amp;source=documentstudio&amp;timestamp=1745481455373" TargetMode="External"/><Relationship Id="rId2489" Type="http://schemas.openxmlformats.org/officeDocument/2006/relationships/hyperlink" Target="https://docs.google.com/forms/d/e/1FAIpQLSeEYwFnViiqk1AbexVe1VDR73UApmeuvfn6Yr2vN8WXjwGu2Q/viewform?edit2=2_ABaOnuei_GcwuCEvAdZoX1g3cXRYHNfDA6kiwNO8cyTx73HpVWh3OFow3dm6R4eWTsLWwcM&amp;source=documentstudio&amp;timestamp=1768443199969" TargetMode="External"/><Relationship Id="rId2696" Type="http://schemas.openxmlformats.org/officeDocument/2006/relationships/hyperlink" Target="https://drive.google.com/open?id=11sPO2tRk2ahPf3vyvRgHiUKgC4Vt1rZ6" TargetMode="External"/><Relationship Id="rId668" Type="http://schemas.openxmlformats.org/officeDocument/2006/relationships/hyperlink" Target="https://drive.google.com/open?id=1xGFJQGWIbfTNaoEqCDj4TEUqgO-QyHaz" TargetMode="External"/><Relationship Id="rId875" Type="http://schemas.openxmlformats.org/officeDocument/2006/relationships/hyperlink" Target="https://docs.google.com/forms/d/e/1FAIpQLSeEYwFnViiqk1AbexVe1VDR73UApmeuvfn6Yr2vN8WXjwGu2Q/viewform?edit2=2_ABaOnudJrioWvZP3zHk4lhyOv-JgI8prmDGwCjmnbjjq9W4v5IOhLr9Q9cGFPES6J0gzhXk&amp;source=documentstudio&amp;timestamp=1720489151129" TargetMode="External"/><Relationship Id="rId1298" Type="http://schemas.openxmlformats.org/officeDocument/2006/relationships/hyperlink" Target="https://drive.google.com/open?id=1SxlPszxTeKUa9QD6and48K6fKEXP6NRR" TargetMode="External"/><Relationship Id="rId2349" Type="http://schemas.openxmlformats.org/officeDocument/2006/relationships/hyperlink" Target="https://docs.google.com/forms/d/e/1FAIpQLSeEYwFnViiqk1AbexVe1VDR73UApmeuvfn6Yr2vN8WXjwGu2Q/viewform?edit2=2_ABaOnudeYPwHV4YHjZO8l8OfpjTms0C9N96Z76p39R3kYIeAzZWxBYiE2Sop5GlhgAbqUCk&amp;source=documentstudio&amp;timestamp=1768362767535" TargetMode="External"/><Relationship Id="rId2556" Type="http://schemas.openxmlformats.org/officeDocument/2006/relationships/hyperlink" Target="https://drive.google.com/open?id=1d66eb09Auctg5ZIpk5guoUpvYELzV1iD" TargetMode="External"/><Relationship Id="rId2763" Type="http://schemas.openxmlformats.org/officeDocument/2006/relationships/hyperlink" Target="https://docs.google.com/forms/d/e/1FAIpQLSeEYwFnViiqk1AbexVe1VDR73UApmeuvfn6Yr2vN8WXjwGu2Q/viewform?edit2=2_ABaOnueXGlGkskQUSsGYZNr7miJLTrEhgd9zk9rWWxwc5AEX3-7PbJ9vnHhseH2UwnVai6w&amp;source=documentstudio&amp;timestamp=1768885962779" TargetMode="External"/><Relationship Id="rId528" Type="http://schemas.openxmlformats.org/officeDocument/2006/relationships/hyperlink" Target="https://drive.google.com/open?id=19vgNsCLNLQ-INOWXPOy7HlcmPk0R-H_Z" TargetMode="External"/><Relationship Id="rId735" Type="http://schemas.openxmlformats.org/officeDocument/2006/relationships/hyperlink" Target="https://docs.google.com/forms/d/e/1FAIpQLSeEYwFnViiqk1AbexVe1VDR73UApmeuvfn6Yr2vN8WXjwGu2Q/viewform?edit2=2_ABaOnuf0SRUWu00e3LO7qBmDK3bazSji_0fLyfUwESnRq_A_-u3546fyaoBMyMppnM26OW4&amp;source=documentstudio&amp;timestamp=1717995267726" TargetMode="External"/><Relationship Id="rId942" Type="http://schemas.openxmlformats.org/officeDocument/2006/relationships/hyperlink" Target="https://drive.google.com/open?id=108a5ygKXQ8xt3Nki0xdavBYok83izdI1" TargetMode="External"/><Relationship Id="rId1158" Type="http://schemas.openxmlformats.org/officeDocument/2006/relationships/hyperlink" Target="https://drive.google.com/open?id=16SKbNis59FDbrVb4PA7fFDGKIeUdfrhb" TargetMode="External"/><Relationship Id="rId1365" Type="http://schemas.openxmlformats.org/officeDocument/2006/relationships/hyperlink" Target="https://docs.google.com/forms/d/e/1FAIpQLSeEYwFnViiqk1AbexVe1VDR73UApmeuvfn6Yr2vN8WXjwGu2Q/viewform?edit2=2_ABaOnufr7yr_IQmsuluPjhJW0cFHpa_Ww7k5pHxlfONLvnyOFSl6Kv8WuSBg2FJuGIgAapg&amp;source=documentstudio&amp;timestamp=1736232176073" TargetMode="External"/><Relationship Id="rId1572" Type="http://schemas.openxmlformats.org/officeDocument/2006/relationships/hyperlink" Target="https://drive.google.com/open?id=1juHfWTgufmNkJx8zEjhbR-mZfOwJMdMh" TargetMode="External"/><Relationship Id="rId2209" Type="http://schemas.openxmlformats.org/officeDocument/2006/relationships/hyperlink" Target="https://docs.google.com/forms/d/e/1FAIpQLSeEYwFnViiqk1AbexVe1VDR73UApmeuvfn6Yr2vN8WXjwGu2Q/viewform?edit2=2_ABaOnuddbdd5x-KF3w-xuJXrzsYL_VaqIpT-GKsasK5Z6d6tNZI7FH5251FZ6jRMT5CqHM4&amp;source=documentstudio&amp;timestamp=1751337344257" TargetMode="External"/><Relationship Id="rId2416" Type="http://schemas.openxmlformats.org/officeDocument/2006/relationships/hyperlink" Target="https://drive.google.com/open?id=1k_xR8b-BC6KzZI14MRSRlQ167T9qTqj1" TargetMode="External"/><Relationship Id="rId2623" Type="http://schemas.openxmlformats.org/officeDocument/2006/relationships/hyperlink" Target="https://docs.google.com/forms/d/e/1FAIpQLSeEYwFnViiqk1AbexVe1VDR73UApmeuvfn6Yr2vN8WXjwGu2Q/viewform?edit2=2_ABaOnuf_ZSUMzMQnzYSrSAlJUNMUmNxgca9fj8RFXY8-qsLwY05eFCSrm470at69bL8F1_M&amp;source=documentstudio&amp;timestamp=1768467198746" TargetMode="External"/><Relationship Id="rId1018" Type="http://schemas.openxmlformats.org/officeDocument/2006/relationships/hyperlink" Target="https://drive.google.com/open?id=118hTgoMiadIOlo-18IpF1inZzN0rekj5" TargetMode="External"/><Relationship Id="rId1225" Type="http://schemas.openxmlformats.org/officeDocument/2006/relationships/hyperlink" Target="https://docs.google.com/forms/d/e/1FAIpQLSeEYwFnViiqk1AbexVe1VDR73UApmeuvfn6Yr2vN8WXjwGu2Q/viewform?edit2=2_ABaOnucrP5L9ZwWSMpKeW_75G2mohh87cIVeeAkqh3Sf8xuW95FaR-C6Vbd2Hn2tASle0XU&amp;source=documentstudio&amp;timestamp=1731568383557" TargetMode="External"/><Relationship Id="rId1432" Type="http://schemas.openxmlformats.org/officeDocument/2006/relationships/hyperlink" Target="https://drive.google.com/open?id=1lQt4Ys25HQcJAJy_71joTCGbPAyH5ePc" TargetMode="External"/><Relationship Id="rId2830" Type="http://schemas.openxmlformats.org/officeDocument/2006/relationships/hyperlink" Target="https://drive.google.com/open?id=1lKdUy30_AxjebH8uiYd-NnX8VBAd3ruX" TargetMode="External"/><Relationship Id="rId71" Type="http://schemas.openxmlformats.org/officeDocument/2006/relationships/hyperlink" Target="https://drive.google.com/open?id=1Gkp39aI56X4acSDLXWytuwXhS5rQrPDN" TargetMode="External"/><Relationship Id="rId802" Type="http://schemas.openxmlformats.org/officeDocument/2006/relationships/hyperlink" Target="https://drive.google.com/open?id=1W4Dt1IXzDJlh4l44-j_DkQ7jaf3vYaxK" TargetMode="External"/><Relationship Id="rId178" Type="http://schemas.openxmlformats.org/officeDocument/2006/relationships/hyperlink" Target="https://drive.google.com/open?id=1wj-eGRvMl7bN5SzV9qPntAFOp6BbFDlX" TargetMode="External"/><Relationship Id="rId385" Type="http://schemas.openxmlformats.org/officeDocument/2006/relationships/hyperlink" Target="https://drive.google.com/open?id=1Le3OoYmvvLXARQ5Se2PAV64dBbbLrgCA" TargetMode="External"/><Relationship Id="rId592" Type="http://schemas.openxmlformats.org/officeDocument/2006/relationships/hyperlink" Target="https://drive.google.com/open?id=1BS5p8-lHfQOM__rl1IcLf428e4Aepziv" TargetMode="External"/><Relationship Id="rId2066" Type="http://schemas.openxmlformats.org/officeDocument/2006/relationships/hyperlink" Target="https://drive.google.com/open?id=1DCMaMcokUkHuvRjg-av_9Om-86GGHu4W" TargetMode="External"/><Relationship Id="rId2273" Type="http://schemas.openxmlformats.org/officeDocument/2006/relationships/hyperlink" Target="https://docs.google.com/forms/d/e/1FAIpQLSeEYwFnViiqk1AbexVe1VDR73UApmeuvfn6Yr2vN8WXjwGu2Q/viewform?edit2=2_ABaOnuegD9UYApSJkHI8SdkV_Rev4ae6c4N6AoVu5QQ6Vip_or4NcdGog7PbgMsmlGoZUSI&amp;source=documentstudio&amp;timestamp=1757401861530" TargetMode="External"/><Relationship Id="rId2480" Type="http://schemas.openxmlformats.org/officeDocument/2006/relationships/hyperlink" Target="https://drive.google.com/open?id=1GKAFJuqKSCP2A4Xm0GxBliS-QYk6jaeA" TargetMode="External"/><Relationship Id="rId245" Type="http://schemas.openxmlformats.org/officeDocument/2006/relationships/hyperlink" Target="https://drive.google.com/open?id=1tlL8FlNqq6Rs6xVdcgsaHfIz4gbsPErH" TargetMode="External"/><Relationship Id="rId452" Type="http://schemas.openxmlformats.org/officeDocument/2006/relationships/hyperlink" Target="https://drive.google.com/open?id=1ev581HD0YqMm0JXFLuuHpB6QyiufjCDG" TargetMode="External"/><Relationship Id="rId1082" Type="http://schemas.openxmlformats.org/officeDocument/2006/relationships/hyperlink" Target="https://drive.google.com/open?id=19N9NOs_KJH4syOcd4z-YDI3_us5EsKcm" TargetMode="External"/><Relationship Id="rId2133" Type="http://schemas.openxmlformats.org/officeDocument/2006/relationships/hyperlink" Target="https://docs.google.com/forms/d/e/1FAIpQLSeEYwFnViiqk1AbexVe1VDR73UApmeuvfn6Yr2vN8WXjwGu2Q/viewform?edit2=2_ABaOnueLqIvaTVRRDvwGA29m0NJShy95-jfKGyP5hmzy0LJKx46KhYFKXbeot--oPiVwBXc&amp;source=documentstudio&amp;timestamp=1748920890234" TargetMode="External"/><Relationship Id="rId2340" Type="http://schemas.openxmlformats.org/officeDocument/2006/relationships/hyperlink" Target="https://drive.google.com/open?id=1vJN-1Hyev2dht3ROkYs-MXTNzOXhUZnq" TargetMode="External"/><Relationship Id="rId105" Type="http://schemas.openxmlformats.org/officeDocument/2006/relationships/hyperlink" Target="https://drive.google.com/open?id=1Nsm7hIIRJN-9-XwiNfrbnSo5RAnF-zvZ" TargetMode="External"/><Relationship Id="rId312" Type="http://schemas.openxmlformats.org/officeDocument/2006/relationships/hyperlink" Target="https://drive.google.com/open?id=1g1xD8bjDjJ8oQmYuUFJ61xffPjwxG1fL" TargetMode="External"/><Relationship Id="rId2200" Type="http://schemas.openxmlformats.org/officeDocument/2006/relationships/hyperlink" Target="https://drive.google.com/open?id=1XIWYR0LkgOWhQJbb3JsBNCyHW4p02ahK" TargetMode="External"/><Relationship Id="rId1899" Type="http://schemas.openxmlformats.org/officeDocument/2006/relationships/hyperlink" Target="https://drive.google.com/open?id=1hAtdW5EHE23lXYvD4Ut3vV4GRNgBTXit" TargetMode="External"/><Relationship Id="rId1759" Type="http://schemas.openxmlformats.org/officeDocument/2006/relationships/hyperlink" Target="https://drive.google.com/open?id=1MmAzz5YKuElLBKuNR2c0GJEgEBV27Gvi" TargetMode="External"/><Relationship Id="rId1966" Type="http://schemas.openxmlformats.org/officeDocument/2006/relationships/hyperlink" Target="https://docs.google.com/forms/d/e/1FAIpQLSeEYwFnViiqk1AbexVe1VDR73UApmeuvfn6Yr2vN8WXjwGu2Q/viewform?edit2=2_ABaOnudefyZJhY4SsgMSG3HiVU4IuRCoQl-PASE0b0CNMZ8IJe6kKy4n6uQ593rPNwqlZCU&amp;source=documentstudio&amp;timestamp=1747310564209" TargetMode="External"/><Relationship Id="rId1619" Type="http://schemas.openxmlformats.org/officeDocument/2006/relationships/hyperlink" Target="https://docs.google.com/forms/d/e/1FAIpQLSeEYwFnViiqk1AbexVe1VDR73UApmeuvfn6Yr2vN8WXjwGu2Q/viewform?edit2=2_ABaOnuduF4LyPzjdy_eEn6K0XtveT737kDK1dV7zWlA-5joyhctADOn6EHwnprzweJXInuo&amp;source=documentstudio&amp;timestamp=1741331622370" TargetMode="External"/><Relationship Id="rId1826" Type="http://schemas.openxmlformats.org/officeDocument/2006/relationships/hyperlink" Target="https://docs.google.com/forms/d/e/1FAIpQLSeEYwFnViiqk1AbexVe1VDR73UApmeuvfn6Yr2vN8WXjwGu2Q/viewform?edit2=2_ABaOnufw_yZOEmzVTh1oE-ginE7d2_1R4EhN4ZZxF-POvg35hXrEkpkrZanQa7N35Q9sGw0&amp;source=documentstudio&amp;timestamp=1741847732831" TargetMode="External"/><Relationship Id="rId779" Type="http://schemas.openxmlformats.org/officeDocument/2006/relationships/hyperlink" Target="https://docs.google.com/forms/d/e/1FAIpQLSeEYwFnViiqk1AbexVe1VDR73UApmeuvfn6Yr2vN8WXjwGu2Q/viewform?edit2=2_ABaOnudQRucfOYAPxGtFEyxrCSJX0DGP1FbAeTOU1fbvThtkSBUvA_09xXNVbVVrhDzJAio&amp;source=documentstudio&amp;timestamp=1718176964432" TargetMode="External"/><Relationship Id="rId986" Type="http://schemas.openxmlformats.org/officeDocument/2006/relationships/hyperlink" Target="https://drive.google.com/open?id=1YaFS7WFCrP6u4nlaVsQB4Zjpl4IpP7VA" TargetMode="External"/><Relationship Id="rId2667" Type="http://schemas.openxmlformats.org/officeDocument/2006/relationships/hyperlink" Target="https://docs.google.com/forms/d/e/1FAIpQLSeEYwFnViiqk1AbexVe1VDR73UApmeuvfn6Yr2vN8WXjwGu2Q/viewform?edit2=2_ABaOnuetP4Hh-DLK1LJ2hlVi5l1IYCwgL3PF-G2xWnCgqvursLB6afBdhJcPnrvnytVrn8w&amp;source=documentstudio&amp;timestamp=1768789716787" TargetMode="External"/><Relationship Id="rId639" Type="http://schemas.openxmlformats.org/officeDocument/2006/relationships/hyperlink" Target="https://docs.google.com/forms/d/e/1FAIpQLSeEYwFnViiqk1AbexVe1VDR73UApmeuvfn6Yr2vN8WXjwGu2Q/viewform?edit2=2_ABaOnucpDLRdrWTbW8pPymljzodROI7ZX8aK74SkfkwvTQSL98dWIxUpBTXgdldPb8a2DnY&amp;source=documentstudio&amp;timestamp=1717384161142" TargetMode="External"/><Relationship Id="rId1269" Type="http://schemas.openxmlformats.org/officeDocument/2006/relationships/hyperlink" Target="https://docs.google.com/forms/d/e/1FAIpQLSeEYwFnViiqk1AbexVe1VDR73UApmeuvfn6Yr2vN8WXjwGu2Q/viewform?edit2=2_ABaOnucLluXPgBY18R-FRV3jEA1a5J6xoE5t1LOsjPpbcNxtk6WW9vQwcmI102GqLmu8gOE&amp;source=documentstudio&amp;timestamp=1733468899700" TargetMode="External"/><Relationship Id="rId1476" Type="http://schemas.openxmlformats.org/officeDocument/2006/relationships/hyperlink" Target="https://drive.google.com/open?id=1_YhQv6h3NqCtqbX38DkH_7bi49YLZMJN" TargetMode="External"/><Relationship Id="rId2874" Type="http://schemas.openxmlformats.org/officeDocument/2006/relationships/hyperlink" Target="https://drive.google.com/open?id=1fH_qQr-GU56hyCSmQmOUUSG-ipC2E1mW" TargetMode="External"/><Relationship Id="rId846" Type="http://schemas.openxmlformats.org/officeDocument/2006/relationships/hyperlink" Target="https://drive.google.com/open?id=1UAjSvEhMwDxgpbAS_JGqGqfMB_wInMul" TargetMode="External"/><Relationship Id="rId1129" Type="http://schemas.openxmlformats.org/officeDocument/2006/relationships/hyperlink" Target="https://docs.google.com/forms/d/e/1FAIpQLSeEYwFnViiqk1AbexVe1VDR73UApmeuvfn6Yr2vN8WXjwGu2Q/viewform?edit2=2_ABaOnufccQ3xyxQdAJm-1W8NFa0eF45SzRJZstK8E6SEu6qsqPt4gHjf9fwcLSMAWfv9s4U&amp;source=documentstudio&amp;timestamp=1727915198735" TargetMode="External"/><Relationship Id="rId1683" Type="http://schemas.openxmlformats.org/officeDocument/2006/relationships/hyperlink" Target="https://docs.google.com/forms/d/e/1FAIpQLSeEYwFnViiqk1AbexVe1VDR73UApmeuvfn6Yr2vN8WXjwGu2Q/viewform?edit2=2_ABaOnudYO9Za0HlIsouo4q63IVzb773zbskLIEczO5d5WyIcBlA6FkECVQ_Um_wVbL0AviY&amp;source=documentstudio&amp;timestamp=1741334696815" TargetMode="External"/><Relationship Id="rId1890" Type="http://schemas.openxmlformats.org/officeDocument/2006/relationships/hyperlink" Target="https://docs.google.com/forms/d/e/1FAIpQLSeEYwFnViiqk1AbexVe1VDR73UApmeuvfn6Yr2vN8WXjwGu2Q/viewform?edit2=2_ABaOnucQpEfo1euBUiM6FnXj4uPixexj123VjSzXPLCCK2K8ECLxkwGaWhcpMpsJfPqUn28&amp;source=documentstudio&amp;timestamp=1744861927166" TargetMode="External"/><Relationship Id="rId2527" Type="http://schemas.openxmlformats.org/officeDocument/2006/relationships/hyperlink" Target="https://docs.google.com/forms/d/e/1FAIpQLSeEYwFnViiqk1AbexVe1VDR73UApmeuvfn6Yr2vN8WXjwGu2Q/viewform?edit2=2_ABaOnufbx7ns-aONdZOUnJI1pD63yk8xEu8X5U8SFfVW44viZHX1wEWtG58r1fuci1AWJsE&amp;source=documentstudio&amp;timestamp=1768444594854" TargetMode="External"/><Relationship Id="rId2734" Type="http://schemas.openxmlformats.org/officeDocument/2006/relationships/hyperlink" Target="https://drive.google.com/open?id=1sAnwAyKRaX1rQKsvGFj1h5IZ0rSn-Xdj" TargetMode="External"/><Relationship Id="rId2941" Type="http://schemas.openxmlformats.org/officeDocument/2006/relationships/hyperlink" Target="https://drive.google.com/open?id=1hsY_seZesBKYdcsmgVsUVHBYwCJURrTQ" TargetMode="External"/><Relationship Id="rId706" Type="http://schemas.openxmlformats.org/officeDocument/2006/relationships/hyperlink" Target="https://drive.google.com/open?id=1WzD1GcUlFZsd8bn4Zo7Z_fpeSnSTnK2b" TargetMode="External"/><Relationship Id="rId913" Type="http://schemas.openxmlformats.org/officeDocument/2006/relationships/hyperlink" Target="https://docs.google.com/forms/d/e/1FAIpQLSeEYwFnViiqk1AbexVe1VDR73UApmeuvfn6Yr2vN8WXjwGu2Q/viewform?edit2=2_ABaOnudz2hrqjGuJY8RCt2swkIGvAYMjkx28Z2fnnETvD50XlYXtZx_cbvhz-QZPWxaen18&amp;source=documentstudio&amp;timestamp=1721619779510" TargetMode="External"/><Relationship Id="rId1336" Type="http://schemas.openxmlformats.org/officeDocument/2006/relationships/hyperlink" Target="https://drive.google.com/open?id=1obPkElMRlBavN1yhZ5cLP9mRiFHilfPJ" TargetMode="External"/><Relationship Id="rId1543" Type="http://schemas.openxmlformats.org/officeDocument/2006/relationships/hyperlink" Target="https://docs.google.com/forms/d/e/1FAIpQLSeEYwFnViiqk1AbexVe1VDR73UApmeuvfn6Yr2vN8WXjwGu2Q/viewform?edit2=2_ABaOnufHvS3Soi-qU2MHaod4otTJCtQnTfoEGiVm1_go1rX0I3DfSvHccVIrWwNtZJQfOyE&amp;source=documentstudio&amp;timestamp=1739328784605" TargetMode="External"/><Relationship Id="rId1750" Type="http://schemas.openxmlformats.org/officeDocument/2006/relationships/hyperlink" Target="https://docs.google.com/forms/d/e/1FAIpQLSeEYwFnViiqk1AbexVe1VDR73UApmeuvfn6Yr2vN8WXjwGu2Q/viewform?edit2=2_ABaOnudsYUDNiTIznThNylhduQF31pV9GAbCboA2XhU9H7W-oLuc51S2MwFHwOXN0r7J67k&amp;source=documentstudio&amp;timestamp=1741568093808" TargetMode="External"/><Relationship Id="rId2801" Type="http://schemas.openxmlformats.org/officeDocument/2006/relationships/hyperlink" Target="https://docs.google.com/forms/d/e/1FAIpQLSeEYwFnViiqk1AbexVe1VDR73UApmeuvfn6Yr2vN8WXjwGu2Q/viewform?edit2=2_ABaOnuePebPW5395nm1hnwHbTO1c19Om5V7RZuCEpojlCr0eFaF1yS4BCQoVDh8fC0zz7j4&amp;source=documentstudio&amp;timestamp=1769392580901" TargetMode="External"/><Relationship Id="rId42" Type="http://schemas.openxmlformats.org/officeDocument/2006/relationships/hyperlink" Target="https://drive.google.com/open?id=1rwS9pWctDNEGS2GTe17ypcFDevEkQvj7" TargetMode="External"/><Relationship Id="rId1403" Type="http://schemas.openxmlformats.org/officeDocument/2006/relationships/hyperlink" Target="https://docs.google.com/forms/d/e/1FAIpQLSeEYwFnViiqk1AbexVe1VDR73UApmeuvfn6Yr2vN8WXjwGu2Q/viewform?edit2=2_ABaOnuexzcNvEXABQu4kYTrlwkNwt8UuzqcTihE0k27LOTMlrQsZT0nk47IGBQYwG4t-EKM&amp;source=documentstudio&amp;timestamp=1737335911695" TargetMode="External"/><Relationship Id="rId1610" Type="http://schemas.openxmlformats.org/officeDocument/2006/relationships/hyperlink" Target="https://drive.google.com/open?id=1IhXuW64hLRPU1-z8KL49yQmga_mY3scK" TargetMode="External"/><Relationship Id="rId289" Type="http://schemas.openxmlformats.org/officeDocument/2006/relationships/hyperlink" Target="https://drive.google.com/open?id=1wspbtQTK6aZ2tQzd34plKHyseOXCp9lD" TargetMode="External"/><Relationship Id="rId496" Type="http://schemas.openxmlformats.org/officeDocument/2006/relationships/hyperlink" Target="https://drive.google.com/open?id=19HHWp-zwNxnl4Z1DwYKhJFTOfx5ZAmMh" TargetMode="External"/><Relationship Id="rId2177" Type="http://schemas.openxmlformats.org/officeDocument/2006/relationships/hyperlink" Target="https://docs.google.com/forms/d/e/1FAIpQLSeEYwFnViiqk1AbexVe1VDR73UApmeuvfn6Yr2vN8WXjwGu2Q/viewform?edit2=2_ABaOnudp1Y8wvj6Lqnrjj6Kq0nvycB_l5SLflTVTEFrUDY3vkZVaY1vuk5hnvK8CgFAXQCU&amp;source=documentstudio&amp;timestamp=1750663726301" TargetMode="External"/><Relationship Id="rId2384" Type="http://schemas.openxmlformats.org/officeDocument/2006/relationships/hyperlink" Target="https://drive.google.com/open?id=1ItSEssViPqxun8vDROrP8ylghQ63rp0C" TargetMode="External"/><Relationship Id="rId2591" Type="http://schemas.openxmlformats.org/officeDocument/2006/relationships/hyperlink" Target="https://docs.google.com/forms/d/e/1FAIpQLSeEYwFnViiqk1AbexVe1VDR73UApmeuvfn6Yr2vN8WXjwGu2Q/viewform?edit2=2_ABaOnufcgYmwbSe-nw8vncncvWGB6JSK2yjPSytv_bO95cKJA71NupQU1U7L6VegsUhPpAA&amp;source=documentstudio&amp;timestamp=1768464361701" TargetMode="External"/><Relationship Id="rId149" Type="http://schemas.openxmlformats.org/officeDocument/2006/relationships/hyperlink" Target="https://drive.google.com/open?id=1NKheuGLQIZThsz7R0KtFz4fkp0g-cqgq" TargetMode="External"/><Relationship Id="rId356" Type="http://schemas.openxmlformats.org/officeDocument/2006/relationships/hyperlink" Target="https://drive.google.com/open?id=1YCgHAMKzKyCtOi6JQ5bwD2lZEsJc-iMB" TargetMode="External"/><Relationship Id="rId563" Type="http://schemas.openxmlformats.org/officeDocument/2006/relationships/hyperlink" Target="https://drive.google.com/open?id=1xjuHk-pWveplUZlT--jmaeE4stqMcSKW" TargetMode="External"/><Relationship Id="rId770" Type="http://schemas.openxmlformats.org/officeDocument/2006/relationships/hyperlink" Target="https://drive.google.com/open?id=1d8wvtcOBA1paXlq0cVxmO87w8xUmk1pf" TargetMode="External"/><Relationship Id="rId1193" Type="http://schemas.openxmlformats.org/officeDocument/2006/relationships/hyperlink" Target="https://docs.google.com/forms/d/e/1FAIpQLSeEYwFnViiqk1AbexVe1VDR73UApmeuvfn6Yr2vN8WXjwGu2Q/viewform?edit2=2_ABaOnueb4jjnqtyiHXh4dHtSUWMojlIsv-K3PVqXKFQJ3ECmJwi6ElwMfzf-cII2TLQy63Q&amp;source=documentstudio&amp;timestamp=1730942879302" TargetMode="External"/><Relationship Id="rId2037" Type="http://schemas.openxmlformats.org/officeDocument/2006/relationships/hyperlink" Target="https://docs.google.com/forms/d/e/1FAIpQLSeEYwFnViiqk1AbexVe1VDR73UApmeuvfn6Yr2vN8WXjwGu2Q/viewform?edit2=2_ABaOnufl2XrD3Mp-GSc2Jo8i17rFXoBzvcwaZcZr_ihFQZAXtH581SyNn3Ci9hnt0WmNJcQ&amp;source=documentstudio&amp;timestamp=1748832122694" TargetMode="External"/><Relationship Id="rId2244" Type="http://schemas.openxmlformats.org/officeDocument/2006/relationships/hyperlink" Target="https://drive.google.com/open?id=1x0oau37AYgeUzMxbKxAzjEc5wnEMrxr_" TargetMode="External"/><Relationship Id="rId2451" Type="http://schemas.openxmlformats.org/officeDocument/2006/relationships/hyperlink" Target="https://docs.google.com/forms/d/e/1FAIpQLSeEYwFnViiqk1AbexVe1VDR73UApmeuvfn6Yr2vN8WXjwGu2Q/viewform?edit2=2_ABaOnufSZ7OYXNtMkmlL4tSOGpiux84zZpSr4HYRkrOqtWL5hc3sEkekc0I6mpKr-G9KpHI&amp;source=documentstudio&amp;timestamp=1768441738239" TargetMode="External"/><Relationship Id="rId216" Type="http://schemas.openxmlformats.org/officeDocument/2006/relationships/hyperlink" Target="https://drive.google.com/open?id=1nkAhYdQik7q8i3O9IFBiEE7-Dp4gJDkv" TargetMode="External"/><Relationship Id="rId423" Type="http://schemas.openxmlformats.org/officeDocument/2006/relationships/hyperlink" Target="https://drive.google.com/open?id=1MEjrIvCLL4CVDRiEQNCL7A6tYplaW1cI" TargetMode="External"/><Relationship Id="rId1053" Type="http://schemas.openxmlformats.org/officeDocument/2006/relationships/hyperlink" Target="https://docs.google.com/forms/d/e/1FAIpQLSeEYwFnViiqk1AbexVe1VDR73UApmeuvfn6Yr2vN8WXjwGu2Q/viewform?edit2=2_ABaOnuefyKeIrEILyQh-6dNarCNVQ8yAQ7uz0jMW9gjNIims1Vqk8_Uqm0oykoX6If8coeo&amp;source=documentstudio&amp;timestamp=1725499579724" TargetMode="External"/><Relationship Id="rId1260" Type="http://schemas.openxmlformats.org/officeDocument/2006/relationships/hyperlink" Target="https://drive.google.com/open?id=1Vv-VoiTAGYK0XEvbGf-ik_ZRgLdWjjZh" TargetMode="External"/><Relationship Id="rId2104" Type="http://schemas.openxmlformats.org/officeDocument/2006/relationships/hyperlink" Target="https://drive.google.com/open?id=1z0ujZ8FLHrz7Eljoi-l1j2_38Fp88OrN" TargetMode="External"/><Relationship Id="rId630" Type="http://schemas.openxmlformats.org/officeDocument/2006/relationships/hyperlink" Target="https://drive.google.com/open?id=1MgjstW-3bytHUTbv5Wbuij2BNcnvAyfd" TargetMode="External"/><Relationship Id="rId2311" Type="http://schemas.openxmlformats.org/officeDocument/2006/relationships/hyperlink" Target="https://docs.google.com/forms/d/e/1FAIpQLSeEYwFnViiqk1AbexVe1VDR73UApmeuvfn6Yr2vN8WXjwGu2Q/viewform?edit2=2_ABaOnufwmGAME_tkg3PIzNWOqnSkBkoxl0_HOcSIHLTlv1R1ldXizkDVbRd9xzkaG14lLuc&amp;source=documentstudio&amp;timestamp=1760414678766" TargetMode="External"/><Relationship Id="rId1120" Type="http://schemas.openxmlformats.org/officeDocument/2006/relationships/hyperlink" Target="https://drive.google.com/open?id=1RctbM90Y5PW-vegK4AEMSVWK85rLPQtI" TargetMode="External"/><Relationship Id="rId1937" Type="http://schemas.openxmlformats.org/officeDocument/2006/relationships/hyperlink" Target="https://drive.google.com/open?id=1KonR83z2LbolaY5j5uGcqhcFm4wsXkuK" TargetMode="External"/><Relationship Id="rId280" Type="http://schemas.openxmlformats.org/officeDocument/2006/relationships/hyperlink" Target="https://drive.google.com/open?id=1Ss3XcWQVBmDavlbr-DWCGzAeQMpeSNNn" TargetMode="External"/><Relationship Id="rId140" Type="http://schemas.openxmlformats.org/officeDocument/2006/relationships/hyperlink" Target="https://drive.google.com/open?id=1kfz9U1nEkxakzCNaXqIBvqP18H5__J_T" TargetMode="External"/><Relationship Id="rId6" Type="http://schemas.openxmlformats.org/officeDocument/2006/relationships/hyperlink" Target="https://drive.google.com/open?id=1wcYRlM-gC9A2Aa6sHCf1D2gVy0WEquzv" TargetMode="External"/><Relationship Id="rId2778" Type="http://schemas.openxmlformats.org/officeDocument/2006/relationships/hyperlink" Target="https://drive.google.com/open?id=1KVWOCaT6WYVZnCovDOCBIBGVCRvql-UQ" TargetMode="External"/><Relationship Id="rId957" Type="http://schemas.openxmlformats.org/officeDocument/2006/relationships/hyperlink" Target="https://docs.google.com/forms/d/e/1FAIpQLSeEYwFnViiqk1AbexVe1VDR73UApmeuvfn6Yr2vN8WXjwGu2Q/viewform?edit2=2_ABaOnucFQDz5hn4voUtBfPuUzgqUGL2bH20vJaeea4x-GJYVyKHPx2_0ksjdJvmK0awpzzM&amp;source=documentstudio&amp;timestamp=1721632208044" TargetMode="External"/><Relationship Id="rId1587" Type="http://schemas.openxmlformats.org/officeDocument/2006/relationships/hyperlink" Target="https://docs.google.com/forms/d/e/1FAIpQLSeEYwFnViiqk1AbexVe1VDR73UApmeuvfn6Yr2vN8WXjwGu2Q/viewform?edit2=2_ABaOnufyDz4xhwcdj6JisC7S3YGgfTJMa-UYKY43PVn8JFVttOvO5yR6i38bfagLexl6ZwA&amp;source=documentstudio&amp;timestamp=1739329437626" TargetMode="External"/><Relationship Id="rId1794" Type="http://schemas.openxmlformats.org/officeDocument/2006/relationships/hyperlink" Target="https://docs.google.com/forms/d/e/1FAIpQLSeEYwFnViiqk1AbexVe1VDR73UApmeuvfn6Yr2vN8WXjwGu2Q/viewform?edit2=2_ABaOnucZE6rk_WC2Fp-UOd1DIVnrMlY8Z_5uMgZji4yb1ctn9Y9578OF9iIsQtmozA99LCw&amp;source=documentstudio&amp;timestamp=1741578225295" TargetMode="External"/><Relationship Id="rId2638" Type="http://schemas.openxmlformats.org/officeDocument/2006/relationships/hyperlink" Target="https://drive.google.com/open?id=1eNJLMSOAN_Wn4IgW-yrf2MVF1ry5yleM" TargetMode="External"/><Relationship Id="rId2845" Type="http://schemas.openxmlformats.org/officeDocument/2006/relationships/hyperlink" Target="https://docs.google.com/forms/d/e/1FAIpQLSeEYwFnViiqk1AbexVe1VDR73UApmeuvfn6Yr2vN8WXjwGu2Q/viewform?edit2=2_ABaOnucVHeWT6yihv5WOj8e3TeGkqiHjxEP_VhA79ymnuydJ3c6u1KPX9AlF5znPjIAPtzo&amp;source=documentstudio&amp;timestamp=1769413829053" TargetMode="External"/><Relationship Id="rId86" Type="http://schemas.openxmlformats.org/officeDocument/2006/relationships/hyperlink" Target="https://drive.google.com/open?id=1T4QWXfLToOMnXR04fs8DI7NuFO650spM" TargetMode="External"/><Relationship Id="rId817" Type="http://schemas.openxmlformats.org/officeDocument/2006/relationships/hyperlink" Target="https://docs.google.com/forms/d/e/1FAIpQLSeEYwFnViiqk1AbexVe1VDR73UApmeuvfn6Yr2vN8WXjwGu2Q/viewform?edit2=2_ABaOnucteVkzZU4mKfTJaiL6A5RZ4XxXt9qdlKT37MvzqhDebfiSgCra8_4X2zJcP7vlGI4&amp;source=documentstudio&amp;timestamp=1720412936246" TargetMode="External"/><Relationship Id="rId1447" Type="http://schemas.openxmlformats.org/officeDocument/2006/relationships/hyperlink" Target="https://docs.google.com/forms/d/e/1FAIpQLSeEYwFnViiqk1AbexVe1VDR73UApmeuvfn6Yr2vN8WXjwGu2Q/viewform?edit2=2_ABaOnufnla3IdzEtmnGXeSre6Ffi8pF-G9--BW_jv4AoIzshJZiOapI_M_OgxTXNqiuuvnc&amp;source=documentstudio&amp;timestamp=1737447029974" TargetMode="External"/><Relationship Id="rId1654" Type="http://schemas.openxmlformats.org/officeDocument/2006/relationships/hyperlink" Target="https://drive.google.com/open?id=1lYhMKKzVADw_T1WGnUFvc4g-E7_e09MG" TargetMode="External"/><Relationship Id="rId1861" Type="http://schemas.openxmlformats.org/officeDocument/2006/relationships/hyperlink" Target="https://drive.google.com/open?id=1Sn_VgyR_Y49wEZSZS9XGQEHAkQXMPXkb" TargetMode="External"/><Relationship Id="rId2705" Type="http://schemas.openxmlformats.org/officeDocument/2006/relationships/hyperlink" Target="https://docs.google.com/forms/d/e/1FAIpQLSeEYwFnViiqk1AbexVe1VDR73UApmeuvfn6Yr2vN8WXjwGu2Q/viewform?edit2=2_ABaOnuec-xk_kbYr3y3dA-QaTXVMzLH56MxH1N3zVcN3fWmkYyYRz1ZT9fallHUXxDa_zsY&amp;source=documentstudio&amp;timestamp=1768794534096" TargetMode="External"/><Relationship Id="rId2912" Type="http://schemas.openxmlformats.org/officeDocument/2006/relationships/hyperlink" Target="https://docs.google.com/forms/d/e/1FAIpQLSeEYwFnViiqk1AbexVe1VDR73UApmeuvfn6Yr2vN8WXjwGu2Q/viewform?edit2=2_ABaOnueolzstFPlu2MZQjPKMocytL0SycJR5xYO15JwxY_oux8EzwCu5KdwBAfOUrScDPWI&amp;source=documentstudio&amp;timestamp=1769587293372" TargetMode="External"/><Relationship Id="rId1307" Type="http://schemas.openxmlformats.org/officeDocument/2006/relationships/hyperlink" Target="https://docs.google.com/forms/d/e/1FAIpQLSeEYwFnViiqk1AbexVe1VDR73UApmeuvfn6Yr2vN8WXjwGu2Q/viewform?edit2=2_ABaOnudjn4y5kuJOPSYEbsJM4K7kMdQCtVWQJPkkqAzCMim7rjVDRLRj2nYg7koWw7twWc0&amp;source=documentstudio&amp;timestamp=1733792702433" TargetMode="External"/><Relationship Id="rId1514" Type="http://schemas.openxmlformats.org/officeDocument/2006/relationships/hyperlink" Target="https://drive.google.com/open?id=1Aax0ZxK8AOo2Xrf2tPg4O7dlxQ77HvXF" TargetMode="External"/><Relationship Id="rId1721" Type="http://schemas.openxmlformats.org/officeDocument/2006/relationships/hyperlink" Target="https://docs.google.com/forms/d/e/1FAIpQLSeEYwFnViiqk1AbexVe1VDR73UApmeuvfn6Yr2vN8WXjwGu2Q/viewform?edit2=2_ABaOnucFo-HuNYff2ebK5wlYlFDR7Bum2uFI-5m3xCmvfuGHwSaBpLOXfPG8rFP1AuKFVu8&amp;source=documentstudio&amp;timestamp=1741340666098" TargetMode="External"/><Relationship Id="rId13" Type="http://schemas.openxmlformats.org/officeDocument/2006/relationships/hyperlink" Target="https://drive.google.com/open?id=1PdhxHrRYb8wETMqkX6_ggrAVrWEQs05a" TargetMode="External"/><Relationship Id="rId2288" Type="http://schemas.openxmlformats.org/officeDocument/2006/relationships/hyperlink" Target="https://drive.google.com/open?id=1vQPInfyURf4O-AJRPmSMlqVxOjnEfjj8" TargetMode="External"/><Relationship Id="rId2495" Type="http://schemas.openxmlformats.org/officeDocument/2006/relationships/hyperlink" Target="https://docs.google.com/forms/d/e/1FAIpQLSeEYwFnViiqk1AbexVe1VDR73UApmeuvfn6Yr2vN8WXjwGu2Q/viewform?edit2=2_ABaOnud3POjvo_WpsDaDJGGlIS3fXipkFelu8KneSHau3s20N6Tg2keu4eY-WcTZrzkUlU4&amp;source=documentstudio&amp;timestamp=1768443250015" TargetMode="External"/><Relationship Id="rId467" Type="http://schemas.openxmlformats.org/officeDocument/2006/relationships/hyperlink" Target="https://drive.google.com/open?id=1UidZpl1wX6Pqgp_gUDPq7kG6gweDXT1_" TargetMode="External"/><Relationship Id="rId1097" Type="http://schemas.openxmlformats.org/officeDocument/2006/relationships/hyperlink" Target="https://docs.google.com/forms/d/e/1FAIpQLSeEYwFnViiqk1AbexVe1VDR73UApmeuvfn6Yr2vN8WXjwGu2Q/viewform?edit2=2_ABaOnucX5U7h_zENIEYhdXA-ZIWwwRbrnNTyOtIwYSITgRoj6oIwVyl8poA2hHhRzAJHE-M&amp;source=documentstudio&amp;timestamp=1726618741467" TargetMode="External"/><Relationship Id="rId2148" Type="http://schemas.openxmlformats.org/officeDocument/2006/relationships/hyperlink" Target="https://drive.google.com/open?id=1gzEIJMWZ1NeGk6ETKMF-lzcap0VdtQ1u" TargetMode="External"/><Relationship Id="rId674" Type="http://schemas.openxmlformats.org/officeDocument/2006/relationships/hyperlink" Target="https://drive.google.com/open?id=1D51qr_sSnMdmwTge_MkiM_qczauuaXox" TargetMode="External"/><Relationship Id="rId881" Type="http://schemas.openxmlformats.org/officeDocument/2006/relationships/hyperlink" Target="https://docs.google.com/forms/d/e/1FAIpQLSeEYwFnViiqk1AbexVe1VDR73UApmeuvfn6Yr2vN8WXjwGu2Q/viewform?edit2=2_ABaOnudDIC_QlMEQOPYYZqorMgERou90NqRN4sOU9VFwFh4TqUY44G1Vlk5nFingH4llFZI&amp;source=documentstudio&amp;timestamp=1720490217006" TargetMode="External"/><Relationship Id="rId2355" Type="http://schemas.openxmlformats.org/officeDocument/2006/relationships/hyperlink" Target="https://docs.google.com/forms/d/e/1FAIpQLSeEYwFnViiqk1AbexVe1VDR73UApmeuvfn6Yr2vN8WXjwGu2Q/viewform?edit2=2_ABaOnucxOBYD2EqhVhY-wdy6q-l943mivWKQw5AETVRnrNVUJvDdl1YMpeDIocqgjrfPyRo&amp;source=documentstudio&amp;timestamp=1768378361784" TargetMode="External"/><Relationship Id="rId2562" Type="http://schemas.openxmlformats.org/officeDocument/2006/relationships/hyperlink" Target="https://drive.google.com/open?id=1yp723abwpL0dmqttL8lGRYhayydDn6rR" TargetMode="External"/><Relationship Id="rId327" Type="http://schemas.openxmlformats.org/officeDocument/2006/relationships/hyperlink" Target="https://drive.google.com/open?id=1fMM11ADl9ek1XX1xU6deMq1Kv10X_4hf" TargetMode="External"/><Relationship Id="rId534" Type="http://schemas.openxmlformats.org/officeDocument/2006/relationships/hyperlink" Target="https://drive.google.com/open?id=1BnCkbm0fvERzwcx0LWlz3aepLj8RcpiH" TargetMode="External"/><Relationship Id="rId741" Type="http://schemas.openxmlformats.org/officeDocument/2006/relationships/hyperlink" Target="https://docs.google.com/forms/d/e/1FAIpQLSeEYwFnViiqk1AbexVe1VDR73UApmeuvfn6Yr2vN8WXjwGu2Q/viewform?edit2=2_ABaOnud-uqdBoAwKTxZp1XKpNE7-JX8maIzxHC4L4GFRPfPJEJSgaozfzGr7wMbfPTe6dBA&amp;source=documentstudio&amp;timestamp=1718068668845" TargetMode="External"/><Relationship Id="rId1164" Type="http://schemas.openxmlformats.org/officeDocument/2006/relationships/hyperlink" Target="https://drive.google.com/open?id=1ydquiolDqSQS85pudMR_CkM26rmemd1s" TargetMode="External"/><Relationship Id="rId1371" Type="http://schemas.openxmlformats.org/officeDocument/2006/relationships/hyperlink" Target="https://docs.google.com/forms/d/e/1FAIpQLSeEYwFnViiqk1AbexVe1VDR73UApmeuvfn6Yr2vN8WXjwGu2Q/viewform?edit2=2_ABaOnud7oFPt9ls7vo8uh6B7qfbCYYp8NVP9kRsBoLcEfY2gbG1skAGbM67n8X2l4w0M7X4&amp;source=documentstudio&amp;timestamp=1736326862857" TargetMode="External"/><Relationship Id="rId2008" Type="http://schemas.openxmlformats.org/officeDocument/2006/relationships/hyperlink" Target="https://drive.google.com/open?id=1WEQp3rYt7XLXEVsVTgquk-XvrA8sSLCM" TargetMode="External"/><Relationship Id="rId2215" Type="http://schemas.openxmlformats.org/officeDocument/2006/relationships/hyperlink" Target="https://docs.google.com/forms/d/e/1FAIpQLSeEYwFnViiqk1AbexVe1VDR73UApmeuvfn6Yr2vN8WXjwGu2Q/viewform?edit2=2_ABaOnud51ECIwFbvmOW1r2N2MZ2km7YPCkR73x6U2UCJUgqyfpRxH_Mdx4luQSwusoH_cWY&amp;source=documentstudio&amp;timestamp=1752134938036" TargetMode="External"/><Relationship Id="rId2422" Type="http://schemas.openxmlformats.org/officeDocument/2006/relationships/hyperlink" Target="https://drive.google.com/open?id=1lJ473LeN7FEsD9dkO-gCfl75mvNFcT3l" TargetMode="External"/><Relationship Id="rId601" Type="http://schemas.openxmlformats.org/officeDocument/2006/relationships/hyperlink" Target="https://drive.google.com/open?id=1sOXBgQWMfEtPRvgYP2oxaw34LEMEkqrN" TargetMode="External"/><Relationship Id="rId1024" Type="http://schemas.openxmlformats.org/officeDocument/2006/relationships/hyperlink" Target="https://drive.google.com/open?id=1K35FTI3ikrQa3IxfE0QZS3VzNNm7qKhn" TargetMode="External"/><Relationship Id="rId1231" Type="http://schemas.openxmlformats.org/officeDocument/2006/relationships/hyperlink" Target="https://docs.google.com/forms/d/e/1FAIpQLSeEYwFnViiqk1AbexVe1VDR73UApmeuvfn6Yr2vN8WXjwGu2Q/viewform?edit2=2_ABaOnueKoILa8qqgUOj3rh9kgumgVZ83KuhnpC1detOD_tUfpzDciaEfFlFtfPstdK5POJo&amp;source=documentstudio&amp;timestamp=1731637454210" TargetMode="External"/><Relationship Id="rId184" Type="http://schemas.openxmlformats.org/officeDocument/2006/relationships/hyperlink" Target="https://drive.google.com/open?id=1novCllKVgO6dD5NsnU-6NnzU6MEi4SzF" TargetMode="External"/><Relationship Id="rId391" Type="http://schemas.openxmlformats.org/officeDocument/2006/relationships/hyperlink" Target="https://drive.google.com/open?id=1wBB-amH4ZkEkMnv_gIN1GOVnFE8zOCHc" TargetMode="External"/><Relationship Id="rId1908" Type="http://schemas.openxmlformats.org/officeDocument/2006/relationships/hyperlink" Target="https://docs.google.com/forms/d/e/1FAIpQLSeEYwFnViiqk1AbexVe1VDR73UApmeuvfn6Yr2vN8WXjwGu2Q/viewform?edit2=2_ABaOnucs0Ys4FkJcPgr4U6Z_ZG0tFluyAPV0YwJJjCJjJ4PsKB0jhJHslnL9ndL_NBEzVW0&amp;source=documentstudio&amp;timestamp=1745310908181" TargetMode="External"/><Relationship Id="rId2072" Type="http://schemas.openxmlformats.org/officeDocument/2006/relationships/hyperlink" Target="https://drive.google.com/open?id=1m4MOxkjDZLq2Lyw4hUrde3CTVRbiKoa2" TargetMode="External"/><Relationship Id="rId251" Type="http://schemas.openxmlformats.org/officeDocument/2006/relationships/hyperlink" Target="https://drive.google.com/open?id=1rKGgsBKDRbDs1hECeLF4PQ5btGF5eTlG" TargetMode="External"/><Relationship Id="rId2889" Type="http://schemas.openxmlformats.org/officeDocument/2006/relationships/hyperlink" Target="https://drive.google.com/open?id=1KmFgCEWkyIkH8svSlhpsjK9ahhI7EXuq" TargetMode="External"/><Relationship Id="rId111" Type="http://schemas.openxmlformats.org/officeDocument/2006/relationships/hyperlink" Target="https://drive.google.com/open?id=1gdGn9MrZh50YYOYjAroH-ws8wyFwozLB" TargetMode="External"/><Relationship Id="rId1698" Type="http://schemas.openxmlformats.org/officeDocument/2006/relationships/hyperlink" Target="https://docs.google.com/forms/d/e/1FAIpQLSeEYwFnViiqk1AbexVe1VDR73UApmeuvfn6Yr2vN8WXjwGu2Q/viewform?edit2=2_ABaOnufP0T_1AwiGu4rypYw3Nm1LE4QKHNXddOr2219kf2OoiYnHwPu9l2ocDjndUUkWrVQ&amp;source=documentstudio&amp;timestamp=1741336011237" TargetMode="External"/><Relationship Id="rId2749" Type="http://schemas.openxmlformats.org/officeDocument/2006/relationships/hyperlink" Target="https://docs.google.com/forms/d/e/1FAIpQLSeEYwFnViiqk1AbexVe1VDR73UApmeuvfn6Yr2vN8WXjwGu2Q/viewform?edit2=2_ABaOnufytNl3gQlJ9MwMdnMTZR78g9wG_uy9jjZlIFncJ59k0ZdkRGINcJRIEHHZJWdvGXI&amp;source=documentstudio&amp;timestamp=1768813973388" TargetMode="External"/><Relationship Id="rId2956" Type="http://schemas.openxmlformats.org/officeDocument/2006/relationships/hyperlink" Target="https://docs.google.com/forms/d/e/1FAIpQLSeEYwFnViiqk1AbexVe1VDR73UApmeuvfn6Yr2vN8WXjwGu2Q/viewform?edit2=2_ABaOnudbxfTEI2PbwAJnAvjVlUHhFMRnoOYhq12yZtMDRpheaI8NC9UHlFk7qcZeyyyxEtA&amp;source=documentstudio&amp;timestamp=1769614059956" TargetMode="External"/><Relationship Id="rId928" Type="http://schemas.openxmlformats.org/officeDocument/2006/relationships/hyperlink" Target="https://drive.google.com/open?id=1KgKNbYvwAYgkVT0gmBRz30Ve6P-gSQJG" TargetMode="External"/><Relationship Id="rId1558" Type="http://schemas.openxmlformats.org/officeDocument/2006/relationships/hyperlink" Target="https://drive.google.com/open?id=1n0lKw_q82VjcHY7xNuIc83Rx2j27yDZ1" TargetMode="External"/><Relationship Id="rId1765" Type="http://schemas.openxmlformats.org/officeDocument/2006/relationships/hyperlink" Target="https://drive.google.com/open?id=11JEYmNA8BQYThm3U7NYACcgqHJFZZ7wI" TargetMode="External"/><Relationship Id="rId2609" Type="http://schemas.openxmlformats.org/officeDocument/2006/relationships/hyperlink" Target="https://docs.google.com/forms/d/e/1FAIpQLSeEYwFnViiqk1AbexVe1VDR73UApmeuvfn6Yr2vN8WXjwGu2Q/viewform?edit2=2_ABaOnufTjNMXDYMmIsldXZRrCMUO5pjiILA7gQXWrNAk4Ds8uy1YT-hnn2xnCYdq9nSMSiE&amp;source=documentstudio&amp;timestamp=1768464671605" TargetMode="External"/><Relationship Id="rId57" Type="http://schemas.openxmlformats.org/officeDocument/2006/relationships/hyperlink" Target="https://drive.google.com/open?id=1sxKoF01HD4IF0hqEatKxwYsces3o9gTD" TargetMode="External"/><Relationship Id="rId1418" Type="http://schemas.openxmlformats.org/officeDocument/2006/relationships/hyperlink" Target="https://drive.google.com/open?id=1oXZym5h9ht7-xQEbtojsnId9uHTF3PKW" TargetMode="External"/><Relationship Id="rId1972" Type="http://schemas.openxmlformats.org/officeDocument/2006/relationships/hyperlink" Target="https://drive.google.com/open?id=1SJZgTvsWVRiw1I_amjBei4XV2QwbOSYb" TargetMode="External"/><Relationship Id="rId2816" Type="http://schemas.openxmlformats.org/officeDocument/2006/relationships/hyperlink" Target="https://drive.google.com/open?id=1LXms0c-T27QdihsC0kdPUnX47UvsJqiS" TargetMode="External"/><Relationship Id="rId1625" Type="http://schemas.openxmlformats.org/officeDocument/2006/relationships/hyperlink" Target="https://docs.google.com/forms/d/e/1FAIpQLSeEYwFnViiqk1AbexVe1VDR73UApmeuvfn6Yr2vN8WXjwGu2Q/viewform?edit2=2_ABaOnucj9vXRXDZ-9aYk0p4OUkY8fWLI4TFCm5nHhlqFk_mChRa_XHfcT1PiWej12hY5IRw&amp;source=documentstudio&amp;timestamp=1741332007771" TargetMode="External"/><Relationship Id="rId1832" Type="http://schemas.openxmlformats.org/officeDocument/2006/relationships/hyperlink" Target="https://docs.google.com/forms/d/e/1FAIpQLSeEYwFnViiqk1AbexVe1VDR73UApmeuvfn6Yr2vN8WXjwGu2Q/viewform?edit2=2_ABaOnueWUtebOyhTxUAj7613ZBtd7j1qRez75R4VVFi_DPw5Xv8bY4mFGeMKd20qHd6xnAA&amp;source=documentstudio&amp;timestamp=1741921048040" TargetMode="External"/><Relationship Id="rId2399" Type="http://schemas.openxmlformats.org/officeDocument/2006/relationships/hyperlink" Target="https://docs.google.com/forms/d/e/1FAIpQLSeEYwFnViiqk1AbexVe1VDR73UApmeuvfn6Yr2vN8WXjwGu2Q/viewform?edit2=2_ABaOnucofhXczG6860Tscz4hr_4TT8ZL2_U2f955t8xa6QnTgGR_n1a5F316rChPG5WUDA8&amp;source=documentstudio&amp;timestamp=1768438016480" TargetMode="External"/><Relationship Id="rId578" Type="http://schemas.openxmlformats.org/officeDocument/2006/relationships/hyperlink" Target="https://drive.google.com/open?id=1fwlGyBGNtrfvbAQi3fQT0qrnXRkABYRm" TargetMode="External"/><Relationship Id="rId785" Type="http://schemas.openxmlformats.org/officeDocument/2006/relationships/hyperlink" Target="https://docs.google.com/forms/d/e/1FAIpQLSeEYwFnViiqk1AbexVe1VDR73UApmeuvfn6Yr2vN8WXjwGu2Q/viewform?edit2=2_ABaOnuc8MNQ43Gv02e1Sn6QJpgNy9xP_01Os0ilRYLYwVGm-P9eHF4fGAsiItdWY8o098fo&amp;source=documentstudio&amp;timestamp=1718178703315" TargetMode="External"/><Relationship Id="rId992" Type="http://schemas.openxmlformats.org/officeDocument/2006/relationships/hyperlink" Target="https://drive.google.com/open?id=1szdnLVipnrJ4OJcRje1ftmmIt4u2uLwn" TargetMode="External"/><Relationship Id="rId2259" Type="http://schemas.openxmlformats.org/officeDocument/2006/relationships/hyperlink" Target="https://docs.google.com/forms/d/e/1FAIpQLSeEYwFnViiqk1AbexVe1VDR73UApmeuvfn6Yr2vN8WXjwGu2Q/viewform?edit2=2_ABaOnucvh7KJwtbC-O1llDfcyz90QDWiQbVtQbIEWzSrX3DF0TdwHu3j-oe70ApLLut0EaY&amp;source=documentstudio&amp;timestamp=1757400036235" TargetMode="External"/><Relationship Id="rId2466" Type="http://schemas.openxmlformats.org/officeDocument/2006/relationships/hyperlink" Target="https://drive.google.com/open?id=12JKDAW8kWaYrOphzIdUgGTkPeQ4jj1MK" TargetMode="External"/><Relationship Id="rId2673" Type="http://schemas.openxmlformats.org/officeDocument/2006/relationships/hyperlink" Target="https://docs.google.com/forms/d/e/1FAIpQLSeEYwFnViiqk1AbexVe1VDR73UApmeuvfn6Yr2vN8WXjwGu2Q/viewform?edit2=2_ABaOnudhuJFyWrxnkaN0es6817GQZIP5_wwf_Qxud6NAcx-uZ2IfxBxzm8BJHGzwce9oLoo&amp;source=documentstudio&amp;timestamp=1768789842010" TargetMode="External"/><Relationship Id="rId2880" Type="http://schemas.openxmlformats.org/officeDocument/2006/relationships/hyperlink" Target="https://drive.google.com/open?id=1rk6Oh77G2jbiFzgmHmGQNgcB9J6Nfs8e" TargetMode="External"/><Relationship Id="rId438" Type="http://schemas.openxmlformats.org/officeDocument/2006/relationships/hyperlink" Target="https://drive.google.com/open?id=1QBkDf1MmOJhueZCfkF9gYRPsbjj2jEVO" TargetMode="External"/><Relationship Id="rId645" Type="http://schemas.openxmlformats.org/officeDocument/2006/relationships/hyperlink" Target="https://docs.google.com/forms/d/e/1FAIpQLSeEYwFnViiqk1AbexVe1VDR73UApmeuvfn6Yr2vN8WXjwGu2Q/viewform?edit2=2_ABaOnufVyx-NRlBxRu4fTHWEPFj7c__TGxw-HYxiB0QF9vMO6RL3CItvAhu-zwkdLBm8A4w&amp;source=documentstudio&amp;timestamp=1717384596547" TargetMode="External"/><Relationship Id="rId852" Type="http://schemas.openxmlformats.org/officeDocument/2006/relationships/hyperlink" Target="https://drive.google.com/open?id=1F813CX5f9e9ZxQPLlzaas6_qWy05KOuF" TargetMode="External"/><Relationship Id="rId1068" Type="http://schemas.openxmlformats.org/officeDocument/2006/relationships/hyperlink" Target="https://drive.google.com/open?id=1GZ_q-UR4eeQKpxeytXpK_B-258PuGcuq" TargetMode="External"/><Relationship Id="rId1275" Type="http://schemas.openxmlformats.org/officeDocument/2006/relationships/hyperlink" Target="https://docs.google.com/forms/d/e/1FAIpQLSeEYwFnViiqk1AbexVe1VDR73UApmeuvfn6Yr2vN8WXjwGu2Q/viewform?edit2=2_ABaOnuevWgNi0jQuB4XJmtonAdQdawwno0THpIcYYRUwxmk1_zbVWp4_ks3q3GpowagFn6M&amp;source=documentstudio&amp;timestamp=1733469471589" TargetMode="External"/><Relationship Id="rId1482" Type="http://schemas.openxmlformats.org/officeDocument/2006/relationships/hyperlink" Target="https://drive.google.com/open?id=1hdR5vYHOqffMY7KjhPlmnE0xM_P_M5Rp" TargetMode="External"/><Relationship Id="rId2119" Type="http://schemas.openxmlformats.org/officeDocument/2006/relationships/hyperlink" Target="https://docs.google.com/forms/d/e/1FAIpQLSeEYwFnViiqk1AbexVe1VDR73UApmeuvfn6Yr2vN8WXjwGu2Q/viewform?edit2=2_ABaOnudBQVR5u37QVfS4PL_E0e92S3t4J9YEDnI1gPeud-mKzIPRF0c5zvnIiEjGWqGaHwU&amp;source=documentstudio&amp;timestamp=1748918119557" TargetMode="External"/><Relationship Id="rId2326" Type="http://schemas.openxmlformats.org/officeDocument/2006/relationships/hyperlink" Target="https://drive.google.com/open?id=16l8A__92Z0ewHgvUsvk0Y-AoA_WOpei4" TargetMode="External"/><Relationship Id="rId2533" Type="http://schemas.openxmlformats.org/officeDocument/2006/relationships/hyperlink" Target="https://docs.google.com/forms/d/e/1FAIpQLSeEYwFnViiqk1AbexVe1VDR73UApmeuvfn6Yr2vN8WXjwGu2Q/viewform?edit2=2_ABaOnud24SXhBIr2G50TjoVypHzZqMYbtIeFQfRkb8jEUMKa-iEIvsB2NcS-PdLTDSY9oFk&amp;source=documentstudio&amp;timestamp=1768449503993" TargetMode="External"/><Relationship Id="rId2740" Type="http://schemas.openxmlformats.org/officeDocument/2006/relationships/hyperlink" Target="https://drive.google.com/open?id=1M8HEdi76qg8l8CyVg6nwf3cs0jUQmOoX" TargetMode="External"/><Relationship Id="rId505" Type="http://schemas.openxmlformats.org/officeDocument/2006/relationships/hyperlink" Target="https://drive.google.com/open?id=1Oj8X5qp2YSoP9HOPZ4miCKDQ_jAVdO12" TargetMode="External"/><Relationship Id="rId712" Type="http://schemas.openxmlformats.org/officeDocument/2006/relationships/hyperlink" Target="https://drive.google.com/open?id=1Xwec-7YXYQ9-MAhimaBjrqNIA3vnPIdE" TargetMode="External"/><Relationship Id="rId1135" Type="http://schemas.openxmlformats.org/officeDocument/2006/relationships/hyperlink" Target="https://docs.google.com/forms/d/e/1FAIpQLSeEYwFnViiqk1AbexVe1VDR73UApmeuvfn6Yr2vN8WXjwGu2Q/viewform?edit2=2_ABaOnuc57VrBJzP3fHjpQan4gj7VdUIctuvq-4R2ZuIac8--i-ZK_DJ4l7wUhgHirykeOqU&amp;source=documentstudio&amp;timestamp=1727919667460" TargetMode="External"/><Relationship Id="rId1342" Type="http://schemas.openxmlformats.org/officeDocument/2006/relationships/hyperlink" Target="https://drive.google.com/open?id=1FsoF1PbVlJkqVyOY_nqvzF-lFD8s4blu" TargetMode="External"/><Relationship Id="rId1202" Type="http://schemas.openxmlformats.org/officeDocument/2006/relationships/hyperlink" Target="https://drive.google.com/open?id=1hIctIF-f0COkOXjiLy93XWMIzfKTzu6Q" TargetMode="External"/><Relationship Id="rId2600" Type="http://schemas.openxmlformats.org/officeDocument/2006/relationships/hyperlink" Target="https://drive.google.com/open?id=1jaOqpt4XaW1GGuLHgGYIamoufSjJIQ2S" TargetMode="External"/><Relationship Id="rId295" Type="http://schemas.openxmlformats.org/officeDocument/2006/relationships/hyperlink" Target="https://drive.google.com/open?id=17AT4M2PIQb-4S_k8uEdFz2rwX8_Ei1eD" TargetMode="External"/><Relationship Id="rId2183" Type="http://schemas.openxmlformats.org/officeDocument/2006/relationships/hyperlink" Target="https://docs.google.com/forms/d/e/1FAIpQLSeEYwFnViiqk1AbexVe1VDR73UApmeuvfn6Yr2vN8WXjwGu2Q/viewform?edit2=2_ABaOnueNz_l0NRuNEsOzPH0nUddMsKqGtaPEQO5k5Pfkekk7aLFcZ4BXSBd3B_zhddCsHxM&amp;source=documentstudio&amp;timestamp=1750729103246" TargetMode="External"/><Relationship Id="rId2390" Type="http://schemas.openxmlformats.org/officeDocument/2006/relationships/hyperlink" Target="https://drive.google.com/open?id=1uGlR_X1CwKhirTTDfdswXxDAI3g32Bn7" TargetMode="External"/><Relationship Id="rId155" Type="http://schemas.openxmlformats.org/officeDocument/2006/relationships/hyperlink" Target="https://drive.google.com/open?id=1Qvrbjw7DGZ6As4brBaMl7BNhz7WnQGIY" TargetMode="External"/><Relationship Id="rId362" Type="http://schemas.openxmlformats.org/officeDocument/2006/relationships/hyperlink" Target="https://drive.google.com/open?id=1uQIKrq2KKbxAiYchenvx_L5fW2dsksfM" TargetMode="External"/><Relationship Id="rId2043" Type="http://schemas.openxmlformats.org/officeDocument/2006/relationships/hyperlink" Target="https://docs.google.com/forms/d/e/1FAIpQLSeEYwFnViiqk1AbexVe1VDR73UApmeuvfn6Yr2vN8WXjwGu2Q/viewform?edit2=2_ABaOnudK7k5bCX3H470CV7E6gobq_HQvbsWsNI5DD_XMUOc806jKGnsv7KV18MZtrBpfPDY&amp;source=documentstudio&amp;timestamp=1748833588266" TargetMode="External"/><Relationship Id="rId2250" Type="http://schemas.openxmlformats.org/officeDocument/2006/relationships/hyperlink" Target="https://drive.google.com/open?id=1WNZ0FpRLBm60XmKGGf1cRhboI5Aqon03" TargetMode="External"/><Relationship Id="rId222" Type="http://schemas.openxmlformats.org/officeDocument/2006/relationships/hyperlink" Target="https://drive.google.com/open?id=1AM6KQZN7xJOkdHomLf8aWNF55WHBsvkx" TargetMode="External"/><Relationship Id="rId2110" Type="http://schemas.openxmlformats.org/officeDocument/2006/relationships/hyperlink" Target="https://drive.google.com/open?id=1hbD1madkItUJuIfFtuvnTNmnuYo12D7E" TargetMode="External"/><Relationship Id="rId1669" Type="http://schemas.openxmlformats.org/officeDocument/2006/relationships/hyperlink" Target="https://docs.google.com/forms/d/e/1FAIpQLSeEYwFnViiqk1AbexVe1VDR73UApmeuvfn6Yr2vN8WXjwGu2Q/viewform?edit2=2_ABaOnufv4PgEZxifwq05XcD59suO0xkn7kIA2UniQw7AJ826du1610bR53dhm4u8SMjDAyA&amp;source=documentstudio&amp;timestamp=1741334478430" TargetMode="External"/><Relationship Id="rId1876" Type="http://schemas.openxmlformats.org/officeDocument/2006/relationships/hyperlink" Target="https://docs.google.com/forms/d/e/1FAIpQLSeEYwFnViiqk1AbexVe1VDR73UApmeuvfn6Yr2vN8WXjwGu2Q/viewform?edit2=2_ABaOnueH4xZz0gGtDGadyrw-RF3X6C4-gSGuuLgJP0q0BqNhOqpTW9s81FndJxpJie2gXkw&amp;source=documentstudio&amp;timestamp=1744349054329" TargetMode="External"/><Relationship Id="rId2927" Type="http://schemas.openxmlformats.org/officeDocument/2006/relationships/hyperlink" Target="https://drive.google.com/open?id=1YxqNCzLjYwSFPCrmKjA1G-KupjZN9bfN" TargetMode="External"/><Relationship Id="rId1529" Type="http://schemas.openxmlformats.org/officeDocument/2006/relationships/hyperlink" Target="https://docs.google.com/forms/d/e/1FAIpQLSeEYwFnViiqk1AbexVe1VDR73UApmeuvfn6Yr2vN8WXjwGu2Q/viewform?edit2=2_ABaOnuc9Hl83oqtU1zm71UO_cqngSBZ4mKi0hpr76NI_HlvZt6TkOabtuyVZTrxI2IcAaDY&amp;source=documentstudio&amp;timestamp=1739328149643" TargetMode="External"/><Relationship Id="rId1736" Type="http://schemas.openxmlformats.org/officeDocument/2006/relationships/hyperlink" Target="https://drive.google.com/open?id=1Pj5bg993UjVVviCHYBvC_UIN9gQ2HWtf" TargetMode="External"/><Relationship Id="rId1943" Type="http://schemas.openxmlformats.org/officeDocument/2006/relationships/hyperlink" Target="https://drive.google.com/open?id=13xpRxx9_F7C2_HrBkFPvuje6NuPO28Gx" TargetMode="External"/><Relationship Id="rId28" Type="http://schemas.openxmlformats.org/officeDocument/2006/relationships/hyperlink" Target="https://drive.google.com/open?id=1ETuSVScVyMiiki58Aa1epQvI5OcC_dS3" TargetMode="External"/><Relationship Id="rId1803" Type="http://schemas.openxmlformats.org/officeDocument/2006/relationships/hyperlink" Target="https://drive.google.com/open?id=15yQUJldzsbdVpXidV9zN5lMHnkkcC5tP" TargetMode="External"/><Relationship Id="rId689" Type="http://schemas.openxmlformats.org/officeDocument/2006/relationships/hyperlink" Target="https://docs.google.com/forms/d/e/1FAIpQLSeEYwFnViiqk1AbexVe1VDR73UApmeuvfn6Yr2vN8WXjwGu2Q/viewform?edit2=2_ABaOnucrvjNsTqySMd0ct9xiQRqdujy_yahRTKr7f-I3T5eI3eGKsb6QVEFn_TgY8Y7ozGw&amp;source=documentstudio&amp;timestamp=1717464374094" TargetMode="External"/><Relationship Id="rId896" Type="http://schemas.openxmlformats.org/officeDocument/2006/relationships/hyperlink" Target="https://drive.google.com/open?id=1TRsrlgLxkqkMORiJjA6NdlSCOfLPM5GG" TargetMode="External"/><Relationship Id="rId2577" Type="http://schemas.openxmlformats.org/officeDocument/2006/relationships/hyperlink" Target="https://docs.google.com/forms/d/e/1FAIpQLSeEYwFnViiqk1AbexVe1VDR73UApmeuvfn6Yr2vN8WXjwGu2Q/viewform?edit2=2_ABaOnuc9i7z3L4XUCj2h-fLPNr778PgSliwisOCGbJZGYH8H1Hlk8xRUMGTvEG_rQuJdbKE&amp;source=documentstudio&amp;timestamp=1768462050081" TargetMode="External"/><Relationship Id="rId2784" Type="http://schemas.openxmlformats.org/officeDocument/2006/relationships/hyperlink" Target="https://drive.google.com/open?id=1zo5cTynGr7DjU4VrEOYCD1R1JSzBDDXN" TargetMode="External"/><Relationship Id="rId549" Type="http://schemas.openxmlformats.org/officeDocument/2006/relationships/hyperlink" Target="https://drive.google.com/open?id=1lkgpASpOK4isjxpEj-gUEn_KQ3rNsZTN" TargetMode="External"/><Relationship Id="rId756" Type="http://schemas.openxmlformats.org/officeDocument/2006/relationships/hyperlink" Target="https://drive.google.com/open?id=1EJUOW8ogoOONfYBIiQGv1cCoRxcNbEV0" TargetMode="External"/><Relationship Id="rId1179" Type="http://schemas.openxmlformats.org/officeDocument/2006/relationships/hyperlink" Target="https://docs.google.com/forms/d/e/1FAIpQLSeEYwFnViiqk1AbexVe1VDR73UApmeuvfn6Yr2vN8WXjwGu2Q/viewform?edit2=2_ABaOnudjmFWHsO3xE2pjk5fypNE_q40tpAzZR1Vaf4fCMTMCoWwA0OZ8KX9bpeYjPyQW4-s&amp;source=documentstudio&amp;timestamp=1730795017452" TargetMode="External"/><Relationship Id="rId1386" Type="http://schemas.openxmlformats.org/officeDocument/2006/relationships/hyperlink" Target="https://drive.google.com/open?id=1ZwuCmNwG7wTHm9kKpeoaQDN-ypAKGqI4" TargetMode="External"/><Relationship Id="rId1593" Type="http://schemas.openxmlformats.org/officeDocument/2006/relationships/hyperlink" Target="https://docs.google.com/forms/d/e/1FAIpQLSeEYwFnViiqk1AbexVe1VDR73UApmeuvfn6Yr2vN8WXjwGu2Q/viewform?edit2=2_ABaOnuedj7nEMIdJ6QCf5VDpwNeUIYprpf_3kvcmtj72pm_cVXePcUp8SST9RC3QkqzB_Ig&amp;source=documentstudio&amp;timestamp=1739329519878" TargetMode="External"/><Relationship Id="rId2437" Type="http://schemas.openxmlformats.org/officeDocument/2006/relationships/hyperlink" Target="https://docs.google.com/forms/d/e/1FAIpQLSeEYwFnViiqk1AbexVe1VDR73UApmeuvfn6Yr2vN8WXjwGu2Q/viewform?edit2=2_ABaOnudOp09CHY2DdTXSCiefy7QOJ3lf95UA4z906M31hZDE7GQNJGL0OIlQcGXInT1J0Bc&amp;source=documentstudio&amp;timestamp=1768441457232" TargetMode="External"/><Relationship Id="rId409" Type="http://schemas.openxmlformats.org/officeDocument/2006/relationships/hyperlink" Target="https://drive.google.com/open?id=1wgbj2ry6R7GYxd0pRa3vpf6YDrNHkmr2" TargetMode="External"/><Relationship Id="rId963" Type="http://schemas.openxmlformats.org/officeDocument/2006/relationships/hyperlink" Target="https://docs.google.com/forms/d/e/1FAIpQLSeEYwFnViiqk1AbexVe1VDR73UApmeuvfn6Yr2vN8WXjwGu2Q/viewform?edit2=2_ABaOnuflLKQwulSxqWXQ7cJ2i3ia_RtVwqoriDW8A6ctxBDn5EZ0pM1-OUfyJrfQ6v9FJQA&amp;source=documentstudio&amp;timestamp=1721638935478" TargetMode="External"/><Relationship Id="rId1039" Type="http://schemas.openxmlformats.org/officeDocument/2006/relationships/hyperlink" Target="https://docs.google.com/forms/d/e/1FAIpQLSeEYwFnViiqk1AbexVe1VDR73UApmeuvfn6Yr2vN8WXjwGu2Q/viewform?edit2=2_ABaOnud2ZifPM_puOzzOY6ISaM4ePKkxVxnxHIzWFNwvfl2LrYxnxNOe9z2nmagdGlTuv6U&amp;source=documentstudio&amp;timestamp=1724145576130" TargetMode="External"/><Relationship Id="rId1246" Type="http://schemas.openxmlformats.org/officeDocument/2006/relationships/hyperlink" Target="https://drive.google.com/open?id=1oJ2KPhyW7oan2BfO9VCYoyp4phJsuDWB" TargetMode="External"/><Relationship Id="rId2644" Type="http://schemas.openxmlformats.org/officeDocument/2006/relationships/hyperlink" Target="https://drive.google.com/open?id=1lwK7sW6HSt_g1j7bOTjzUtBGUCQGZbQ1" TargetMode="External"/><Relationship Id="rId2851" Type="http://schemas.openxmlformats.org/officeDocument/2006/relationships/hyperlink" Target="https://docs.google.com/forms/d/e/1FAIpQLSeEYwFnViiqk1AbexVe1VDR73UApmeuvfn6Yr2vN8WXjwGu2Q/viewform?edit2=2_ABaOnueckBX6iLxReV29R2tPCEsXfqU981VKeSDHL54aT1KPckxTDCPA-2_CZU-dwAbuZO8&amp;source=documentstudio&amp;timestamp=1769416049360" TargetMode="External"/><Relationship Id="rId92" Type="http://schemas.openxmlformats.org/officeDocument/2006/relationships/hyperlink" Target="https://drive.google.com/open?id=1PykT7mYr4yeHePFoYc-xlbJNDeAPrH1-" TargetMode="External"/><Relationship Id="rId616" Type="http://schemas.openxmlformats.org/officeDocument/2006/relationships/hyperlink" Target="https://drive.google.com/open?id=1otLQm73PTiDOB7G6eFJqgt6MlVug4Bz2" TargetMode="External"/><Relationship Id="rId823" Type="http://schemas.openxmlformats.org/officeDocument/2006/relationships/hyperlink" Target="https://docs.google.com/forms/d/e/1FAIpQLSeEYwFnViiqk1AbexVe1VDR73UApmeuvfn6Yr2vN8WXjwGu2Q/viewform?edit2=2_ABaOnudZJzhObyifMyxAyGxVV8_FvaUAPZerAvGE0MT2XyLKbg9awq3n3BB19Ok1rls-qwk&amp;source=documentstudio&amp;timestamp=1720415881527" TargetMode="External"/><Relationship Id="rId1453" Type="http://schemas.openxmlformats.org/officeDocument/2006/relationships/hyperlink" Target="https://docs.google.com/forms/d/e/1FAIpQLSeEYwFnViiqk1AbexVe1VDR73UApmeuvfn6Yr2vN8WXjwGu2Q/viewform?edit2=2_ABaOnueFuQg2_ulXxY5UiFTKSC-JB6SphvW8tdaGajhGPWJaiIXsSNE-cGPRSJeWVT9_Nqk&amp;source=documentstudio&amp;timestamp=1737447119932" TargetMode="External"/><Relationship Id="rId1660" Type="http://schemas.openxmlformats.org/officeDocument/2006/relationships/hyperlink" Target="https://drive.google.com/open?id=1t0VAJJ8S7H8Ix8e4kmXxQnptTEcnPuqu" TargetMode="External"/><Relationship Id="rId2504" Type="http://schemas.openxmlformats.org/officeDocument/2006/relationships/hyperlink" Target="https://drive.google.com/open?id=1h1i9sMWzNCnqwpSJ4CEpXD06obPNagsE" TargetMode="External"/><Relationship Id="rId2711" Type="http://schemas.openxmlformats.org/officeDocument/2006/relationships/hyperlink" Target="https://docs.google.com/forms/d/e/1FAIpQLSeEYwFnViiqk1AbexVe1VDR73UApmeuvfn6Yr2vN8WXjwGu2Q/viewform?edit2=2_ABaOnudc2LoAxdL54UvSclOrbCnLtY_kogqsPHNSCnXxPyILS6MDYmVuQ00d_lgqm5qhNls&amp;source=documentstudio&amp;timestamp=1768794697051" TargetMode="External"/><Relationship Id="rId1106" Type="http://schemas.openxmlformats.org/officeDocument/2006/relationships/hyperlink" Target="https://drive.google.com/open?id=1HTBMUmhOnUDRa4Qeqhcqaj48cvOiQEW7" TargetMode="External"/><Relationship Id="rId1313" Type="http://schemas.openxmlformats.org/officeDocument/2006/relationships/hyperlink" Target="https://docs.google.com/forms/d/e/1FAIpQLSeEYwFnViiqk1AbexVe1VDR73UApmeuvfn6Yr2vN8WXjwGu2Q/viewform?edit2=2_ABaOnucdJ1VTjkRzAIq8l0gFGgGVQ-QaZPs92IsVj56x6KxhLHF6RyJl02SeMa7mV1YAQBY&amp;source=documentstudio&amp;timestamp=1733984810507" TargetMode="External"/><Relationship Id="rId1520" Type="http://schemas.openxmlformats.org/officeDocument/2006/relationships/hyperlink" Target="https://drive.google.com/open?id=1u__klsuRz5Ze1QBJt9wrvg0gRXcOVtTu" TargetMode="External"/><Relationship Id="rId199" Type="http://schemas.openxmlformats.org/officeDocument/2006/relationships/hyperlink" Target="https://drive.google.com/open?id=1qGK91zQ2GBpzA-vHheAHO5U5Xr80si4O" TargetMode="External"/><Relationship Id="rId2087" Type="http://schemas.openxmlformats.org/officeDocument/2006/relationships/hyperlink" Target="https://docs.google.com/forms/d/e/1FAIpQLSeEYwFnViiqk1AbexVe1VDR73UApmeuvfn6Yr2vN8WXjwGu2Q/viewform?edit2=2_ABaOnuctHgGSksbOyn_4fSCPWRnE5ZG6RZsqYFgcM3zuzsM4qh5Eq5RnNbGjVGpW4VllFjg&amp;source=documentstudio&amp;timestamp=1748850001328" TargetMode="External"/><Relationship Id="rId2294" Type="http://schemas.openxmlformats.org/officeDocument/2006/relationships/hyperlink" Target="https://drive.google.com/open?id=1VJ39puhHKKNz6Ht8dEi73CLWHtfceik1" TargetMode="External"/><Relationship Id="rId266" Type="http://schemas.openxmlformats.org/officeDocument/2006/relationships/hyperlink" Target="https://drive.google.com/open?id=12kbEJ3UcbechsZH7-VOWdZXZFh9AEWiW" TargetMode="External"/><Relationship Id="rId473" Type="http://schemas.openxmlformats.org/officeDocument/2006/relationships/hyperlink" Target="https://drive.google.com/open?id=13us5Z5t0mQS4RTP2h6AbaZW78cvNO91e" TargetMode="External"/><Relationship Id="rId680" Type="http://schemas.openxmlformats.org/officeDocument/2006/relationships/hyperlink" Target="https://drive.google.com/open?id=1-meO-pzvqNyqgrrhG8W4aFGQzhLVDOQz" TargetMode="External"/><Relationship Id="rId2154" Type="http://schemas.openxmlformats.org/officeDocument/2006/relationships/hyperlink" Target="https://drive.google.com/open?id=1-rMYL-A4zfoCgam4FnUm4kCjYkux7_Zb" TargetMode="External"/><Relationship Id="rId2361" Type="http://schemas.openxmlformats.org/officeDocument/2006/relationships/hyperlink" Target="https://docs.google.com/forms/d/e/1FAIpQLSeEYwFnViiqk1AbexVe1VDR73UApmeuvfn6Yr2vN8WXjwGu2Q/viewform?edit2=2_ABaOnudYJfWss1OGsBp03rcD2J1YNamJzIMq1BvNInmFPreHY0rNSzUABC2uNN4C82yfAVU&amp;source=documentstudio&amp;timestamp=1768378475998" TargetMode="External"/><Relationship Id="rId126" Type="http://schemas.openxmlformats.org/officeDocument/2006/relationships/hyperlink" Target="https://drive.google.com/open?id=19gT84NbtagOiN9vow1vi31EsYA3_Lfgx" TargetMode="External"/><Relationship Id="rId333" Type="http://schemas.openxmlformats.org/officeDocument/2006/relationships/hyperlink" Target="https://drive.google.com/open?id=1blEdR9k9V1xx7dVDDTpGM4Lu3SU8vrj7" TargetMode="External"/><Relationship Id="rId540" Type="http://schemas.openxmlformats.org/officeDocument/2006/relationships/hyperlink" Target="https://drive.google.com/open?id=18YhioX0kFwwbTUzSb_WvdniRS9XYAFAx" TargetMode="External"/><Relationship Id="rId1170" Type="http://schemas.openxmlformats.org/officeDocument/2006/relationships/hyperlink" Target="https://drive.google.com/open?id=1ceRf8f__SJW3ZB-bUJQxfjF434Q7M6Vs" TargetMode="External"/><Relationship Id="rId2014" Type="http://schemas.openxmlformats.org/officeDocument/2006/relationships/hyperlink" Target="https://drive.google.com/open?id=1uliZEESZKXCXSqjnu8cXoLxLL4SdF1XI" TargetMode="External"/><Relationship Id="rId2221" Type="http://schemas.openxmlformats.org/officeDocument/2006/relationships/hyperlink" Target="https://docs.google.com/forms/d/e/1FAIpQLSeEYwFnViiqk1AbexVe1VDR73UApmeuvfn6Yr2vN8WXjwGu2Q/viewform?edit2=2_ABaOnudJdg1s-zP93gh4JfH7vmQpD7sBmBbpREtlE93D1ZdkEvdXWYw9EUmzTAVT69cEoHM&amp;source=documentstudio&amp;timestamp=1752530070178" TargetMode="External"/><Relationship Id="rId1030" Type="http://schemas.openxmlformats.org/officeDocument/2006/relationships/hyperlink" Target="https://drive.google.com/open?id=1Xjoh-tuzPvblIKbFug7MZodiqulVHMn4" TargetMode="External"/><Relationship Id="rId400" Type="http://schemas.openxmlformats.org/officeDocument/2006/relationships/hyperlink" Target="https://drive.google.com/open?id=1ch9z3VaLNWIwnykJHMZJ_gmBoftwW4lm" TargetMode="External"/><Relationship Id="rId1987" Type="http://schemas.openxmlformats.org/officeDocument/2006/relationships/hyperlink" Target="https://docs.google.com/forms/d/e/1FAIpQLSeEYwFnViiqk1AbexVe1VDR73UApmeuvfn6Yr2vN8WXjwGu2Q/viewform?edit2=2_ABaOnucWQiDFGsc_tsOR0FaSF6W8IlgGytE5z7JidCLj7mxmzCjj7OAoV7dUSh7W3_n7beI&amp;source=documentstudio&amp;timestamp=1748217888496" TargetMode="External"/><Relationship Id="rId1847" Type="http://schemas.openxmlformats.org/officeDocument/2006/relationships/hyperlink" Target="https://drive.google.com/open?id=1LogR31joYmQ0qmqTbvT-tlmFINK_LnTw" TargetMode="External"/><Relationship Id="rId1707" Type="http://schemas.openxmlformats.org/officeDocument/2006/relationships/hyperlink" Target="https://docs.google.com/forms/d/e/1FAIpQLSeEYwFnViiqk1AbexVe1VDR73UApmeuvfn6Yr2vN8WXjwGu2Q/viewform?edit2=2_ABaOnucE1YOEPsLp16ye15hcktYFqbxb5D9O4kil160mJVNoOm2jaXq-6xleKxt1VEO5X24&amp;source=documentstudio&amp;timestamp=1741336427519" TargetMode="External"/><Relationship Id="rId190" Type="http://schemas.openxmlformats.org/officeDocument/2006/relationships/hyperlink" Target="https://drive.google.com/open?id=1-FvAKGBh7wnpKha4MGpoiUGP7gV0Qjhf" TargetMode="External"/><Relationship Id="rId1914" Type="http://schemas.openxmlformats.org/officeDocument/2006/relationships/hyperlink" Target="https://docs.google.com/forms/d/e/1FAIpQLSeEYwFnViiqk1AbexVe1VDR73UApmeuvfn6Yr2vN8WXjwGu2Q/viewform?edit2=2_ABaOnucUgagwaXp9dX3YTL-M0EgGeUEA_xhsUhj_Bds6xFmWM-Fqxt1DlUbjMVyIdRL8tT8&amp;source=documentstudio&amp;timestamp=1745377237608" TargetMode="External"/><Relationship Id="rId2688" Type="http://schemas.openxmlformats.org/officeDocument/2006/relationships/hyperlink" Target="https://drive.google.com/open?id=1S3H5Zzl1IzxrOSiYYljdt5dypOxq271h" TargetMode="External"/><Relationship Id="rId2895" Type="http://schemas.openxmlformats.org/officeDocument/2006/relationships/hyperlink" Target="https://drive.google.com/open?id=1d6CEDfEYXzXJfnR3jgfM5-XD6T7Jtay5" TargetMode="External"/><Relationship Id="rId867" Type="http://schemas.openxmlformats.org/officeDocument/2006/relationships/hyperlink" Target="https://docs.google.com/forms/d/e/1FAIpQLSeEYwFnViiqk1AbexVe1VDR73UApmeuvfn6Yr2vN8WXjwGu2Q/viewform?edit2=2_ABaOnudr2Cw8icrj9dv9mAxj34tjdd9PSX8i6X5NvzDCK_ua99FJA_JJgpusCf7-cBXftY8&amp;source=documentstudio&amp;timestamp=1720488290875" TargetMode="External"/><Relationship Id="rId1497" Type="http://schemas.openxmlformats.org/officeDocument/2006/relationships/hyperlink" Target="https://docs.google.com/forms/d/e/1FAIpQLSeEYwFnViiqk1AbexVe1VDR73UApmeuvfn6Yr2vN8WXjwGu2Q/viewform?edit2=2_ABaOnueOHqZRlv4jmleQVvXyi7uU6fuR14-BXrUI0hwiBfEAkRJeVszjFpVm6s1uiFQdV8o&amp;source=documentstudio&amp;timestamp=1738631060463" TargetMode="External"/><Relationship Id="rId2548" Type="http://schemas.openxmlformats.org/officeDocument/2006/relationships/hyperlink" Target="https://drive.google.com/open?id=1rXEhV1xtnTZMGtSuJI8XjulD_EMxhzHw" TargetMode="External"/><Relationship Id="rId2755" Type="http://schemas.openxmlformats.org/officeDocument/2006/relationships/hyperlink" Target="https://docs.google.com/forms/d/e/1FAIpQLSeEYwFnViiqk1AbexVe1VDR73UApmeuvfn6Yr2vN8WXjwGu2Q/viewform?edit2=2_ABaOnud_5KAqzyTxASHykpHfaT7ql5kTeUA1NgUsE8DU7GiWCTer1If285gqRzvfJpZcgkI&amp;source=documentstudio&amp;timestamp=1768882227746" TargetMode="External"/><Relationship Id="rId2962" Type="http://schemas.openxmlformats.org/officeDocument/2006/relationships/hyperlink" Target="https://docs.google.com/forms/d/e/1FAIpQLSeEYwFnViiqk1AbexVe1VDR73UApmeuvfn6Yr2vN8WXjwGu2Q/viewform?edit2=2_ABaOnue76-gL97NlQOPuDJTCPZfDqgDVWNFS8OIY3N-_yaVJeohOaIT73TxMVUySY6_OoBw&amp;source=documentstudio&amp;timestamp=1769648218736" TargetMode="External"/><Relationship Id="rId727" Type="http://schemas.openxmlformats.org/officeDocument/2006/relationships/hyperlink" Target="https://docs.google.com/forms/d/e/1FAIpQLSeEYwFnViiqk1AbexVe1VDR73UApmeuvfn6Yr2vN8WXjwGu2Q/viewform?edit2=2_ABaOnudmngS5A2geIHKJ8qHS1iaanbzz9FOwf6YxZ8L2Cf-I2KB5OEU-T359kk5H1w3voQA&amp;source=documentstudio&amp;timestamp=1717985126183" TargetMode="External"/><Relationship Id="rId934" Type="http://schemas.openxmlformats.org/officeDocument/2006/relationships/hyperlink" Target="https://drive.google.com/open?id=1o3__Z5PP24_s4DWv11HJ4l8RvL-7djyN" TargetMode="External"/><Relationship Id="rId1357" Type="http://schemas.openxmlformats.org/officeDocument/2006/relationships/hyperlink" Target="https://docs.google.com/forms/d/e/1FAIpQLSeEYwFnViiqk1AbexVe1VDR73UApmeuvfn6Yr2vN8WXjwGu2Q/viewform?edit2=2_ABaOnueCdYNlmbpfs61K_W5ajBxFbwUNUTAtpTQZ5wZ3Pg6om35Yjou8JU1h0aRnlK1ZHzA&amp;source=documentstudio&amp;timestamp=1736212972021" TargetMode="External"/><Relationship Id="rId1564" Type="http://schemas.openxmlformats.org/officeDocument/2006/relationships/hyperlink" Target="https://drive.google.com/open?id=1rEzf3Fta_OVKA7ujAEMILLqRItlEcKQp" TargetMode="External"/><Relationship Id="rId1771" Type="http://schemas.openxmlformats.org/officeDocument/2006/relationships/hyperlink" Target="https://drive.google.com/open?id=1R0e45fYtMBHmgg4SJjK-UI2s9OJMafxP" TargetMode="External"/><Relationship Id="rId2408" Type="http://schemas.openxmlformats.org/officeDocument/2006/relationships/hyperlink" Target="https://drive.google.com/open?id=1vDqcO0MvqwDhwRz4jtSu5y9Ne86ODegc" TargetMode="External"/><Relationship Id="rId2615" Type="http://schemas.openxmlformats.org/officeDocument/2006/relationships/hyperlink" Target="https://docs.google.com/forms/d/e/1FAIpQLSeEYwFnViiqk1AbexVe1VDR73UApmeuvfn6Yr2vN8WXjwGu2Q/viewform?edit2=2_ABaOnufZPmxT0tc418juOZYQeNJF2xd2mvVtx3ALr7_I9mJKVIWxnuurLbsdee7vQyvu0-Q&amp;source=documentstudio&amp;timestamp=1768466027816" TargetMode="External"/><Relationship Id="rId2822" Type="http://schemas.openxmlformats.org/officeDocument/2006/relationships/hyperlink" Target="https://drive.google.com/open?id=1JcAPmtMx31ww7P5Ckc5IGsfYOfze1gjd" TargetMode="External"/><Relationship Id="rId63" Type="http://schemas.openxmlformats.org/officeDocument/2006/relationships/hyperlink" Target="https://drive.google.com/open?id=11FWEzh6uI27inEZbAyVDJPVpu5rEhlRi" TargetMode="External"/><Relationship Id="rId1217" Type="http://schemas.openxmlformats.org/officeDocument/2006/relationships/hyperlink" Target="https://docs.google.com/forms/d/e/1FAIpQLSeEYwFnViiqk1AbexVe1VDR73UApmeuvfn6Yr2vN8WXjwGu2Q/viewform?edit2=2_ABaOnud5RBB6M0BOF2vY9dt-9tnKAlWgy0mJcNFO5aMlV0FfClb1HbX2gjFLVvXC5k5W-yc&amp;source=documentstudio&amp;timestamp=1731550912441" TargetMode="External"/><Relationship Id="rId1424" Type="http://schemas.openxmlformats.org/officeDocument/2006/relationships/hyperlink" Target="https://drive.google.com/open?id=1qICJ77gx1joOZk3HZ0ryJ-N_CQlw19Oz" TargetMode="External"/><Relationship Id="rId1631" Type="http://schemas.openxmlformats.org/officeDocument/2006/relationships/hyperlink" Target="https://docs.google.com/forms/d/e/1FAIpQLSeEYwFnViiqk1AbexVe1VDR73UApmeuvfn6Yr2vN8WXjwGu2Q/viewform?edit2=2_ABaOnud4ZPqHfc7y3Qqa1Wm-wG3fa85dxN2_D1qKweSUMurzCNvcPzAxiOzn6P9MK1Ri26w&amp;source=documentstudio&amp;timestamp=1741332347561" TargetMode="External"/><Relationship Id="rId2198" Type="http://schemas.openxmlformats.org/officeDocument/2006/relationships/hyperlink" Target="https://drive.google.com/open?id=1SUaH8vm5pbZqsclV-Q9-1nEnVgcp_abm" TargetMode="External"/><Relationship Id="rId377" Type="http://schemas.openxmlformats.org/officeDocument/2006/relationships/hyperlink" Target="https://drive.google.com/open?id=11ULnFKjuLBhve0chx1Yh5YDfwOEgl3EK" TargetMode="External"/><Relationship Id="rId584" Type="http://schemas.openxmlformats.org/officeDocument/2006/relationships/hyperlink" Target="https://drive.google.com/open?id=1UvFmJ3aVd3Zgeu0UrqXysHOhRvz4y8sK" TargetMode="External"/><Relationship Id="rId2058" Type="http://schemas.openxmlformats.org/officeDocument/2006/relationships/hyperlink" Target="https://drive.google.com/open?id=1MiB-XJrFidn8ucQ0MUJfUa7uT8bFLQel" TargetMode="External"/><Relationship Id="rId2265" Type="http://schemas.openxmlformats.org/officeDocument/2006/relationships/hyperlink" Target="https://docs.google.com/forms/d/e/1FAIpQLSeEYwFnViiqk1AbexVe1VDR73UApmeuvfn6Yr2vN8WXjwGu2Q/viewform?edit2=2_ABaOnufx5tZwzi4qSb5LDWXvg02Z2kIOZASJcoUeRevvsjZWB4xRSgTAFFu7XcdWD0IJmrM&amp;source=documentstudio&amp;timestamp=1757401798463" TargetMode="External"/><Relationship Id="rId237" Type="http://schemas.openxmlformats.org/officeDocument/2006/relationships/hyperlink" Target="https://drive.google.com/open?id=1wHwnm-RpUa_AqYis9Otyg__7ws9fkIk_" TargetMode="External"/><Relationship Id="rId791" Type="http://schemas.openxmlformats.org/officeDocument/2006/relationships/hyperlink" Target="https://docs.google.com/forms/d/e/1FAIpQLSeEYwFnViiqk1AbexVe1VDR73UApmeuvfn6Yr2vN8WXjwGu2Q/viewform?edit2=2_ABaOnueBoodP6kWp-UH7J4MSTSeU2RWOZ_aPGwEdGzSS7dC20TNq3skz7iyJhmOAVqh79GI&amp;source=documentstudio&amp;timestamp=1718181211204" TargetMode="External"/><Relationship Id="rId1074" Type="http://schemas.openxmlformats.org/officeDocument/2006/relationships/hyperlink" Target="https://drive.google.com/open?id=16HhDDRLz2ENDSOEGaX_7UyZZQRkj3Pev" TargetMode="External"/><Relationship Id="rId2472" Type="http://schemas.openxmlformats.org/officeDocument/2006/relationships/hyperlink" Target="https://drive.google.com/open?id=1iR2WGK7qRd5K5_Sgwwc-bGaWJq6lA1AF" TargetMode="External"/><Relationship Id="rId444" Type="http://schemas.openxmlformats.org/officeDocument/2006/relationships/hyperlink" Target="https://drive.google.com/open?id=1Aw_qxwzfoHfK4ClafjUcJkXVpWhWzc2h" TargetMode="External"/><Relationship Id="rId651" Type="http://schemas.openxmlformats.org/officeDocument/2006/relationships/hyperlink" Target="https://docs.google.com/forms/d/e/1FAIpQLSeEYwFnViiqk1AbexVe1VDR73UApmeuvfn6Yr2vN8WXjwGu2Q/viewform?edit2=2_ABaOnudHCI5F21e9OmR-RrbHoOqXzjLUawlL7Vnl5y6vyriX_GSwM8JIqTre-sroTanWjSY&amp;source=documentstudio&amp;timestamp=1717385389113" TargetMode="External"/><Relationship Id="rId1281" Type="http://schemas.openxmlformats.org/officeDocument/2006/relationships/hyperlink" Target="https://docs.google.com/forms/d/e/1FAIpQLSeEYwFnViiqk1AbexVe1VDR73UApmeuvfn6Yr2vN8WXjwGu2Q/viewform?edit2=2_ABaOnufakSarHhIDc3_UMhgWRMHU7v733EgZIdK5VEwaiRc3DBiyyyMJIWTaOuq6V877bug&amp;source=documentstudio&amp;timestamp=1733477015614" TargetMode="External"/><Relationship Id="rId2125" Type="http://schemas.openxmlformats.org/officeDocument/2006/relationships/hyperlink" Target="https://docs.google.com/forms/d/e/1FAIpQLSeEYwFnViiqk1AbexVe1VDR73UApmeuvfn6Yr2vN8WXjwGu2Q/viewform?edit2=2_ABaOnuduSlqhsvo8XKbKLRKeenTIuaMA7CP2Ceo0OT8TCk5H3BodDO3izuZIg_QVvtjB-KI&amp;source=documentstudio&amp;timestamp=1748920104712" TargetMode="External"/><Relationship Id="rId2332" Type="http://schemas.openxmlformats.org/officeDocument/2006/relationships/hyperlink" Target="https://drive.google.com/open?id=1qSDG9p_pK8s_5CgN3b8s41yGihGXi5iu" TargetMode="External"/><Relationship Id="rId304" Type="http://schemas.openxmlformats.org/officeDocument/2006/relationships/hyperlink" Target="https://drive.google.com/open?id=1NAOQYGEC8Piay1NKQvdwJqcB-YYK2uke" TargetMode="External"/><Relationship Id="rId511" Type="http://schemas.openxmlformats.org/officeDocument/2006/relationships/hyperlink" Target="https://drive.google.com/open?id=1rhv6WUCxzw-iDXzEJrlTUXejVdGfZz2p" TargetMode="External"/><Relationship Id="rId1141" Type="http://schemas.openxmlformats.org/officeDocument/2006/relationships/hyperlink" Target="https://docs.google.com/forms/d/e/1FAIpQLSeEYwFnViiqk1AbexVe1VDR73UApmeuvfn6Yr2vN8WXjwGu2Q/viewform?edit2=2_ABaOnuesLTcE6nW-h7A6Og6Z2eE63N7oaL8sEUIZFagZmkp1mCl-KGyzTOUmIv49PwbHTIQ&amp;source=documentstudio&amp;timestamp=1727950913119" TargetMode="External"/><Relationship Id="rId1001" Type="http://schemas.openxmlformats.org/officeDocument/2006/relationships/hyperlink" Target="https://docs.google.com/forms/d/e/1FAIpQLSeEYwFnViiqk1AbexVe1VDR73UApmeuvfn6Yr2vN8WXjwGu2Q/viewform?edit2=2_ABaOnuecuD4nAOam1PLZb10_pUIgjO005xHnhc1QctMZVAwBtPO3PeLJy0nuKMa3gLv6lnc&amp;source=documentstudio&amp;timestamp=1723515730304" TargetMode="External"/><Relationship Id="rId1958" Type="http://schemas.openxmlformats.org/officeDocument/2006/relationships/hyperlink" Target="https://docs.google.com/forms/d/e/1FAIpQLSeEYwFnViiqk1AbexVe1VDR73UApmeuvfn6Yr2vN8WXjwGu2Q/viewform?edit2=2_ABaOnufZJBlx1UySv69q0w0VF5_9XwaTGI_5PgFpMP9ax5PLzKNT5DHvxLjZcL4Z-Jp_bOw&amp;source=documentstudio&amp;timestamp=1747196543154" TargetMode="External"/><Relationship Id="rId1818" Type="http://schemas.openxmlformats.org/officeDocument/2006/relationships/hyperlink" Target="https://docs.google.com/forms/d/e/1FAIpQLSeEYwFnViiqk1AbexVe1VDR73UApmeuvfn6Yr2vN8WXjwGu2Q/viewform?edit2=2_ABaOnufhqdstVxQblTYB7jb7GCWL8wKlz2MlTh4Way_SlOuWj0M9k3CdgAMByq8PQVy3xM0&amp;source=documentstudio&amp;timestamp=1741755604728" TargetMode="External"/><Relationship Id="rId161" Type="http://schemas.openxmlformats.org/officeDocument/2006/relationships/hyperlink" Target="https://drive.google.com/open?id=19JCId6THqskWFMJ8hAVQHjSvcICerlrT" TargetMode="External"/><Relationship Id="rId2799" Type="http://schemas.openxmlformats.org/officeDocument/2006/relationships/hyperlink" Target="https://docs.google.com/forms/d/e/1FAIpQLSeEYwFnViiqk1AbexVe1VDR73UApmeuvfn6Yr2vN8WXjwGu2Q/viewform?edit2=2_ABaOnudkBqVXuSxukkErxkMTij3H_Uy_QBP1MX8rDfV6AInvWtWnh3vwmWvyHk3KggzesOU&amp;source=documentstudio&amp;timestamp=1769392231524" TargetMode="External"/><Relationship Id="rId978" Type="http://schemas.openxmlformats.org/officeDocument/2006/relationships/hyperlink" Target="https://drive.google.com/open?id=1VwN1Q21mPLTdFVc7vnVZ8YQjoBItzfzd" TargetMode="External"/><Relationship Id="rId2659" Type="http://schemas.openxmlformats.org/officeDocument/2006/relationships/hyperlink" Target="https://docs.google.com/forms/d/e/1FAIpQLSeEYwFnViiqk1AbexVe1VDR73UApmeuvfn6Yr2vN8WXjwGu2Q/viewform?edit2=2_ABaOnufLErT7otqvWOFk0wJvzJl84dufGHtiX7K_PmPi2Xyy49hAzLcaOtmmSIMgPTbrn0w&amp;source=documentstudio&amp;timestamp=1768788119587" TargetMode="External"/><Relationship Id="rId2866" Type="http://schemas.openxmlformats.org/officeDocument/2006/relationships/hyperlink" Target="https://drive.google.com/open?id=1K-2tHVXhyOtdMPLPzdDeALhu5WfC2r06" TargetMode="External"/><Relationship Id="rId838" Type="http://schemas.openxmlformats.org/officeDocument/2006/relationships/hyperlink" Target="https://drive.google.com/open?id=1LK7rTu2EvUrSN8a3inpd7aq86i8NjEIc" TargetMode="External"/><Relationship Id="rId1468" Type="http://schemas.openxmlformats.org/officeDocument/2006/relationships/hyperlink" Target="https://drive.google.com/open?id=1r43cttSEc3tXPD3tfFR8vw4RP98F1Xtu" TargetMode="External"/><Relationship Id="rId1675" Type="http://schemas.openxmlformats.org/officeDocument/2006/relationships/hyperlink" Target="https://docs.google.com/forms/d/e/1FAIpQLSeEYwFnViiqk1AbexVe1VDR73UApmeuvfn6Yr2vN8WXjwGu2Q/viewform?edit2=2_ABaOnudmtnUrUmKaBIsr7vBuJMzVET3ynIMtQUqSYeO8uuBu7m4KHbS6T8XpqZFnzStA-kI&amp;source=documentstudio&amp;timestamp=1741334556205" TargetMode="External"/><Relationship Id="rId1882" Type="http://schemas.openxmlformats.org/officeDocument/2006/relationships/hyperlink" Target="https://docs.google.com/forms/d/e/1FAIpQLSeEYwFnViiqk1AbexVe1VDR73UApmeuvfn6Yr2vN8WXjwGu2Q/viewform?edit2=2_ABaOnudJAjTySdNndi3z59VCZ9Sqc-2vqCxlYPtS9yQPz7mAa_rHuUCeb9KkY4U-451xhSY&amp;source=documentstudio&amp;timestamp=1744683324624" TargetMode="External"/><Relationship Id="rId2519" Type="http://schemas.openxmlformats.org/officeDocument/2006/relationships/hyperlink" Target="https://docs.google.com/forms/d/e/1FAIpQLSeEYwFnViiqk1AbexVe1VDR73UApmeuvfn6Yr2vN8WXjwGu2Q/viewform?edit2=2_ABaOnueux9_Kfl-yBhuKj-pVsetnih4T9OFNsjfUppsB2yAXmWKzxqQ0xuc8ftnT63OEIFM&amp;source=documentstudio&amp;timestamp=1768444262166" TargetMode="External"/><Relationship Id="rId2726" Type="http://schemas.openxmlformats.org/officeDocument/2006/relationships/hyperlink" Target="https://drive.google.com/open?id=1KBiPGvD9DSVEE3lV6jlV9LtwmPLOHKrz" TargetMode="External"/><Relationship Id="rId1328" Type="http://schemas.openxmlformats.org/officeDocument/2006/relationships/hyperlink" Target="https://drive.google.com/open?id=1blNNaRcvD5sc0iG8ounuoxFiBweuzQef" TargetMode="External"/><Relationship Id="rId1535" Type="http://schemas.openxmlformats.org/officeDocument/2006/relationships/hyperlink" Target="https://docs.google.com/forms/d/e/1FAIpQLSeEYwFnViiqk1AbexVe1VDR73UApmeuvfn6Yr2vN8WXjwGu2Q/viewform?edit2=2_ABaOnuc_P2HgnCcGz_MTjU_AqcHCcVMJdNVtk0G5FzWHGT0AUwoxS24WHXX2bL-GlJZrbvw&amp;source=documentstudio&amp;timestamp=1739328217805" TargetMode="External"/><Relationship Id="rId2933" Type="http://schemas.openxmlformats.org/officeDocument/2006/relationships/hyperlink" Target="https://drive.google.com/open?id=1KiQPWnRN61WmFxKwyBcWrAQuGWtpcyPM" TargetMode="External"/><Relationship Id="rId905" Type="http://schemas.openxmlformats.org/officeDocument/2006/relationships/hyperlink" Target="https://docs.google.com/forms/d/e/1FAIpQLSeEYwFnViiqk1AbexVe1VDR73UApmeuvfn6Yr2vN8WXjwGu2Q/viewform?edit2=2_ABaOnueHgcAmydC3ONiUthlFL1tcUeIW_kkl7KF8zERecFTK64ZA2XMwIxPQ8Ld0vfwo6MA&amp;source=documentstudio&amp;timestamp=1721619356344" TargetMode="External"/><Relationship Id="rId1742" Type="http://schemas.openxmlformats.org/officeDocument/2006/relationships/hyperlink" Target="https://docs.google.com/forms/d/e/1FAIpQLSeEYwFnViiqk1AbexVe1VDR73UApmeuvfn6Yr2vN8WXjwGu2Q/viewform?edit2=2_ABaOnuebxXzq-hThqWBHL_3GggCZswhUYKo3SnDa1DToIATlv5KcMJMS7tphgTfeF4f3Kc4&amp;source=documentstudio&amp;timestamp=1741567270587" TargetMode="External"/><Relationship Id="rId34" Type="http://schemas.openxmlformats.org/officeDocument/2006/relationships/hyperlink" Target="https://drive.google.com/open?id=10In2ef9D24EOSrx7o92q8JB0gUD4XWb6" TargetMode="External"/><Relationship Id="rId1602" Type="http://schemas.openxmlformats.org/officeDocument/2006/relationships/hyperlink" Target="https://drive.google.com/open?id=1AIw4Z0vPlDxLN8HubjSYvW3ccNV5-kAV" TargetMode="External"/><Relationship Id="rId488" Type="http://schemas.openxmlformats.org/officeDocument/2006/relationships/hyperlink" Target="https://drive.google.com/open?id=151sQ3t2tXdn3_13wh0xQKc3ijEZuznQD" TargetMode="External"/><Relationship Id="rId695" Type="http://schemas.openxmlformats.org/officeDocument/2006/relationships/hyperlink" Target="https://docs.google.com/forms/d/e/1FAIpQLSeEYwFnViiqk1AbexVe1VDR73UApmeuvfn6Yr2vN8WXjwGu2Q/viewform?edit2=2_ABaOnufmKg41rslmxL4THurAlDh0014kYTOy6GvkdVRFCeeOlndqFZq4qdeSXfRib42Iu9U&amp;source=documentstudio&amp;timestamp=1717468135320" TargetMode="External"/><Relationship Id="rId2169" Type="http://schemas.openxmlformats.org/officeDocument/2006/relationships/hyperlink" Target="https://docs.google.com/forms/d/e/1FAIpQLSeEYwFnViiqk1AbexVe1VDR73UApmeuvfn6Yr2vN8WXjwGu2Q/viewform?edit2=2_ABaOnudcHiUEsmw-RAfwz4KsL16SJJ8n141adqox1Ah2AugOvBrIWhCaEbncFICKKrhTkp4&amp;source=documentstudio&amp;timestamp=1750641950934" TargetMode="External"/><Relationship Id="rId2376" Type="http://schemas.openxmlformats.org/officeDocument/2006/relationships/hyperlink" Target="https://drive.google.com/open?id=1gknLcdvGSdH5axGLldlmdKM8kbpG60Rr" TargetMode="External"/><Relationship Id="rId2583" Type="http://schemas.openxmlformats.org/officeDocument/2006/relationships/hyperlink" Target="https://docs.google.com/forms/d/e/1FAIpQLSeEYwFnViiqk1AbexVe1VDR73UApmeuvfn6Yr2vN8WXjwGu2Q/viewform?edit2=2_ABaOnufbgK_niL4k72sY0DP6PfD0OWtuZNwDZsnT0hxEjxwtzVvGCrF33i7AgrHMW-EtvJ0&amp;source=documentstudio&amp;timestamp=1768463801547" TargetMode="External"/><Relationship Id="rId2790" Type="http://schemas.openxmlformats.org/officeDocument/2006/relationships/hyperlink" Target="https://drive.google.com/open?id=1TG6TFUTGLoTUiGMn9tPq0aj_P9OLZPg9" TargetMode="External"/><Relationship Id="rId348" Type="http://schemas.openxmlformats.org/officeDocument/2006/relationships/hyperlink" Target="https://drive.google.com/open?id=1cJfsRlfZ1ZhgoFPCTYMLZBcFOwfJ_qeQ" TargetMode="External"/><Relationship Id="rId555" Type="http://schemas.openxmlformats.org/officeDocument/2006/relationships/hyperlink" Target="https://drive.google.com/open?id=1SxLMcRtTeO798fCeSiSDjxV1GLCw02hO" TargetMode="External"/><Relationship Id="rId762" Type="http://schemas.openxmlformats.org/officeDocument/2006/relationships/hyperlink" Target="https://drive.google.com/open?id=1CbaxdG_anw2VFcwfcJbfGZm8rPqoNvhW" TargetMode="External"/><Relationship Id="rId1185" Type="http://schemas.openxmlformats.org/officeDocument/2006/relationships/hyperlink" Target="https://docs.google.com/forms/d/e/1FAIpQLSeEYwFnViiqk1AbexVe1VDR73UApmeuvfn6Yr2vN8WXjwGu2Q/viewform?edit2=2_ABaOnueufkndtK6M5fxFMqML1xikpF17NbB9WrguI5vjG1NjjdoQEIQ2XJ52sun3FVa8d-g&amp;source=documentstudio&amp;timestamp=1730940729706" TargetMode="External"/><Relationship Id="rId1392" Type="http://schemas.openxmlformats.org/officeDocument/2006/relationships/hyperlink" Target="https://drive.google.com/open?id=1yZasenxfKH25-0BtbhXI6kZOROEL0uZX" TargetMode="External"/><Relationship Id="rId2029" Type="http://schemas.openxmlformats.org/officeDocument/2006/relationships/hyperlink" Target="https://docs.google.com/forms/d/e/1FAIpQLSeEYwFnViiqk1AbexVe1VDR73UApmeuvfn6Yr2vN8WXjwGu2Q/viewform?edit2=2_ABaOnufEIABBgF_arms-25-qdnLFk0F1mKnUFfSO1V9r0u_3jqgk-Eqcoe7WAlHeCY80kvk&amp;source=documentstudio&amp;timestamp=1748831936371" TargetMode="External"/><Relationship Id="rId2236" Type="http://schemas.openxmlformats.org/officeDocument/2006/relationships/hyperlink" Target="https://drive.google.com/open?id=1_ANwaUOwgjlIpl8zNhN7DzhVeBeeDxwv" TargetMode="External"/><Relationship Id="rId2443" Type="http://schemas.openxmlformats.org/officeDocument/2006/relationships/hyperlink" Target="https://docs.google.com/forms/d/e/1FAIpQLSeEYwFnViiqk1AbexVe1VDR73UApmeuvfn6Yr2vN8WXjwGu2Q/viewform?edit2=2_ABaOnueI6RoXNUnhdtUQH1Ymb9IVWb5O0y92JYS6VDNiOWZBOwjHEfj7o7xjkk9ZdHcN2L4&amp;source=documentstudio&amp;timestamp=1768441595091" TargetMode="External"/><Relationship Id="rId2650" Type="http://schemas.openxmlformats.org/officeDocument/2006/relationships/hyperlink" Target="https://drive.google.com/open?id=1JZqygkcuV1HPC9u6pyViJcV_zV4w2Nv4" TargetMode="External"/><Relationship Id="rId208" Type="http://schemas.openxmlformats.org/officeDocument/2006/relationships/hyperlink" Target="https://drive.google.com/open?id=1UsJX0QAxZmDfu_LuO-chGXbw-ZPT9wFw" TargetMode="External"/><Relationship Id="rId415" Type="http://schemas.openxmlformats.org/officeDocument/2006/relationships/hyperlink" Target="https://drive.google.com/open?id=1Jgvsf3DCckg6QAWQgDaTye95wB-MdSHh" TargetMode="External"/><Relationship Id="rId622" Type="http://schemas.openxmlformats.org/officeDocument/2006/relationships/hyperlink" Target="https://drive.google.com/open?id=1ZS6X8dWDXQPyxfyNoCkUrNTYVBzWKSG3" TargetMode="External"/><Relationship Id="rId1045" Type="http://schemas.openxmlformats.org/officeDocument/2006/relationships/hyperlink" Target="https://docs.google.com/forms/d/e/1FAIpQLSeEYwFnViiqk1AbexVe1VDR73UApmeuvfn6Yr2vN8WXjwGu2Q/viewform?edit2=2_ABaOnuf0MB9Z45S_syLnHerBRIrZun8JfpucoQ47R3b52Gozdr9BOCrGJ61mb1GIlu-1iyw&amp;source=documentstudio&amp;timestamp=1725498091806" TargetMode="External"/><Relationship Id="rId1252" Type="http://schemas.openxmlformats.org/officeDocument/2006/relationships/hyperlink" Target="https://drive.google.com/open?id=1Ix_WfgzVpDhC6YNw-oeDTv3xdlz9EjAu" TargetMode="External"/><Relationship Id="rId2303" Type="http://schemas.openxmlformats.org/officeDocument/2006/relationships/hyperlink" Target="https://docs.google.com/forms/d/e/1FAIpQLSeEYwFnViiqk1AbexVe1VDR73UApmeuvfn6Yr2vN8WXjwGu2Q/viewform?edit2=2_ABaOnudMxIYfBohnpUwpm1HZfbha2to85FL0Ebn_p3Pb8zVBvrLKfRaWJRha6W4Fg-ngxtg&amp;source=documentstudio&amp;timestamp=1759998531176" TargetMode="External"/><Relationship Id="rId2510" Type="http://schemas.openxmlformats.org/officeDocument/2006/relationships/hyperlink" Target="https://drive.google.com/open?id=1zMWY2K_HEd2Ey9CGLhouR7nvYVD7295G" TargetMode="External"/><Relationship Id="rId1112" Type="http://schemas.openxmlformats.org/officeDocument/2006/relationships/hyperlink" Target="https://drive.google.com/open?id=1q5hJstpqcL6JdIhneRVeZCH7EfdOuTUu" TargetMode="External"/><Relationship Id="rId1929" Type="http://schemas.openxmlformats.org/officeDocument/2006/relationships/hyperlink" Target="https://drive.google.com/open?id=1ISq_naRhIb6E3wtVmeXT2ysjMt9eZpMv" TargetMode="External"/><Relationship Id="rId2093" Type="http://schemas.openxmlformats.org/officeDocument/2006/relationships/hyperlink" Target="https://docs.google.com/forms/d/e/1FAIpQLSeEYwFnViiqk1AbexVe1VDR73UApmeuvfn6Yr2vN8WXjwGu2Q/viewform?edit2=2_ABaOnuerk-TUkx0fDyDBI04fcKZEVW_wbXK2STYRnhKJF2p2CPzsGAG4Mr7BWYwzx4YUSQM&amp;source=documentstudio&amp;timestamp=1748917151647" TargetMode="External"/><Relationship Id="rId272" Type="http://schemas.openxmlformats.org/officeDocument/2006/relationships/hyperlink" Target="https://drive.google.com/open?id=1hR3mxS1MZa0tC_vmAvAuBkozVAe94sDb" TargetMode="External"/><Relationship Id="rId2160" Type="http://schemas.openxmlformats.org/officeDocument/2006/relationships/hyperlink" Target="https://drive.google.com/open?id=11M4Zp_gbuLQDmSMjBlfyeqesrewnWP0y" TargetMode="External"/><Relationship Id="rId132" Type="http://schemas.openxmlformats.org/officeDocument/2006/relationships/hyperlink" Target="https://drive.google.com/open?id=1odgH3epfJul1STZ21GnkGTGGVuCYzL1D" TargetMode="External"/><Relationship Id="rId2020" Type="http://schemas.openxmlformats.org/officeDocument/2006/relationships/hyperlink" Target="https://drive.google.com/open?id=11fow8wlD8LpmfkdGTkcx4ho3O_PvdPQX" TargetMode="External"/><Relationship Id="rId1579" Type="http://schemas.openxmlformats.org/officeDocument/2006/relationships/hyperlink" Target="https://docs.google.com/forms/d/e/1FAIpQLSeEYwFnViiqk1AbexVe1VDR73UApmeuvfn6Yr2vN8WXjwGu2Q/viewform?edit2=2_ABaOnueAjkbvN5SfSqWS-i5BIoL-hB6JtukUccRMesguHpSWMzSUHTxrbOAG0eLWH5jg9jw&amp;source=documentstudio&amp;timestamp=1739329378831" TargetMode="External"/><Relationship Id="rId949" Type="http://schemas.openxmlformats.org/officeDocument/2006/relationships/hyperlink" Target="https://docs.google.com/forms/d/e/1FAIpQLSeEYwFnViiqk1AbexVe1VDR73UApmeuvfn6Yr2vN8WXjwGu2Q/viewform?edit2=2_ABaOnuexXUCLrRgybcVrkgHuAsAi80YV9zc9nLTPkTdxrZQegQfRgjBHVDiRr_kJiPJOhms&amp;source=documentstudio&amp;timestamp=1721626191446" TargetMode="External"/><Relationship Id="rId1786" Type="http://schemas.openxmlformats.org/officeDocument/2006/relationships/hyperlink" Target="https://docs.google.com/forms/d/e/1FAIpQLSeEYwFnViiqk1AbexVe1VDR73UApmeuvfn6Yr2vN8WXjwGu2Q/viewform?edit2=2_ABaOnufYaIMW3Ms9jrK8GHDFhmEI3y3YR-Z8HDnQyxAGPRB6dxgb1cpIq9S9XFA3edcZ5rc&amp;source=documentstudio&amp;timestamp=1741575755596" TargetMode="External"/><Relationship Id="rId1993" Type="http://schemas.openxmlformats.org/officeDocument/2006/relationships/hyperlink" Target="https://docs.google.com/forms/d/e/1FAIpQLSeEYwFnViiqk1AbexVe1VDR73UApmeuvfn6Yr2vN8WXjwGu2Q/viewform?edit2=2_ABaOnufY9Vj2ONwWBRxwmdmRfCfnix_oXOxrlZO0Tuk2EooZr_B1z48v4cewrZLuX_SzWZc&amp;source=documentstudio&amp;timestamp=1748491105075" TargetMode="External"/><Relationship Id="rId2837" Type="http://schemas.openxmlformats.org/officeDocument/2006/relationships/hyperlink" Target="https://docs.google.com/forms/d/e/1FAIpQLSeEYwFnViiqk1AbexVe1VDR73UApmeuvfn6Yr2vN8WXjwGu2Q/viewform?edit2=2_ABaOnuel4DERn8SbxAp0W70EwL_Q4w0fUA2zYti9yDf4AEh1-R9z8v3oeMKniB1PL2pDY78&amp;source=documentstudio&amp;timestamp=1769402628932" TargetMode="External"/><Relationship Id="rId78" Type="http://schemas.openxmlformats.org/officeDocument/2006/relationships/hyperlink" Target="https://drive.google.com/open?id=1JW1nTcl1ve3W3icoSvo2-9XOm9fzoLth" TargetMode="External"/><Relationship Id="rId809" Type="http://schemas.openxmlformats.org/officeDocument/2006/relationships/hyperlink" Target="https://docs.google.com/forms/d/e/1FAIpQLSeEYwFnViiqk1AbexVe1VDR73UApmeuvfn6Yr2vN8WXjwGu2Q/viewform?edit2=2_ABaOnucGR6m3TxSnKl1X2wUXsmohu9uUiRPaN7iSxs9zcytViIbtpfbgq7Oen38ekr9cRhU&amp;source=documentstudio&amp;timestamp=1720408137238" TargetMode="External"/><Relationship Id="rId1439" Type="http://schemas.openxmlformats.org/officeDocument/2006/relationships/hyperlink" Target="https://docs.google.com/forms/d/e/1FAIpQLSeEYwFnViiqk1AbexVe1VDR73UApmeuvfn6Yr2vN8WXjwGu2Q/viewform?edit2=2_ABaOnudWoL2W4xSpIZVLpPtJ4dDpGjofDztu257b3QGx7-SSLW048ZQmQMz3VRPTvsaNHgQ&amp;source=documentstudio&amp;timestamp=1737446878914" TargetMode="External"/><Relationship Id="rId1646" Type="http://schemas.openxmlformats.org/officeDocument/2006/relationships/hyperlink" Target="https://drive.google.com/open?id=1aLHx3BxAsKtCor3loblbHA63cHIe-GgY" TargetMode="External"/><Relationship Id="rId1853" Type="http://schemas.openxmlformats.org/officeDocument/2006/relationships/hyperlink" Target="https://drive.google.com/open?id=1jUevP-zoSEvAdtIijdgpTQzEKpwcyfOd" TargetMode="External"/><Relationship Id="rId2904" Type="http://schemas.openxmlformats.org/officeDocument/2006/relationships/hyperlink" Target="https://docs.google.com/forms/d/e/1FAIpQLSeEYwFnViiqk1AbexVe1VDR73UApmeuvfn6Yr2vN8WXjwGu2Q/viewform?edit2=2_ABaOnufXTrk7xAdZWUNLIQ7hXnpsMmoGYgZCA9dqjoThPkAZndKRj7fEPteZXnYPGt3xQwo&amp;source=documentstudio&amp;timestamp=1769500754041" TargetMode="External"/><Relationship Id="rId1506" Type="http://schemas.openxmlformats.org/officeDocument/2006/relationships/hyperlink" Target="https://drive.google.com/open?id=1fm1qUNcigyBnVG7xbTE9_aSJdO3x9CTK" TargetMode="External"/><Relationship Id="rId1713" Type="http://schemas.openxmlformats.org/officeDocument/2006/relationships/hyperlink" Target="https://docs.google.com/forms/d/e/1FAIpQLSeEYwFnViiqk1AbexVe1VDR73UApmeuvfn6Yr2vN8WXjwGu2Q/viewform?edit2=2_ABaOnud4teNJzycOLfzdBELkEA2ihbhXS1Dnc3TYILMf0Fw_QKz6w6lL0DVsoA-Kf60CYpg&amp;source=documentstudio&amp;timestamp=1741340483832" TargetMode="External"/><Relationship Id="rId1920" Type="http://schemas.openxmlformats.org/officeDocument/2006/relationships/hyperlink" Target="https://docs.google.com/forms/d/e/1FAIpQLSeEYwFnViiqk1AbexVe1VDR73UApmeuvfn6Yr2vN8WXjwGu2Q/viewform?edit2=2_ABaOnueepRL-0dvpqznxIuuI0m0L6lB04-E8VNiEFtqBm51Jz2Kq9fNYSyXaZwTBd2Dsh3I&amp;source=documentstudio&amp;timestamp=1745398292764" TargetMode="External"/><Relationship Id="rId599" Type="http://schemas.openxmlformats.org/officeDocument/2006/relationships/hyperlink" Target="https://drive.google.com/open?id=11TRTkZh1ZKHu0zwgRf2lLFcdMV0AvAEQ" TargetMode="External"/><Relationship Id="rId2487" Type="http://schemas.openxmlformats.org/officeDocument/2006/relationships/hyperlink" Target="https://docs.google.com/forms/d/e/1FAIpQLSeEYwFnViiqk1AbexVe1VDR73UApmeuvfn6Yr2vN8WXjwGu2Q/viewform?edit2=2_ABaOnuf8FJaiYaNZy-aCPGe7zwWYsTpYyxxEuYsvthTfqDroUjb0wUb2_S-OpqeE7OMamQY&amp;source=documentstudio&amp;timestamp=1768443176594" TargetMode="External"/><Relationship Id="rId2694" Type="http://schemas.openxmlformats.org/officeDocument/2006/relationships/hyperlink" Target="https://drive.google.com/open?id=1gAu1Q9auTnZxuR2n3U5Ye1GUBcypk9qO" TargetMode="External"/><Relationship Id="rId459" Type="http://schemas.openxmlformats.org/officeDocument/2006/relationships/hyperlink" Target="https://drive.google.com/open?id=1cjeXK-KRUcbRrU1RxvfMywnIDP_vv7HB" TargetMode="External"/><Relationship Id="rId666" Type="http://schemas.openxmlformats.org/officeDocument/2006/relationships/hyperlink" Target="https://drive.google.com/open?id=1Ih5ipQHCmmqNODCQiJsI9sLnotOWm2u7" TargetMode="External"/><Relationship Id="rId873" Type="http://schemas.openxmlformats.org/officeDocument/2006/relationships/hyperlink" Target="https://docs.google.com/forms/d/e/1FAIpQLSeEYwFnViiqk1AbexVe1VDR73UApmeuvfn6Yr2vN8WXjwGu2Q/viewform?edit2=2_ABaOnucrUd6pNlXIfEu0BAvipzHtRERSBSmn0gfBRhqf9ctsZOt3ysvWONAjaxPhiUu97TE&amp;source=documentstudio&amp;timestamp=1720488705412" TargetMode="External"/><Relationship Id="rId1089" Type="http://schemas.openxmlformats.org/officeDocument/2006/relationships/hyperlink" Target="https://docs.google.com/forms/d/e/1FAIpQLSeEYwFnViiqk1AbexVe1VDR73UApmeuvfn6Yr2vN8WXjwGu2Q/viewform?edit2=2_ABaOnuf3LHWTFWreFl_cpmeYZjqkwN4J5GHs0TvIpcdy1xtUBW9ZKRsOq51j_NJ6jpxYq0U&amp;source=documentstudio&amp;timestamp=1726039846934" TargetMode="External"/><Relationship Id="rId1296" Type="http://schemas.openxmlformats.org/officeDocument/2006/relationships/hyperlink" Target="https://drive.google.com/open?id=1YoDzGa2iFRFZKXdX7Z5N6uGHgIChZMpI" TargetMode="External"/><Relationship Id="rId2347" Type="http://schemas.openxmlformats.org/officeDocument/2006/relationships/hyperlink" Target="https://docs.google.com/forms/d/e/1FAIpQLSeEYwFnViiqk1AbexVe1VDR73UApmeuvfn6Yr2vN8WXjwGu2Q/viewform?edit2=2_ABaOnucsTgaruA_xkZ-lT0OSbw4gdVK27FAz0LXoDsDgANlJz5nfgIo9aWn4TqQ6d9PnR1Y&amp;source=documentstudio&amp;timestamp=1768362741239" TargetMode="External"/><Relationship Id="rId2554" Type="http://schemas.openxmlformats.org/officeDocument/2006/relationships/hyperlink" Target="https://drive.google.com/open?id=1E6ukVUIN9IRkx73vFanjD6UMxfKwXQsU" TargetMode="External"/><Relationship Id="rId319" Type="http://schemas.openxmlformats.org/officeDocument/2006/relationships/hyperlink" Target="https://drive.google.com/open?id=1MyMX9ezOJBR1JJ0QQEIMyVSaYGuZ1kYt" TargetMode="External"/><Relationship Id="rId526" Type="http://schemas.openxmlformats.org/officeDocument/2006/relationships/hyperlink" Target="https://drive.google.com/open?id=1GEwamwj6PVOMLV5bZSZgttv0CkPg63Nf" TargetMode="External"/><Relationship Id="rId1156" Type="http://schemas.openxmlformats.org/officeDocument/2006/relationships/hyperlink" Target="https://drive.google.com/open?id=1up-0nM0dZkiSg09QyJ7j1_iFrc05jiLF" TargetMode="External"/><Relationship Id="rId1363" Type="http://schemas.openxmlformats.org/officeDocument/2006/relationships/hyperlink" Target="https://docs.google.com/forms/d/e/1FAIpQLSeEYwFnViiqk1AbexVe1VDR73UApmeuvfn6Yr2vN8WXjwGu2Q/viewform?edit2=2_ABaOnudxpl1Vd1ugxDdo3PKQZybfVNQE2ki8wQln9KPhOj8VL-XI9WxmpRqaThUIDqyQVNY&amp;source=documentstudio&amp;timestamp=1736232137221" TargetMode="External"/><Relationship Id="rId2207" Type="http://schemas.openxmlformats.org/officeDocument/2006/relationships/hyperlink" Target="https://docs.google.com/forms/d/e/1FAIpQLSeEYwFnViiqk1AbexVe1VDR73UApmeuvfn6Yr2vN8WXjwGu2Q/viewform?edit2=2_ABaOnudYZrW7Roe0tBY-iFI_fjhVjPBGA1XnZ49OA3KftkDoqTaWpVTSbElHQ40tWEoo1Yc&amp;source=documentstudio&amp;timestamp=1751337251837" TargetMode="External"/><Relationship Id="rId2761" Type="http://schemas.openxmlformats.org/officeDocument/2006/relationships/hyperlink" Target="https://docs.google.com/forms/d/e/1FAIpQLSeEYwFnViiqk1AbexVe1VDR73UApmeuvfn6Yr2vN8WXjwGu2Q/viewform?edit2=2_ABaOnue6ghjsCyg0XLRucPEzDChS2b76J6_OoNE6wQPLoeA-7eFEvfsi4cDPP-qYom7XYUI&amp;source=documentstudio&amp;timestamp=1768884628570" TargetMode="External"/><Relationship Id="rId733" Type="http://schemas.openxmlformats.org/officeDocument/2006/relationships/hyperlink" Target="https://docs.google.com/forms/d/e/1FAIpQLSeEYwFnViiqk1AbexVe1VDR73UApmeuvfn6Yr2vN8WXjwGu2Q/viewform?edit2=2_ABaOnue1VMMh8QSrK5avf_iZBZTkHyCnpylBSVomxeqUnRSMC0yoyMq73ASyuwHRLkSv4ow&amp;source=documentstudio&amp;timestamp=1717988268726" TargetMode="External"/><Relationship Id="rId940" Type="http://schemas.openxmlformats.org/officeDocument/2006/relationships/hyperlink" Target="https://drive.google.com/open?id=1PTiQwoD7HhYyiMAo-8KYZWbqxKiLl8Xi" TargetMode="External"/><Relationship Id="rId1016" Type="http://schemas.openxmlformats.org/officeDocument/2006/relationships/hyperlink" Target="https://drive.google.com/open?id=1dFMEKOHeaotAGdPKn1vfUKcPAJzWcfbZ" TargetMode="External"/><Relationship Id="rId1570" Type="http://schemas.openxmlformats.org/officeDocument/2006/relationships/hyperlink" Target="https://drive.google.com/open?id=1mIJ73DgG32BGcjs7BGzJL9kYbxkwP_Wv" TargetMode="External"/><Relationship Id="rId2414" Type="http://schemas.openxmlformats.org/officeDocument/2006/relationships/hyperlink" Target="https://drive.google.com/open?id=1bn8Za39AXD2YE2zXE_AdcBhr3qqKwRo0" TargetMode="External"/><Relationship Id="rId2621" Type="http://schemas.openxmlformats.org/officeDocument/2006/relationships/hyperlink" Target="https://docs.google.com/forms/d/e/1FAIpQLSeEYwFnViiqk1AbexVe1VDR73UApmeuvfn6Yr2vN8WXjwGu2Q/viewform?edit2=2_ABaOnucxNziK9zIn_SNOIKB2MZTgLLt5dCiq6OEv-w4F3cmEoRSe5_SMZba2UIjHJTh_j54&amp;source=documentstudio&amp;timestamp=1768467155682" TargetMode="External"/><Relationship Id="rId800" Type="http://schemas.openxmlformats.org/officeDocument/2006/relationships/hyperlink" Target="https://drive.google.com/open?id=12o0HZbYwQsB--xchgs9e1oRS4bVI10GX" TargetMode="External"/><Relationship Id="rId1223" Type="http://schemas.openxmlformats.org/officeDocument/2006/relationships/hyperlink" Target="https://docs.google.com/forms/d/e/1FAIpQLSeEYwFnViiqk1AbexVe1VDR73UApmeuvfn6Yr2vN8WXjwGu2Q/viewform?edit2=2_ABaOnufQWJya0tLTSjTZVV2cznx7_0SzmyWQ6QrK6uZ7Ogbi9O4uSVtktCijSmGLsBq_btY&amp;source=documentstudio&amp;timestamp=1731552626106" TargetMode="External"/><Relationship Id="rId1430" Type="http://schemas.openxmlformats.org/officeDocument/2006/relationships/hyperlink" Target="https://drive.google.com/open?id=10oWgqefEZWX_-2Sflj0qeF2eJd1PMyC2" TargetMode="External"/><Relationship Id="rId176" Type="http://schemas.openxmlformats.org/officeDocument/2006/relationships/hyperlink" Target="https://drive.google.com/open?id=1iIoWMaQE_7IrI8Wmz9JA3K20ioB4ecCu" TargetMode="External"/><Relationship Id="rId383" Type="http://schemas.openxmlformats.org/officeDocument/2006/relationships/hyperlink" Target="https://drive.google.com/open?id=1ImeBx-hbAVss5Sif38niOiPKKB-teHF4" TargetMode="External"/><Relationship Id="rId590" Type="http://schemas.openxmlformats.org/officeDocument/2006/relationships/hyperlink" Target="https://drive.google.com/open?id=1BeFE1EmBLFewVUTPoYbRtvWBgf2v34mh" TargetMode="External"/><Relationship Id="rId2064" Type="http://schemas.openxmlformats.org/officeDocument/2006/relationships/hyperlink" Target="https://drive.google.com/open?id=1r9mIgP-SesU0qqZQfNkxfh1JNxZAp7cV" TargetMode="External"/><Relationship Id="rId2271" Type="http://schemas.openxmlformats.org/officeDocument/2006/relationships/hyperlink" Target="https://docs.google.com/forms/d/e/1FAIpQLSeEYwFnViiqk1AbexVe1VDR73UApmeuvfn6Yr2vN8WXjwGu2Q/viewform?edit2=2_ABaOnucmppdr-R8zdAP9nWgGLxq86NlomXp-2XJR6rUjNx0s2uBlpaH227ACM1cLMAmZ1Aw&amp;source=documentstudio&amp;timestamp=1757401846986" TargetMode="External"/><Relationship Id="rId243" Type="http://schemas.openxmlformats.org/officeDocument/2006/relationships/hyperlink" Target="https://drive.google.com/open?id=1tzL5mm5jra6QpMgse8fcavB1SSIncN1U" TargetMode="External"/><Relationship Id="rId450" Type="http://schemas.openxmlformats.org/officeDocument/2006/relationships/hyperlink" Target="https://drive.google.com/open?id=1nSMAUnOQ_N944Q7yYNmoyF4ojt9YXkDY" TargetMode="External"/><Relationship Id="rId1080" Type="http://schemas.openxmlformats.org/officeDocument/2006/relationships/hyperlink" Target="https://drive.google.com/open?id=1668sBtNqFITuLj184TuPTRThCKLwU9IO" TargetMode="External"/><Relationship Id="rId2131" Type="http://schemas.openxmlformats.org/officeDocument/2006/relationships/hyperlink" Target="https://docs.google.com/forms/d/e/1FAIpQLSeEYwFnViiqk1AbexVe1VDR73UApmeuvfn6Yr2vN8WXjwGu2Q/viewform?edit2=2_ABaOnucuMC4rIPbN33tf8YxFwPd_oHQyQTjHyPF2Spp9sxUUTxCXw2ZDWME30JzEUK5S7og&amp;source=documentstudio&amp;timestamp=1748920207209" TargetMode="External"/><Relationship Id="rId103" Type="http://schemas.openxmlformats.org/officeDocument/2006/relationships/hyperlink" Target="https://drive.google.com/open?id=1XJN3zcT5clEQElp89rAPKh6XITNM3y_l" TargetMode="External"/><Relationship Id="rId310" Type="http://schemas.openxmlformats.org/officeDocument/2006/relationships/hyperlink" Target="https://drive.google.com/open?id=1ZR0GY3_Ez87vVdGw-F-U7keQ24SYgAC_" TargetMode="External"/><Relationship Id="rId1897" Type="http://schemas.openxmlformats.org/officeDocument/2006/relationships/hyperlink" Target="https://drive.google.com/open?id=1k5tQvd5zu7r2c8hm4mRsENBuXNCMkLvU" TargetMode="External"/><Relationship Id="rId2948" Type="http://schemas.openxmlformats.org/officeDocument/2006/relationships/hyperlink" Target="https://docs.google.com/forms/d/e/1FAIpQLSeEYwFnViiqk1AbexVe1VDR73UApmeuvfn6Yr2vN8WXjwGu2Q/viewform?edit2=2_ABaOnucQTN1B4yJm5BtMwnIYU9po-P4Oougtoap1u0zMQFkZoDzZM0kWmO5cAMJwu1zkoN0&amp;source=documentstudio&amp;timestamp=1769595770904" TargetMode="External"/><Relationship Id="rId1757" Type="http://schemas.openxmlformats.org/officeDocument/2006/relationships/hyperlink" Target="https://drive.google.com/open?id=1qlTn1J3Q87s6cuNjjV8YKH3cv8hBqsxn" TargetMode="External"/><Relationship Id="rId1964" Type="http://schemas.openxmlformats.org/officeDocument/2006/relationships/hyperlink" Target="https://docs.google.com/forms/d/e/1FAIpQLSeEYwFnViiqk1AbexVe1VDR73UApmeuvfn6Yr2vN8WXjwGu2Q/viewform?edit2=2_ABaOnudGNCvfvgaAym8DGxkvTRmjsLOYeoduYq_f608B3CBfHHmcW5DzruPTVXFRRUNlJ_o&amp;source=documentstudio&amp;timestamp=1747296330431" TargetMode="External"/><Relationship Id="rId2808" Type="http://schemas.openxmlformats.org/officeDocument/2006/relationships/hyperlink" Target="https://drive.google.com/open?id=1qDSGBeKi1llO0y2xSiJvXe0oxO-IYWg8" TargetMode="External"/><Relationship Id="rId49" Type="http://schemas.openxmlformats.org/officeDocument/2006/relationships/hyperlink" Target="https://drive.google.com/open?id=1OBSIZyzoKPMq74LKOJ9xISNBX_NekaSz" TargetMode="External"/><Relationship Id="rId1617" Type="http://schemas.openxmlformats.org/officeDocument/2006/relationships/hyperlink" Target="https://docs.google.com/forms/d/e/1FAIpQLSeEYwFnViiqk1AbexVe1VDR73UApmeuvfn6Yr2vN8WXjwGu2Q/viewform?edit2=2_ABaOnudJH3899CL8E03VXUXteQuW6I9Wh55D9-rxeJWK8p2BAaZXSTHNKpY8t5HJDr-C8w0&amp;source=documentstudio&amp;timestamp=1739330290980" TargetMode="External"/><Relationship Id="rId1824" Type="http://schemas.openxmlformats.org/officeDocument/2006/relationships/hyperlink" Target="https://docs.google.com/forms/d/e/1FAIpQLSeEYwFnViiqk1AbexVe1VDR73UApmeuvfn6Yr2vN8WXjwGu2Q/viewform?edit2=2_ABaOnueSViGcG_LBdpkuw9wWlxucxPxGH527dXhoqWslAw9MtJyI9lS14ZVECqotEMuuc2o&amp;source=documentstudio&amp;timestamp=1741834159430" TargetMode="External"/><Relationship Id="rId2598" Type="http://schemas.openxmlformats.org/officeDocument/2006/relationships/hyperlink" Target="https://drive.google.com/open?id=11W_ivlW2OL1nxoHjrTmL7e2Nq56bgyyZ" TargetMode="External"/><Relationship Id="rId777" Type="http://schemas.openxmlformats.org/officeDocument/2006/relationships/hyperlink" Target="https://docs.google.com/forms/d/e/1FAIpQLSeEYwFnViiqk1AbexVe1VDR73UApmeuvfn6Yr2vN8WXjwGu2Q/viewform?edit2=2_ABaOnuexMdM1u8uzaWrGTlN3AtcnnlPEIv-3wNey3bHeJaBTxyyS5GcW_Ym4OZQzqCgqLkw&amp;source=documentstudio&amp;timestamp=1718176780826" TargetMode="External"/><Relationship Id="rId984" Type="http://schemas.openxmlformats.org/officeDocument/2006/relationships/hyperlink" Target="https://drive.google.com/open?id=1-jf5Y7GTlzZ3cr9e1LbPeFcqsVbNyTR7" TargetMode="External"/><Relationship Id="rId2458" Type="http://schemas.openxmlformats.org/officeDocument/2006/relationships/hyperlink" Target="https://drive.google.com/open?id=1CwWJ6kXNZDenpXKHEWKME5oJFu9yZUmV" TargetMode="External"/><Relationship Id="rId2665" Type="http://schemas.openxmlformats.org/officeDocument/2006/relationships/hyperlink" Target="https://docs.google.com/forms/d/e/1FAIpQLSeEYwFnViiqk1AbexVe1VDR73UApmeuvfn6Yr2vN8WXjwGu2Q/viewform?edit2=2_ABaOnucyjM0HJmetoMMdKnrJtfSFWNZ8V4uqkeG8SVwuPYGezXbpiel_hYquACLBtL8SwzQ&amp;source=documentstudio&amp;timestamp=1768789686624" TargetMode="External"/><Relationship Id="rId2872" Type="http://schemas.openxmlformats.org/officeDocument/2006/relationships/hyperlink" Target="https://drive.google.com/open?id=1FSbCWDu03ywT5fm5cdXmhW-mvV_yH1WK" TargetMode="External"/><Relationship Id="rId637" Type="http://schemas.openxmlformats.org/officeDocument/2006/relationships/hyperlink" Target="https://docs.google.com/forms/d/e/1FAIpQLSeEYwFnViiqk1AbexVe1VDR73UApmeuvfn6Yr2vN8WXjwGu2Q/viewform?edit2=2_ABaOnucFgY8RatRmvILNcjat0RmYlooCfbuea0IwTlUMDKYct39fnqqzDN1RUrcsOA90sRs&amp;source=documentstudio&amp;timestamp=1717383985464" TargetMode="External"/><Relationship Id="rId844" Type="http://schemas.openxmlformats.org/officeDocument/2006/relationships/hyperlink" Target="https://drive.google.com/open?id=1IQjZjKXgdhUt2YxWyH8WJy-WvF-K7XfQ" TargetMode="External"/><Relationship Id="rId1267" Type="http://schemas.openxmlformats.org/officeDocument/2006/relationships/hyperlink" Target="https://docs.google.com/forms/d/e/1FAIpQLSeEYwFnViiqk1AbexVe1VDR73UApmeuvfn6Yr2vN8WXjwGu2Q/viewform?edit2=2_ABaOnudtgAGBvFgIyUYOodpW-5w5pTmaUWkBDYYYzkc1u0msQW_xJLYXQDQPybqDWwkef5g&amp;source=documentstudio&amp;timestamp=1733453135448" TargetMode="External"/><Relationship Id="rId1474" Type="http://schemas.openxmlformats.org/officeDocument/2006/relationships/hyperlink" Target="https://drive.google.com/open?id=1hqm29a53GszV9bnXXifxgf1VgAftTTty" TargetMode="External"/><Relationship Id="rId1681" Type="http://schemas.openxmlformats.org/officeDocument/2006/relationships/hyperlink" Target="https://docs.google.com/forms/d/e/1FAIpQLSeEYwFnViiqk1AbexVe1VDR73UApmeuvfn6Yr2vN8WXjwGu2Q/viewform?edit2=2_ABaOnucOJq2yKu6BVreIikiOZgfZjF8fh6g9YeD6lpH95_oONJSqSt1Xtp-9Kn5AgE9Iqgw&amp;source=documentstudio&amp;timestamp=1741334641286" TargetMode="External"/><Relationship Id="rId2318" Type="http://schemas.openxmlformats.org/officeDocument/2006/relationships/hyperlink" Target="https://drive.google.com/open?id=12yxPHNN28vT4zWfwQMJ7cV0NEHXpEFgH" TargetMode="External"/><Relationship Id="rId2525" Type="http://schemas.openxmlformats.org/officeDocument/2006/relationships/hyperlink" Target="https://docs.google.com/forms/d/e/1FAIpQLSeEYwFnViiqk1AbexVe1VDR73UApmeuvfn6Yr2vN8WXjwGu2Q/viewform?edit2=2_ABaOnudxgQjjt_Z6AhIvst-U_64CWbU2mamsaMve-2Y5ZVrWKUwTcWsStDryEWXwU0mk0zw&amp;source=documentstudio&amp;timestamp=1768444575528" TargetMode="External"/><Relationship Id="rId2732" Type="http://schemas.openxmlformats.org/officeDocument/2006/relationships/hyperlink" Target="https://drive.google.com/open?id=1D_pbicZANCLfu8_dFz2Dt5NgW9EoI5BE" TargetMode="External"/><Relationship Id="rId704" Type="http://schemas.openxmlformats.org/officeDocument/2006/relationships/hyperlink" Target="https://drive.google.com/open?id=1f88SBbU7ll05LgFtfIMZ6n-s1_fjXkTG" TargetMode="External"/><Relationship Id="rId911" Type="http://schemas.openxmlformats.org/officeDocument/2006/relationships/hyperlink" Target="https://docs.google.com/forms/d/e/1FAIpQLSeEYwFnViiqk1AbexVe1VDR73UApmeuvfn6Yr2vN8WXjwGu2Q/viewform?edit2=2_ABaOnuciP8hUIFljsyzrgfFMRYmB1Y8hFFhexghRt3slopp9vmSNNlrCIO5vlZbBO80iB2A&amp;source=documentstudio&amp;timestamp=1721619629369" TargetMode="External"/><Relationship Id="rId1127" Type="http://schemas.openxmlformats.org/officeDocument/2006/relationships/hyperlink" Target="https://docs.google.com/forms/d/e/1FAIpQLSeEYwFnViiqk1AbexVe1VDR73UApmeuvfn6Yr2vN8WXjwGu2Q/viewform?edit2=2_ABaOnuehqAcG_q-snDgaOdma1S2HYgONxNWFg3Esm4JkVz_Q_9mWHQuPjvghFfTFEIqKmFk&amp;source=documentstudio&amp;timestamp=1727859545792" TargetMode="External"/><Relationship Id="rId1334" Type="http://schemas.openxmlformats.org/officeDocument/2006/relationships/hyperlink" Target="https://drive.google.com/open?id=1g86PCEpY947l2MNZP46YGWhbkK9WJPcg" TargetMode="External"/><Relationship Id="rId1541" Type="http://schemas.openxmlformats.org/officeDocument/2006/relationships/hyperlink" Target="https://docs.google.com/forms/d/e/1FAIpQLSeEYwFnViiqk1AbexVe1VDR73UApmeuvfn6Yr2vN8WXjwGu2Q/viewform?edit2=2_ABaOnuc15WVgqqoWfbv709qb8pO0-Zs3MahRfm9ER1dIaEyiJNg9DGEXTQspCIXQPLz4ZMk&amp;source=documentstudio&amp;timestamp=1739328747509" TargetMode="External"/><Relationship Id="rId40" Type="http://schemas.openxmlformats.org/officeDocument/2006/relationships/hyperlink" Target="https://drive.google.com/open?id=1lVlM-t_lbF5KfhzIjI4zJ5R3zSiWta8q" TargetMode="External"/><Relationship Id="rId1401" Type="http://schemas.openxmlformats.org/officeDocument/2006/relationships/hyperlink" Target="https://docs.google.com/forms/d/e/1FAIpQLSeEYwFnViiqk1AbexVe1VDR73UApmeuvfn6Yr2vN8WXjwGu2Q/viewform?edit2=2_ABaOnuemELcjh8Q85z10r8YCuvrt0vnIpXWW8oZ3RN1uQciYEcee1_ThcTNe3cYZWJ7thuU&amp;source=documentstudio&amp;timestamp=1737335756285" TargetMode="External"/><Relationship Id="rId287" Type="http://schemas.openxmlformats.org/officeDocument/2006/relationships/hyperlink" Target="https://drive.google.com/open?id=1UAFuyCw55gBWbY5z75Vt1ihXDZu43gJ8" TargetMode="External"/><Relationship Id="rId494" Type="http://schemas.openxmlformats.org/officeDocument/2006/relationships/hyperlink" Target="https://drive.google.com/open?id=1v1LquQcV_VraO77ovxwTzOk4UTjihmnI" TargetMode="External"/><Relationship Id="rId2175" Type="http://schemas.openxmlformats.org/officeDocument/2006/relationships/hyperlink" Target="https://docs.google.com/forms/d/e/1FAIpQLSeEYwFnViiqk1AbexVe1VDR73UApmeuvfn6Yr2vN8WXjwGu2Q/viewform?edit2=2_ABaOnudOQq9Cyg0Udf2sPTdOOYN3-X4TtCm88PLJMU2KEjTyWMb-5ZegTL0s5fSVrzFqvj4&amp;source=documentstudio&amp;timestamp=1750658163615" TargetMode="External"/><Relationship Id="rId2382" Type="http://schemas.openxmlformats.org/officeDocument/2006/relationships/hyperlink" Target="https://drive.google.com/open?id=11zPWKH_6SQiBtUaTqZ3IlOiO_GqoKxEJ" TargetMode="External"/><Relationship Id="rId147" Type="http://schemas.openxmlformats.org/officeDocument/2006/relationships/hyperlink" Target="https://drive.google.com/open?id=1vf5gPa8YcpM8Ngceh2D5ROvoPnIh_MP-" TargetMode="External"/><Relationship Id="rId354" Type="http://schemas.openxmlformats.org/officeDocument/2006/relationships/hyperlink" Target="https://drive.google.com/open?id=1NtsfkM96osnU47tARUOX9dzWKs6--kIn" TargetMode="External"/><Relationship Id="rId1191" Type="http://schemas.openxmlformats.org/officeDocument/2006/relationships/hyperlink" Target="https://docs.google.com/forms/d/e/1FAIpQLSeEYwFnViiqk1AbexVe1VDR73UApmeuvfn6Yr2vN8WXjwGu2Q/viewform?edit2=2_ABaOnueXWHVIU_En5khB2t-7WKbpzmzEPH8VebQg0UCliPeBuzg2Iwsa49HF-xv6dUsvElU&amp;source=documentstudio&amp;timestamp=1730941540813" TargetMode="External"/><Relationship Id="rId2035" Type="http://schemas.openxmlformats.org/officeDocument/2006/relationships/hyperlink" Target="https://docs.google.com/forms/d/e/1FAIpQLSeEYwFnViiqk1AbexVe1VDR73UApmeuvfn6Yr2vN8WXjwGu2Q/viewform?edit2=2_ABaOnue2oC7XYMALExypvThJOOsg7lHw6B9cVxGvlC1_XPamXJK2GwRwFo4tXD18AQHJ718&amp;source=documentstudio&amp;timestamp=1748832093537" TargetMode="External"/><Relationship Id="rId561" Type="http://schemas.openxmlformats.org/officeDocument/2006/relationships/hyperlink" Target="https://drive.google.com/open?id=1NpGITcRqa8iyux5ArvYx4TRHlb4Zk82y" TargetMode="External"/><Relationship Id="rId2242" Type="http://schemas.openxmlformats.org/officeDocument/2006/relationships/hyperlink" Target="https://drive.google.com/open?id=1iyirESx80XcvXeApYkvbZplUDNX2TQhs" TargetMode="External"/><Relationship Id="rId214" Type="http://schemas.openxmlformats.org/officeDocument/2006/relationships/hyperlink" Target="https://drive.google.com/open?id=1ZSvLw3QQ5echflE_8Knc9N4NUu52HXPY" TargetMode="External"/><Relationship Id="rId421" Type="http://schemas.openxmlformats.org/officeDocument/2006/relationships/hyperlink" Target="https://drive.google.com/open?id=1TFhQUjsZW7QnFWwEGynXPs4uW1O_J1HE" TargetMode="External"/><Relationship Id="rId1051" Type="http://schemas.openxmlformats.org/officeDocument/2006/relationships/hyperlink" Target="https://docs.google.com/forms/d/e/1FAIpQLSeEYwFnViiqk1AbexVe1VDR73UApmeuvfn6Yr2vN8WXjwGu2Q/viewform?edit2=2_ABaOnufk6Txh3WMIWBIG5d82cpdZV5-23meeO-Mtm091GFDCc7PvygVWQ_59WTANEhO6E4U&amp;source=documentstudio&amp;timestamp=1725498866197" TargetMode="External"/><Relationship Id="rId2102" Type="http://schemas.openxmlformats.org/officeDocument/2006/relationships/hyperlink" Target="https://drive.google.com/open?id=1HxsETP1MZok0IIrCUHrDYhNtcCDIQ86G" TargetMode="External"/><Relationship Id="rId1868" Type="http://schemas.openxmlformats.org/officeDocument/2006/relationships/hyperlink" Target="https://docs.google.com/forms/d/e/1FAIpQLSeEYwFnViiqk1AbexVe1VDR73UApmeuvfn6Yr2vN8WXjwGu2Q/viewform?edit2=2_ABaOnudHsyzlUs9MbzeHw45DwyDUQ5WrMiDImRajiFJ-WV83UyEJfV46HnlKWnR5nnhTXZ0&amp;source=documentstudio&amp;timestamp=1742350210958" TargetMode="External"/><Relationship Id="rId2919" Type="http://schemas.openxmlformats.org/officeDocument/2006/relationships/hyperlink" Target="https://drive.google.com/open?id=1yi_0paqt-Bgz0WKvMQntTmGmpZTMhk6u" TargetMode="External"/><Relationship Id="rId1728" Type="http://schemas.openxmlformats.org/officeDocument/2006/relationships/hyperlink" Target="https://drive.google.com/open?id=1YbGZ4zamyVphwyz9A2K_gw2Ww8cxHp4K" TargetMode="External"/><Relationship Id="rId1935" Type="http://schemas.openxmlformats.org/officeDocument/2006/relationships/hyperlink" Target="https://drive.google.com/open?id=12mLZPA5rQhvq0EYM2yX-XzAy3q8VzyOo" TargetMode="External"/><Relationship Id="rId4" Type="http://schemas.openxmlformats.org/officeDocument/2006/relationships/hyperlink" Target="https://drive.google.com/open?id=1tznX9JIDY43h8NtKFQKEoz60b1c3zVfw" TargetMode="External"/><Relationship Id="rId888" Type="http://schemas.openxmlformats.org/officeDocument/2006/relationships/hyperlink" Target="https://drive.google.com/open?id=1KrL2hTAVlrwM9OmCTpjANM49Sxdd6-TH" TargetMode="External"/><Relationship Id="rId2569" Type="http://schemas.openxmlformats.org/officeDocument/2006/relationships/hyperlink" Target="https://docs.google.com/forms/d/e/1FAIpQLSeEYwFnViiqk1AbexVe1VDR73UApmeuvfn6Yr2vN8WXjwGu2Q/viewform?edit2=2_ABaOnueGOH9XOic2OYP6Hj3G6rry2qOZbnMJxL8lwYeyk7SoCdYqhFrTzL34_Ke1ECx2VqM&amp;source=documentstudio&amp;timestamp=1768461836587" TargetMode="External"/><Relationship Id="rId2776" Type="http://schemas.openxmlformats.org/officeDocument/2006/relationships/hyperlink" Target="https://drive.google.com/open?id=1nxh9ZsIeJRDYdtOS6AzUSkfqcApQByVZ" TargetMode="External"/><Relationship Id="rId748" Type="http://schemas.openxmlformats.org/officeDocument/2006/relationships/hyperlink" Target="https://drive.google.com/open?id=1EXTsvDRs1zDdxvjRfXV7FlD037ykFevI" TargetMode="External"/><Relationship Id="rId955" Type="http://schemas.openxmlformats.org/officeDocument/2006/relationships/hyperlink" Target="https://docs.google.com/forms/d/e/1FAIpQLSeEYwFnViiqk1AbexVe1VDR73UApmeuvfn6Yr2vN8WXjwGu2Q/viewform?edit2=2_ABaOnuePQnSHoXmwmftpM-eR7g-6t7XSvMh1ua7nCO0ty8gngCfpfHkCPWYqx59Y72qGHUs&amp;source=documentstudio&amp;timestamp=1721631611972" TargetMode="External"/><Relationship Id="rId1378" Type="http://schemas.openxmlformats.org/officeDocument/2006/relationships/hyperlink" Target="https://drive.google.com/open?id=1SALnk9p7mpqB5zCY0Suf9hkxmWdP3-Rc" TargetMode="External"/><Relationship Id="rId1585" Type="http://schemas.openxmlformats.org/officeDocument/2006/relationships/hyperlink" Target="https://docs.google.com/forms/d/e/1FAIpQLSeEYwFnViiqk1AbexVe1VDR73UApmeuvfn6Yr2vN8WXjwGu2Q/viewform?edit2=2_ABaOnueDLQVmKQER0MF05UJ8_q0fwi5gGPTNhY8ppgA_7VNi0cyply7IhZNPR4zuaNuDAxY&amp;source=documentstudio&amp;timestamp=1739329431314" TargetMode="External"/><Relationship Id="rId1792" Type="http://schemas.openxmlformats.org/officeDocument/2006/relationships/hyperlink" Target="https://docs.google.com/forms/d/e/1FAIpQLSeEYwFnViiqk1AbexVe1VDR73UApmeuvfn6Yr2vN8WXjwGu2Q/viewform?edit2=2_ABaOnufKxuf5w0AibJtklaKWS5MeTPS9_Dn8NZ0GAyXLjCZEU-xNIygBZ3S-3IpWp1Fl8yc&amp;source=documentstudio&amp;timestamp=1741576893726" TargetMode="External"/><Relationship Id="rId2429" Type="http://schemas.openxmlformats.org/officeDocument/2006/relationships/hyperlink" Target="https://docs.google.com/forms/d/e/1FAIpQLSeEYwFnViiqk1AbexVe1VDR73UApmeuvfn6Yr2vN8WXjwGu2Q/viewform?edit2=2_ABaOnucvolOhSSFngG9paxAQQU7Cc9a2YTVGfMBMsuVNki9UzKB0Yjf5QG8kEy5R1sYc1bY&amp;source=documentstudio&amp;timestamp=1768439703857" TargetMode="External"/><Relationship Id="rId2636" Type="http://schemas.openxmlformats.org/officeDocument/2006/relationships/hyperlink" Target="https://drive.google.com/open?id=1Bs7JPj4qzp0lJGRyjfrgrSI2xIhLQkMT" TargetMode="External"/><Relationship Id="rId2843" Type="http://schemas.openxmlformats.org/officeDocument/2006/relationships/hyperlink" Target="https://docs.google.com/forms/d/e/1FAIpQLSeEYwFnViiqk1AbexVe1VDR73UApmeuvfn6Yr2vN8WXjwGu2Q/viewform?edit2=2_ABaOnudY4ryHqNMov2oUu-7OryJ5iLmKi9Ze4nppja1BRI7HUv_B8THTEvEXqaQD_jLqqSM&amp;source=documentstudio&amp;timestamp=1769406005782" TargetMode="External"/><Relationship Id="rId84" Type="http://schemas.openxmlformats.org/officeDocument/2006/relationships/hyperlink" Target="https://drive.google.com/open?id=18hABIegrTeRTucu4eTeN4lrQLZovTmyO" TargetMode="External"/><Relationship Id="rId608" Type="http://schemas.openxmlformats.org/officeDocument/2006/relationships/hyperlink" Target="https://drive.google.com/open?id=1xBasqMQA0isJMJ_zhDcOwX_WvOL2ibKG" TargetMode="External"/><Relationship Id="rId815" Type="http://schemas.openxmlformats.org/officeDocument/2006/relationships/hyperlink" Target="https://docs.google.com/forms/d/e/1FAIpQLSeEYwFnViiqk1AbexVe1VDR73UApmeuvfn6Yr2vN8WXjwGu2Q/viewform?edit2=2_ABaOnufj37uN6W50NVEw0g7vYxrMpH0Dz5lDRKlufVf50VQvqHpQ1KyrXx-pS3_ddD36woI&amp;source=documentstudio&amp;timestamp=1720410483290" TargetMode="External"/><Relationship Id="rId1238" Type="http://schemas.openxmlformats.org/officeDocument/2006/relationships/hyperlink" Target="https://drive.google.com/open?id=1iL7xLQPN4hqBKUgsbH-zXdhlQyFs86it" TargetMode="External"/><Relationship Id="rId1445" Type="http://schemas.openxmlformats.org/officeDocument/2006/relationships/hyperlink" Target="https://docs.google.com/forms/d/e/1FAIpQLSeEYwFnViiqk1AbexVe1VDR73UApmeuvfn6Yr2vN8WXjwGu2Q/viewform?edit2=2_ABaOnudjtjt-thmJwPB_g_fcXGldVMCQzoOo1-Bm1YPBfqN9OHcxoH7Y9nKLCs6pupi0rkc&amp;source=documentstudio&amp;timestamp=1737447001388" TargetMode="External"/><Relationship Id="rId1652" Type="http://schemas.openxmlformats.org/officeDocument/2006/relationships/hyperlink" Target="https://drive.google.com/open?id=1BCiJmB8EDxJGsIqkjoAvk1gyYsYwt92g" TargetMode="External"/><Relationship Id="rId1305" Type="http://schemas.openxmlformats.org/officeDocument/2006/relationships/hyperlink" Target="https://docs.google.com/forms/d/e/1FAIpQLSeEYwFnViiqk1AbexVe1VDR73UApmeuvfn6Yr2vN8WXjwGu2Q/viewform?edit2=2_ABaOnucU8kVA6b7KJabO2y_wPJI-Z-UOlfrathr5QbGpFQDzFnJaYAfrNW-SQSFoo8KYSyw&amp;source=documentstudio&amp;timestamp=1733792424079" TargetMode="External"/><Relationship Id="rId2703" Type="http://schemas.openxmlformats.org/officeDocument/2006/relationships/hyperlink" Target="https://docs.google.com/forms/d/e/1FAIpQLSeEYwFnViiqk1AbexVe1VDR73UApmeuvfn6Yr2vN8WXjwGu2Q/viewform?edit2=2_ABaOnueqz2z7YgTHhAvBrE8p-AWpiE-RXZc_qPBs7Fvr0aZ5jvadixhMQcC5ewPdAn6fvHE&amp;source=documentstudio&amp;timestamp=1768794441387" TargetMode="External"/><Relationship Id="rId2910" Type="http://schemas.openxmlformats.org/officeDocument/2006/relationships/hyperlink" Target="https://docs.google.com/forms/d/e/1FAIpQLSeEYwFnViiqk1AbexVe1VDR73UApmeuvfn6Yr2vN8WXjwGu2Q/viewform?edit2=2_ABaOnudEflst1wK0VUIrDWZskc-Rnh-_o02y4NHxySsNnycrWXTiSmEc-pTC1pphV6S2QT4&amp;source=documentstudio&amp;timestamp=1769587127698" TargetMode="External"/><Relationship Id="rId1512" Type="http://schemas.openxmlformats.org/officeDocument/2006/relationships/hyperlink" Target="https://drive.google.com/open?id=19vjDPZ3q1aYEA6Qk6Lc_oI8Vo0nZdCU9" TargetMode="External"/><Relationship Id="rId11" Type="http://schemas.openxmlformats.org/officeDocument/2006/relationships/hyperlink" Target="https://drive.google.com/open?id=1tw-hJrhMmLnswaHUc2He54KjzMLN-CaF" TargetMode="External"/><Relationship Id="rId398" Type="http://schemas.openxmlformats.org/officeDocument/2006/relationships/hyperlink" Target="https://drive.google.com/open?id=1hTpgs1toYB4UDJBTX5kiqaEXb9jFn9iN" TargetMode="External"/><Relationship Id="rId2079" Type="http://schemas.openxmlformats.org/officeDocument/2006/relationships/hyperlink" Target="https://docs.google.com/forms/d/e/1FAIpQLSeEYwFnViiqk1AbexVe1VDR73UApmeuvfn6Yr2vN8WXjwGu2Q/viewform?edit2=2_ABaOnuejm3iS7WSh16rMFbl6sSTK09YP0qU1YG0k81MrFur2y4z94EiBAB5rwuDHKysTNJE&amp;source=documentstudio&amp;timestamp=1748846644804" TargetMode="External"/><Relationship Id="rId2286" Type="http://schemas.openxmlformats.org/officeDocument/2006/relationships/hyperlink" Target="https://drive.google.com/open?id=1zszpyEWdwg8Lt65erSrnlFfIYA6L4y5C" TargetMode="External"/><Relationship Id="rId2493" Type="http://schemas.openxmlformats.org/officeDocument/2006/relationships/hyperlink" Target="https://docs.google.com/forms/d/e/1FAIpQLSeEYwFnViiqk1AbexVe1VDR73UApmeuvfn6Yr2vN8WXjwGu2Q/viewform?edit2=2_ABaOnudxTQVPDzgFc_9fkQve6MqXVGBfLmAwsGOe_iuprf1pnnj0oWDJmjxh3yH3Kh-itIo&amp;source=documentstudio&amp;timestamp=1768443224722" TargetMode="External"/><Relationship Id="rId258" Type="http://schemas.openxmlformats.org/officeDocument/2006/relationships/hyperlink" Target="https://drive.google.com/open?id=1aUy1pK4yVbZt-xbvM2z6K5G7Db5yE-Oo" TargetMode="External"/><Relationship Id="rId465" Type="http://schemas.openxmlformats.org/officeDocument/2006/relationships/hyperlink" Target="https://drive.google.com/open?id=1X2v2U1VcT-bZIdXE9KT-9e-F6Wq1OK_L" TargetMode="External"/><Relationship Id="rId672" Type="http://schemas.openxmlformats.org/officeDocument/2006/relationships/hyperlink" Target="https://drive.google.com/open?id=1Elv8ONGRw7Xr0_BsmUv25LzvBQ_rl0vj" TargetMode="External"/><Relationship Id="rId1095" Type="http://schemas.openxmlformats.org/officeDocument/2006/relationships/hyperlink" Target="https://docs.google.com/forms/d/e/1FAIpQLSeEYwFnViiqk1AbexVe1VDR73UApmeuvfn6Yr2vN8WXjwGu2Q/viewform?edit2=2_ABaOnueSNqiKJlp0uvm8AhKhOOcUF0xJwHzZQ7THmHdJ5og1H_PHwOUJostUFPpXxkMd-CE&amp;source=documentstudio&amp;timestamp=1726618621985" TargetMode="External"/><Relationship Id="rId2146" Type="http://schemas.openxmlformats.org/officeDocument/2006/relationships/hyperlink" Target="https://drive.google.com/open?id=1-w4w_IBaWN5-FvSQQJ87_8mJJK7LSnz0" TargetMode="External"/><Relationship Id="rId2353" Type="http://schemas.openxmlformats.org/officeDocument/2006/relationships/hyperlink" Target="https://docs.google.com/forms/d/e/1FAIpQLSeEYwFnViiqk1AbexVe1VDR73UApmeuvfn6Yr2vN8WXjwGu2Q/viewform?edit2=2_ABaOnuf5pdEKbJ-zmwvG8v1qieqw8IyrI6PAC3BcHjVOX_pcs5kBZNhTBbLkQE-oLMdGPl4&amp;source=documentstudio&amp;timestamp=1768368824791" TargetMode="External"/><Relationship Id="rId2560" Type="http://schemas.openxmlformats.org/officeDocument/2006/relationships/hyperlink" Target="https://drive.google.com/open?id=19QBc6qju5n6NStKga7A4e7RJyl0TadvT" TargetMode="External"/><Relationship Id="rId118" Type="http://schemas.openxmlformats.org/officeDocument/2006/relationships/hyperlink" Target="https://drive.google.com/open?id=1v7Si-or1tcMVSWM4ikylX6iIspw-wsGu" TargetMode="External"/><Relationship Id="rId325" Type="http://schemas.openxmlformats.org/officeDocument/2006/relationships/hyperlink" Target="https://drive.google.com/open?id=10OX6ncJ_OUrZH3fCIAXZbXSZ3BuL4deD" TargetMode="External"/><Relationship Id="rId532" Type="http://schemas.openxmlformats.org/officeDocument/2006/relationships/hyperlink" Target="https://drive.google.com/open?id=1BYR5mvUs7Ledaw8NPDe7S-MIMjuH5hXq" TargetMode="External"/><Relationship Id="rId1162" Type="http://schemas.openxmlformats.org/officeDocument/2006/relationships/hyperlink" Target="https://drive.google.com/open?id=199MtNk1cjbWkfnlkJNCSatcz9O18mmrX" TargetMode="External"/><Relationship Id="rId2006" Type="http://schemas.openxmlformats.org/officeDocument/2006/relationships/hyperlink" Target="https://drive.google.com/open?id=1dYUHOKYPHOnQzb0Fsvg5wmhcla05yzVW" TargetMode="External"/><Relationship Id="rId2213" Type="http://schemas.openxmlformats.org/officeDocument/2006/relationships/hyperlink" Target="https://docs.google.com/forms/d/e/1FAIpQLSeEYwFnViiqk1AbexVe1VDR73UApmeuvfn6Yr2vN8WXjwGu2Q/viewform?edit2=2_ABaOnucx_I8UBxX8E2GFSPGlr-kM_ULbWrRi1a38rm0rKKkash8qegEs_zpwvwxqMSwprSs&amp;source=documentstudio&amp;timestamp=1752127324932" TargetMode="External"/><Relationship Id="rId2420" Type="http://schemas.openxmlformats.org/officeDocument/2006/relationships/hyperlink" Target="https://drive.google.com/open?id=1XusTiyp4DUcjKsHKaVSyj9XGO7Mwre2e" TargetMode="External"/><Relationship Id="rId1022" Type="http://schemas.openxmlformats.org/officeDocument/2006/relationships/hyperlink" Target="https://drive.google.com/open?id=1gfjOGDO1MkccOfjgrcnce2GUtnHDZYup" TargetMode="External"/><Relationship Id="rId1979" Type="http://schemas.openxmlformats.org/officeDocument/2006/relationships/hyperlink" Target="https://docs.google.com/forms/d/e/1FAIpQLSeEYwFnViiqk1AbexVe1VDR73UApmeuvfn6Yr2vN8WXjwGu2Q/viewform?edit2=2_ABaOnufFrgxVxKN8TptTPs_RmDqdJbKDWnyrM3dGmRQDoVJmzkyK_kKJ4qxMbfe5iLIADUU&amp;source=documentstudio&amp;timestamp=1747888801223" TargetMode="External"/><Relationship Id="rId1839" Type="http://schemas.openxmlformats.org/officeDocument/2006/relationships/hyperlink" Target="https://drive.google.com/open?id=1ESmVB_PrdmUclKW6xgTIzkD50raRx0r7" TargetMode="External"/><Relationship Id="rId182" Type="http://schemas.openxmlformats.org/officeDocument/2006/relationships/hyperlink" Target="https://drive.google.com/open?id=1EDjcjM9WNBVqSpRX2GKslmik8z46FSOW" TargetMode="External"/><Relationship Id="rId1906" Type="http://schemas.openxmlformats.org/officeDocument/2006/relationships/hyperlink" Target="https://docs.google.com/forms/d/e/1FAIpQLSeEYwFnViiqk1AbexVe1VDR73UApmeuvfn6Yr2vN8WXjwGu2Q/viewform?edit2=2_ABaOnud-O9f5hezlEJKijxA7ZuiPMEPefgm0stzjuq5zj5y7WJGqN-X567YjvOLIPxZYHn0&amp;source=documentstudio&amp;timestamp=1745310705204" TargetMode="External"/><Relationship Id="rId2070" Type="http://schemas.openxmlformats.org/officeDocument/2006/relationships/hyperlink" Target="https://drive.google.com/open?id=1YFVz3bfU1cMlilOnCz5E2zOI_uq9LmK2" TargetMode="External"/><Relationship Id="rId999" Type="http://schemas.openxmlformats.org/officeDocument/2006/relationships/hyperlink" Target="https://docs.google.com/forms/d/e/1FAIpQLSeEYwFnViiqk1AbexVe1VDR73UApmeuvfn6Yr2vN8WXjwGu2Q/viewform?edit2=2_ABaOnuc_Dxmzq-BDtkRfi_WoZaXsC1hJWuzvhfnQfyJRGHhRbXQs_i5I4ifxQeReJ1xsSJw&amp;source=documentstudio&amp;timestamp=1723515464936" TargetMode="External"/><Relationship Id="rId2887" Type="http://schemas.openxmlformats.org/officeDocument/2006/relationships/hyperlink" Target="https://drive.google.com/open?id=1Gdx8jO2k6LAsqOTBZhKAhQZXa2f4DtQc" TargetMode="External"/><Relationship Id="rId859" Type="http://schemas.openxmlformats.org/officeDocument/2006/relationships/hyperlink" Target="https://docs.google.com/forms/d/e/1FAIpQLSeEYwFnViiqk1AbexVe1VDR73UApmeuvfn6Yr2vN8WXjwGu2Q/viewform?edit2=2_ABaOnud789fSxW7vZMmWZElPFCct4LjJwVIiIg6QK2DeCe46O0tj54k_v6f4Y8oo6aCfThw&amp;source=documentstudio&amp;timestamp=1720488183653" TargetMode="External"/><Relationship Id="rId1489" Type="http://schemas.openxmlformats.org/officeDocument/2006/relationships/hyperlink" Target="https://docs.google.com/forms/d/e/1FAIpQLSeEYwFnViiqk1AbexVe1VDR73UApmeuvfn6Yr2vN8WXjwGu2Q/viewform?edit2=2_ABaOnudgjdI9qVypsrHWz9KeagZsGaNrNYjcxOwpH1W4xxa9rSq6oymHvM2XtiGlA2nvN08&amp;source=documentstudio&amp;timestamp=1737515983842" TargetMode="External"/><Relationship Id="rId1696" Type="http://schemas.openxmlformats.org/officeDocument/2006/relationships/hyperlink" Target="https://docs.google.com/forms/d/e/1FAIpQLSeEYwFnViiqk1AbexVe1VDR73UApmeuvfn6Yr2vN8WXjwGu2Q/viewform?edit2=2_ABaOnueYLQ40aLMBXLMBRZn9hBHEPPA1xHYN3BjRFc9BlE2LnyowW5_m2Aqn8oLmzGzexRQ&amp;source=documentstudio&amp;timestamp=1741335983796" TargetMode="External"/><Relationship Id="rId1349" Type="http://schemas.openxmlformats.org/officeDocument/2006/relationships/hyperlink" Target="https://docs.google.com/forms/d/e/1FAIpQLSeEYwFnViiqk1AbexVe1VDR73UApmeuvfn6Yr2vN8WXjwGu2Q/viewform?edit2=2_ABaOnuehlWv5vXH_ATnirPJ-pk-WfjMzBvnD-iP-tZXgqxe5Z53RnxfF8PUnRn9Z-B9IsTY&amp;source=documentstudio&amp;timestamp=1736140879855" TargetMode="External"/><Relationship Id="rId2747" Type="http://schemas.openxmlformats.org/officeDocument/2006/relationships/hyperlink" Target="https://docs.google.com/forms/d/e/1FAIpQLSeEYwFnViiqk1AbexVe1VDR73UApmeuvfn6Yr2vN8WXjwGu2Q/viewform?edit2=2_ABaOnudVvsyHEC96-8QI-ERP_uDFGF8orbUPq6r4RDp_Eq3zwiGAaALE5opBD1jEi9xQp8U&amp;source=documentstudio&amp;timestamp=1768813943936" TargetMode="External"/><Relationship Id="rId2954" Type="http://schemas.openxmlformats.org/officeDocument/2006/relationships/hyperlink" Target="https://docs.google.com/forms/d/e/1FAIpQLSeEYwFnViiqk1AbexVe1VDR73UApmeuvfn6Yr2vN8WXjwGu2Q/viewform?edit2=2_ABaOnuchBOaTkDOBLZVavUwudgbYkgSVb7q-lcqbLiHmjVpuC_wd3_lJOHwG_tTA_wX5n-Y&amp;source=documentstudio&amp;timestamp=1769614021363" TargetMode="External"/><Relationship Id="rId719" Type="http://schemas.openxmlformats.org/officeDocument/2006/relationships/hyperlink" Target="https://docs.google.com/forms/d/e/1FAIpQLSeEYwFnViiqk1AbexVe1VDR73UApmeuvfn6Yr2vN8WXjwGu2Q/viewform?edit2=2_ABaOnuc2IQU82J-w4gdx4IETiJkJi6iGx5cxkXlGZUktpDwJ6FY-qi6vPFDNm-uN73f3Rxo&amp;source=documentstudio&amp;timestamp=1717573172553" TargetMode="External"/><Relationship Id="rId926" Type="http://schemas.openxmlformats.org/officeDocument/2006/relationships/hyperlink" Target="https://drive.google.com/open?id=1UgeHRqSY9BDHFNAjlWybp3oyWboKep6a" TargetMode="External"/><Relationship Id="rId1556" Type="http://schemas.openxmlformats.org/officeDocument/2006/relationships/hyperlink" Target="https://drive.google.com/open?id=1X2gcGQn7e3Q47q_VWZsAd6X9Om4ux5t5" TargetMode="External"/><Relationship Id="rId1763" Type="http://schemas.openxmlformats.org/officeDocument/2006/relationships/hyperlink" Target="https://drive.google.com/open?id=1qAWj_cSPee0xByXL1bRWauMK8FpLwLle" TargetMode="External"/><Relationship Id="rId1970" Type="http://schemas.openxmlformats.org/officeDocument/2006/relationships/hyperlink" Target="https://docs.google.com/forms/d/e/1FAIpQLSeEYwFnViiqk1AbexVe1VDR73UApmeuvfn6Yr2vN8WXjwGu2Q/viewform?edit2=2_ABaOnucUvpsjnstW8Psc25HI_GMwBtLucnWkMQENWx8PVSzz3gW8mv3EonMjTLXUhvff5Tg&amp;source=documentstudio&amp;timestamp=1747879554656" TargetMode="External"/><Relationship Id="rId2607" Type="http://schemas.openxmlformats.org/officeDocument/2006/relationships/hyperlink" Target="https://docs.google.com/forms/d/e/1FAIpQLSeEYwFnViiqk1AbexVe1VDR73UApmeuvfn6Yr2vN8WXjwGu2Q/viewform?edit2=2_ABaOnudfLlBeF8o_oPvjW-pDyg1BffhvFtQk_5dpjQVoV_jHQT7DE05rY3H0fZPMXw-w_fg&amp;source=documentstudio&amp;timestamp=1768464615397" TargetMode="External"/><Relationship Id="rId2814" Type="http://schemas.openxmlformats.org/officeDocument/2006/relationships/hyperlink" Target="https://drive.google.com/open?id=101Wl5aredOovLk1uGggqt6qfkg3rj4O0" TargetMode="External"/><Relationship Id="rId55" Type="http://schemas.openxmlformats.org/officeDocument/2006/relationships/hyperlink" Target="https://drive.google.com/open?id=1EWm8PG3hSsX0UEyyo82sJOndvirOlty-" TargetMode="External"/><Relationship Id="rId1209" Type="http://schemas.openxmlformats.org/officeDocument/2006/relationships/hyperlink" Target="https://docs.google.com/forms/d/e/1FAIpQLSeEYwFnViiqk1AbexVe1VDR73UApmeuvfn6Yr2vN8WXjwGu2Q/viewform?edit2=2_ABaOnudbMW6dbeQpbVx2nDYvNz_wOuIzsrjV8Kco3vt8d5_hreh8hP--BvpIUk9bey_0CIQ&amp;source=documentstudio&amp;timestamp=1731462737007" TargetMode="External"/><Relationship Id="rId1416" Type="http://schemas.openxmlformats.org/officeDocument/2006/relationships/hyperlink" Target="https://drive.google.com/open?id=1RXx0CBrGJBADO2Mnw5SDCfm74I-o7WiO" TargetMode="External"/><Relationship Id="rId1623" Type="http://schemas.openxmlformats.org/officeDocument/2006/relationships/hyperlink" Target="https://docs.google.com/forms/d/e/1FAIpQLSeEYwFnViiqk1AbexVe1VDR73UApmeuvfn6Yr2vN8WXjwGu2Q/viewform?edit2=2_ABaOnucP7AALjpEstb_gC1zTX4_ADNXrcws8eb4HXO9vFdbnSQ4aezKmJQWRPsiFgdoPwDs&amp;source=documentstudio&amp;timestamp=1741331808060" TargetMode="External"/><Relationship Id="rId1830" Type="http://schemas.openxmlformats.org/officeDocument/2006/relationships/hyperlink" Target="https://docs.google.com/forms/d/e/1FAIpQLSeEYwFnViiqk1AbexVe1VDR73UApmeuvfn6Yr2vN8WXjwGu2Q/viewform?edit2=2_ABaOnufy0pcPQdpKawlpLZ_qOP-rlJvl2QrRqVFDl-TG2hItW5X7msNdKNcLAB56oqO97zM&amp;source=documentstudio&amp;timestamp=1741850373068" TargetMode="External"/><Relationship Id="rId2397" Type="http://schemas.openxmlformats.org/officeDocument/2006/relationships/hyperlink" Target="https://docs.google.com/forms/d/e/1FAIpQLSeEYwFnViiqk1AbexVe1VDR73UApmeuvfn6Yr2vN8WXjwGu2Q/viewform?edit2=2_ABaOnudm7iaUHRKvGvQF_cfWu_8h-PDDspDpuS46OOvTRLBZxlfNJODdg8O9ljGsm3nlwgA&amp;source=documentstudio&amp;timestamp=1768437866432" TargetMode="External"/><Relationship Id="rId369" Type="http://schemas.openxmlformats.org/officeDocument/2006/relationships/hyperlink" Target="https://drive.google.com/open?id=1-G6HfhuNKSBqJuBn8GHXOfi2ReQzWUDL" TargetMode="External"/><Relationship Id="rId576" Type="http://schemas.openxmlformats.org/officeDocument/2006/relationships/hyperlink" Target="https://drive.google.com/open?id=10fPpTeGg0_x-0ax3aVRRkX6Rr-a4fyDb" TargetMode="External"/><Relationship Id="rId783" Type="http://schemas.openxmlformats.org/officeDocument/2006/relationships/hyperlink" Target="https://docs.google.com/forms/d/e/1FAIpQLSeEYwFnViiqk1AbexVe1VDR73UApmeuvfn6Yr2vN8WXjwGu2Q/viewform?edit2=2_ABaOnucsBg4fjMCY2186_9CLN08rrgTPKMKbTfCOpp57zZ9wgr_m13OvgqVWt63h52fwWKw&amp;source=documentstudio&amp;timestamp=1718177741856" TargetMode="External"/><Relationship Id="rId990" Type="http://schemas.openxmlformats.org/officeDocument/2006/relationships/hyperlink" Target="https://drive.google.com/open?id=1jweLI5IOPAeCtWywPVsq-vD5vnRkiVl7" TargetMode="External"/><Relationship Id="rId2257" Type="http://schemas.openxmlformats.org/officeDocument/2006/relationships/hyperlink" Target="https://docs.google.com/forms/d/e/1FAIpQLSeEYwFnViiqk1AbexVe1VDR73UApmeuvfn6Yr2vN8WXjwGu2Q/viewform?edit2=2_ABaOnuf85rnLb9ZDnVL3thdkoDHRGQW61lfghRQ0mSJeVCIpKZ1WDLw810oYUekkdh7nuSI&amp;source=documentstudio&amp;timestamp=1757400001448" TargetMode="External"/><Relationship Id="rId2464" Type="http://schemas.openxmlformats.org/officeDocument/2006/relationships/hyperlink" Target="https://drive.google.com/open?id=1LXWgci0Xe5ncfxVqGbh1jLdBUL9HCkgP" TargetMode="External"/><Relationship Id="rId2671" Type="http://schemas.openxmlformats.org/officeDocument/2006/relationships/hyperlink" Target="https://docs.google.com/forms/d/e/1FAIpQLSeEYwFnViiqk1AbexVe1VDR73UApmeuvfn6Yr2vN8WXjwGu2Q/viewform?edit2=2_ABaOnuc_prliLmJyRcO_wZjExQ9RxP87P4PO1FT3pi-Hb6ZncKfj5sOhUv7VsQ3YW8DLaZk&amp;source=documentstudio&amp;timestamp=1768789803603" TargetMode="External"/><Relationship Id="rId229" Type="http://schemas.openxmlformats.org/officeDocument/2006/relationships/hyperlink" Target="https://drive.google.com/open?id=1tfJSIeUfrE-J4nnkC7266nz8RaBkHyy1" TargetMode="External"/><Relationship Id="rId436" Type="http://schemas.openxmlformats.org/officeDocument/2006/relationships/hyperlink" Target="https://drive.google.com/open?id=19V50qqTl9btFRk2tkN6C5PnZECOQcA82" TargetMode="External"/><Relationship Id="rId643" Type="http://schemas.openxmlformats.org/officeDocument/2006/relationships/hyperlink" Target="https://docs.google.com/forms/d/e/1FAIpQLSeEYwFnViiqk1AbexVe1VDR73UApmeuvfn6Yr2vN8WXjwGu2Q/viewform?edit2=2_ABaOnufqHoh4Y9y-2UGNnEA1Jtx18yBiqwRumLKUWCcz-Q1YHnV_4QSDAcUxy3mMysMUzVU&amp;source=documentstudio&amp;timestamp=1717384506591" TargetMode="External"/><Relationship Id="rId1066" Type="http://schemas.openxmlformats.org/officeDocument/2006/relationships/hyperlink" Target="https://drive.google.com/open?id=1pWE6d1zbWr9XVB2LatMT7nIxUivkvfG5" TargetMode="External"/><Relationship Id="rId1273" Type="http://schemas.openxmlformats.org/officeDocument/2006/relationships/hyperlink" Target="https://docs.google.com/forms/d/e/1FAIpQLSeEYwFnViiqk1AbexVe1VDR73UApmeuvfn6Yr2vN8WXjwGu2Q/viewform?edit2=2_ABaOnufVsKF5DmYGm3FENTKO4mopw82o48hNFPjFHW4F01G1ntVJiJkUntMJVcRwDSSYctc&amp;source=documentstudio&amp;timestamp=1733469305009" TargetMode="External"/><Relationship Id="rId1480" Type="http://schemas.openxmlformats.org/officeDocument/2006/relationships/hyperlink" Target="https://drive.google.com/open?id=1dWaIhwDbSzyNfP8k-emnxXafkIVTlepa" TargetMode="External"/><Relationship Id="rId2117" Type="http://schemas.openxmlformats.org/officeDocument/2006/relationships/hyperlink" Target="https://docs.google.com/forms/d/e/1FAIpQLSeEYwFnViiqk1AbexVe1VDR73UApmeuvfn6Yr2vN8WXjwGu2Q/viewform?edit2=2_ABaOnuc20Fj_ukCY1QAWBOs9ZB4TElN7Vn8q2sPYBpmcJge3m8aE_uXF2Wz3qER4-Qgq7Yg&amp;source=documentstudio&amp;timestamp=1748918088862" TargetMode="External"/><Relationship Id="rId2324" Type="http://schemas.openxmlformats.org/officeDocument/2006/relationships/hyperlink" Target="https://drive.google.com/open?id=1dvqDy6rv66nrQjt4iF3zyMZqwMr1Ilag" TargetMode="External"/><Relationship Id="rId850" Type="http://schemas.openxmlformats.org/officeDocument/2006/relationships/hyperlink" Target="https://drive.google.com/open?id=1l4uPKeInm3NfQnrAlDwRA8nIru8G29qM" TargetMode="External"/><Relationship Id="rId1133" Type="http://schemas.openxmlformats.org/officeDocument/2006/relationships/hyperlink" Target="https://docs.google.com/forms/d/e/1FAIpQLSeEYwFnViiqk1AbexVe1VDR73UApmeuvfn6Yr2vN8WXjwGu2Q/viewform?edit2=2_ABaOnucjmZQuDOvaLgeSzWRvDiJILeY-bUium0y6pfvt9kyoIK6rV304_HyBjCBEFxzRymo&amp;source=documentstudio&amp;timestamp=1727919474511" TargetMode="External"/><Relationship Id="rId2531" Type="http://schemas.openxmlformats.org/officeDocument/2006/relationships/hyperlink" Target="https://docs.google.com/forms/d/e/1FAIpQLSeEYwFnViiqk1AbexVe1VDR73UApmeuvfn6Yr2vN8WXjwGu2Q/viewform?edit2=2_ABaOnucmu1rqPMWajOlAugsreHgyYdPuRylw1FbcNrpAnCxhqx3TfLRXMHCodv7mteI-5uw&amp;source=documentstudio&amp;timestamp=1768449297070" TargetMode="External"/><Relationship Id="rId503" Type="http://schemas.openxmlformats.org/officeDocument/2006/relationships/hyperlink" Target="https://drive.google.com/open?id=16x66tPAceamYuS3TE4_IFD2PUt_m2buT" TargetMode="External"/><Relationship Id="rId710" Type="http://schemas.openxmlformats.org/officeDocument/2006/relationships/hyperlink" Target="https://drive.google.com/open?id=1wrMDFRwdgvBxnU1HEz50fncDPKJ7Ne_5" TargetMode="External"/><Relationship Id="rId1340" Type="http://schemas.openxmlformats.org/officeDocument/2006/relationships/hyperlink" Target="https://drive.google.com/open?id=1O_ViX-4p7VhPxegy-Vj1iHht_QNgnAPl" TargetMode="External"/><Relationship Id="rId1200" Type="http://schemas.openxmlformats.org/officeDocument/2006/relationships/hyperlink" Target="https://drive.google.com/open?id=1uKJEHQ0xb0fxiA3QjbB6hGetohq6bLhF" TargetMode="External"/><Relationship Id="rId293" Type="http://schemas.openxmlformats.org/officeDocument/2006/relationships/hyperlink" Target="https://drive.google.com/open?id=1k5psNtBwB98kuvTTMmjIoUmPaAUHQCo6" TargetMode="External"/><Relationship Id="rId2181" Type="http://schemas.openxmlformats.org/officeDocument/2006/relationships/hyperlink" Target="https://docs.google.com/forms/d/e/1FAIpQLSeEYwFnViiqk1AbexVe1VDR73UApmeuvfn6Yr2vN8WXjwGu2Q/viewform?edit2=2_ABaOnuev1v2GG4tDX-h0q-oG8C2tFeQfTCt5O6xe_1aQ1THbHWaxTosW5nTog1FpMqD9CTs&amp;source=documentstudio&amp;timestamp=1750722402517" TargetMode="External"/><Relationship Id="rId153" Type="http://schemas.openxmlformats.org/officeDocument/2006/relationships/hyperlink" Target="https://drive.google.com/open?id=1GpjP84h1tR-n_a6_vVR56f2xpXZXgH3l" TargetMode="External"/><Relationship Id="rId360" Type="http://schemas.openxmlformats.org/officeDocument/2006/relationships/hyperlink" Target="https://drive.google.com/open?id=1M-SAOCOO7L8ugwtRN5yF49YXSvTpykJM" TargetMode="External"/><Relationship Id="rId2041" Type="http://schemas.openxmlformats.org/officeDocument/2006/relationships/hyperlink" Target="https://docs.google.com/forms/d/e/1FAIpQLSeEYwFnViiqk1AbexVe1VDR73UApmeuvfn6Yr2vN8WXjwGu2Q/viewform?edit2=2_ABaOnufS3bjvQbvBzEKUXnkPz7CjhwNJ-4UYFj2g_-wpu96W7aOKxqUAKF3wib5pYJxe36c&amp;source=documentstudio&amp;timestamp=1748833152035" TargetMode="External"/><Relationship Id="rId220" Type="http://schemas.openxmlformats.org/officeDocument/2006/relationships/hyperlink" Target="https://drive.google.com/open?id=1vDM9_bWDZ_WF7NHKx5k9vuNwkgh2jr3y" TargetMode="External"/><Relationship Id="rId2858" Type="http://schemas.openxmlformats.org/officeDocument/2006/relationships/hyperlink" Target="https://drive.google.com/open?id=1M-0T_FqVqdsCHqeMPvxdfCA-CRnzLEVD" TargetMode="External"/><Relationship Id="rId99" Type="http://schemas.openxmlformats.org/officeDocument/2006/relationships/hyperlink" Target="https://drive.google.com/open?id=1d_1QDAnVRi4Fn8VJIYVs7_nkeHV0z0XI" TargetMode="External"/><Relationship Id="rId1667" Type="http://schemas.openxmlformats.org/officeDocument/2006/relationships/hyperlink" Target="https://docs.google.com/forms/d/e/1FAIpQLSeEYwFnViiqk1AbexVe1VDR73UApmeuvfn6Yr2vN8WXjwGu2Q/viewform?edit2=2_ABaOnudkyBEAxCzBm8Hs32RHRsi9Vu0h5wn95zEL_-jVdxHkJYv9J_Q36IvPZMIKKVY4UCI&amp;source=documentstudio&amp;timestamp=1741334302446" TargetMode="External"/><Relationship Id="rId1874" Type="http://schemas.openxmlformats.org/officeDocument/2006/relationships/hyperlink" Target="https://docs.google.com/forms/d/e/1FAIpQLSeEYwFnViiqk1AbexVe1VDR73UApmeuvfn6Yr2vN8WXjwGu2Q/viewform?edit2=2_ABaOnuf75LWdORL9jrMIOm2M6eoZDKSjhu0WIoDivTg5nwBN3pfbf9BA2ps9loDDw-YwHLs&amp;source=documentstudio&amp;timestamp=1744348959791" TargetMode="External"/><Relationship Id="rId2718" Type="http://schemas.openxmlformats.org/officeDocument/2006/relationships/hyperlink" Target="https://drive.google.com/open?id=1xZTsG_FLkadrD5PyvG9tFmC7IZDjSPrf" TargetMode="External"/><Relationship Id="rId2925" Type="http://schemas.openxmlformats.org/officeDocument/2006/relationships/hyperlink" Target="https://drive.google.com/open?id=1dGmiN316k1OKuWNNKo7RqGV1VksxgDOi" TargetMode="External"/><Relationship Id="rId1527" Type="http://schemas.openxmlformats.org/officeDocument/2006/relationships/hyperlink" Target="https://docs.google.com/forms/d/e/1FAIpQLSeEYwFnViiqk1AbexVe1VDR73UApmeuvfn6Yr2vN8WXjwGu2Q/viewform?edit2=2_ABaOnueS_JrkKu34_yR8L7n-_JmZCMEB9GCjRf03xyqq6nJ2rueay7RNTmuMyZgrst9gWzo&amp;source=documentstudio&amp;timestamp=1739328123066" TargetMode="External"/><Relationship Id="rId1734" Type="http://schemas.openxmlformats.org/officeDocument/2006/relationships/hyperlink" Target="https://drive.google.com/open?id=1nR4PJEn33xFIfYidLg564K-rQlf7r6Ua" TargetMode="External"/><Relationship Id="rId1941" Type="http://schemas.openxmlformats.org/officeDocument/2006/relationships/hyperlink" Target="https://drive.google.com/open?id=1-nbWgUzxF24TgD57XkeWQYKJRESfbZvo" TargetMode="External"/><Relationship Id="rId26" Type="http://schemas.openxmlformats.org/officeDocument/2006/relationships/hyperlink" Target="https://drive.google.com/open?id=1CnW8DyZwLuwd6a-mBJ_-9Ff0wn-cQXvL" TargetMode="External"/><Relationship Id="rId1801" Type="http://schemas.openxmlformats.org/officeDocument/2006/relationships/hyperlink" Target="https://drive.google.com/open?id=1szOuy1RcTDrDS12t0GRk7Q1c7_YFg8cR" TargetMode="External"/><Relationship Id="rId687" Type="http://schemas.openxmlformats.org/officeDocument/2006/relationships/hyperlink" Target="https://docs.google.com/forms/d/e/1FAIpQLSeEYwFnViiqk1AbexVe1VDR73UApmeuvfn6Yr2vN8WXjwGu2Q/viewform?edit2=2_ABaOnucdtK0bH9yepx1XJaOFuaD_qtg2UsaC5IqDI9wLvtlaydTtLtBY6pGoDVb489qCo2s&amp;source=documentstudio&amp;timestamp=1717464370249" TargetMode="External"/><Relationship Id="rId2368" Type="http://schemas.openxmlformats.org/officeDocument/2006/relationships/hyperlink" Target="https://drive.google.com/open?id=1bqGsSl50zAwaDY6hgG1oAp2APrAOcYa_" TargetMode="External"/><Relationship Id="rId894" Type="http://schemas.openxmlformats.org/officeDocument/2006/relationships/hyperlink" Target="https://drive.google.com/open?id=13uYb5onS8FuHiXFkBk_Z1H9u-lEW5XeM" TargetMode="External"/><Relationship Id="rId1177" Type="http://schemas.openxmlformats.org/officeDocument/2006/relationships/hyperlink" Target="https://docs.google.com/forms/d/e/1FAIpQLSeEYwFnViiqk1AbexVe1VDR73UApmeuvfn6Yr2vN8WXjwGu2Q/viewform?edit2=2_ABaOnucufE6RRwgtEMW5h9hApbWM6clFA5icKZ5rKvJJ6T4k1542oAmYgE5vqHG5H6SOKgA&amp;source=documentstudio&amp;timestamp=1728434111013" TargetMode="External"/><Relationship Id="rId2575" Type="http://schemas.openxmlformats.org/officeDocument/2006/relationships/hyperlink" Target="https://docs.google.com/forms/d/e/1FAIpQLSeEYwFnViiqk1AbexVe1VDR73UApmeuvfn6Yr2vN8WXjwGu2Q/viewform?edit2=2_ABaOnudLEFW7SpylgPNjHnq45pAtWQBxD1G1K6sTV7feNT_xNLArjEqAtSWqM4yVeK_cWsk&amp;source=documentstudio&amp;timestamp=1768462023310" TargetMode="External"/><Relationship Id="rId2782" Type="http://schemas.openxmlformats.org/officeDocument/2006/relationships/hyperlink" Target="https://drive.google.com/open?id=1Tjgbs3RIsRTRJCRluaRmqqBx5amsrVh_" TargetMode="External"/><Relationship Id="rId547" Type="http://schemas.openxmlformats.org/officeDocument/2006/relationships/hyperlink" Target="https://drive.google.com/open?id=1PtMbdAe9SrAHqEzh0OHOuegq-ufVrL5d" TargetMode="External"/><Relationship Id="rId754" Type="http://schemas.openxmlformats.org/officeDocument/2006/relationships/hyperlink" Target="https://drive.google.com/open?id=1mXLt1erd30wCc7ralhYGCusJoJUqMDTF" TargetMode="External"/><Relationship Id="rId961" Type="http://schemas.openxmlformats.org/officeDocument/2006/relationships/hyperlink" Target="https://docs.google.com/forms/d/e/1FAIpQLSeEYwFnViiqk1AbexVe1VDR73UApmeuvfn6Yr2vN8WXjwGu2Q/viewform?edit2=2_ABaOnuddspnPsYRI4tDyHpz3_Pqm3ofE0nYmwBByEG5zu3BMYaKQCkTNruzPVQtnjKOIBZk&amp;source=documentstudio&amp;timestamp=1721633475410" TargetMode="External"/><Relationship Id="rId1384" Type="http://schemas.openxmlformats.org/officeDocument/2006/relationships/hyperlink" Target="https://drive.google.com/open?id=1vj38xw1l-4EPEm8wHeiFdJvuFhIjIkM8" TargetMode="External"/><Relationship Id="rId1591" Type="http://schemas.openxmlformats.org/officeDocument/2006/relationships/hyperlink" Target="https://docs.google.com/forms/d/e/1FAIpQLSeEYwFnViiqk1AbexVe1VDR73UApmeuvfn6Yr2vN8WXjwGu2Q/viewform?edit2=2_ABaOnudmpoShbEWCiegtcI5-OSBAY3lwhlEk-7W3fS8cXtBVw58JBZSsw4vAeW9x05SNUiQ&amp;source=documentstudio&amp;timestamp=1739329494963" TargetMode="External"/><Relationship Id="rId2228" Type="http://schemas.openxmlformats.org/officeDocument/2006/relationships/hyperlink" Target="https://drive.google.com/open?id=1IG9FPRJ-VD0sySj6leD_kKv7MeunU2EV" TargetMode="External"/><Relationship Id="rId2435" Type="http://schemas.openxmlformats.org/officeDocument/2006/relationships/hyperlink" Target="https://docs.google.com/forms/d/e/1FAIpQLSeEYwFnViiqk1AbexVe1VDR73UApmeuvfn6Yr2vN8WXjwGu2Q/viewform?edit2=2_ABaOnud5jtRGmrKGiFPukS4uCY9ph5UnyUGGIsXhftfEFDNZoRTWwYx0XvS_ORFY26SXDaU&amp;source=documentstudio&amp;timestamp=1768441437229" TargetMode="External"/><Relationship Id="rId2642" Type="http://schemas.openxmlformats.org/officeDocument/2006/relationships/hyperlink" Target="https://drive.google.com/open?id=1cgAqAi4ZWR5LF5Ep59dB6SZPBDaREs51" TargetMode="External"/><Relationship Id="rId90" Type="http://schemas.openxmlformats.org/officeDocument/2006/relationships/hyperlink" Target="https://drive.google.com/open?id=1diNC07XQ56NDwRNdwC_KTQ6qYQE0EFiP" TargetMode="External"/><Relationship Id="rId407" Type="http://schemas.openxmlformats.org/officeDocument/2006/relationships/hyperlink" Target="https://drive.google.com/open?id=1_W2aC63vUTJPEiSyfRomA85DRh26nrV6" TargetMode="External"/><Relationship Id="rId614" Type="http://schemas.openxmlformats.org/officeDocument/2006/relationships/hyperlink" Target="https://drive.google.com/open?id=1EWPYiFbe6eGT9Q28R2Huma67a2gfJ1eQ" TargetMode="External"/><Relationship Id="rId821" Type="http://schemas.openxmlformats.org/officeDocument/2006/relationships/hyperlink" Target="https://docs.google.com/forms/d/e/1FAIpQLSeEYwFnViiqk1AbexVe1VDR73UApmeuvfn6Yr2vN8WXjwGu2Q/viewform?edit2=2_ABaOnudE-YB3-z19JQUseGW2F3v9LvGG1z_QSwoTjjr7QKgrr9elQPrNizemp5kBSoC3Bz8&amp;source=documentstudio&amp;timestamp=1720415779072" TargetMode="External"/><Relationship Id="rId1037" Type="http://schemas.openxmlformats.org/officeDocument/2006/relationships/hyperlink" Target="https://docs.google.com/forms/d/e/1FAIpQLSeEYwFnViiqk1AbexVe1VDR73UApmeuvfn6Yr2vN8WXjwGu2Q/viewform?edit2=2_ABaOnufHXHATGTYQn48UUSfcdDjiix2wiGAuNajgtdo_W960gjkwPrpIJaBJJabpITKkP3Y&amp;source=documentstudio&amp;timestamp=1724033491739" TargetMode="External"/><Relationship Id="rId1244" Type="http://schemas.openxmlformats.org/officeDocument/2006/relationships/hyperlink" Target="https://drive.google.com/open?id=1bGT3Na93K6r0T9GuE8SZ2Qv7MQx4RjxI" TargetMode="External"/><Relationship Id="rId1451" Type="http://schemas.openxmlformats.org/officeDocument/2006/relationships/hyperlink" Target="https://docs.google.com/forms/d/e/1FAIpQLSeEYwFnViiqk1AbexVe1VDR73UApmeuvfn6Yr2vN8WXjwGu2Q/viewform?edit2=2_ABaOnucQrprTvnfPB5qULSyzCXWyq-7jVB9uX5q7_xh215QPry4_n6TVh7qzh1tq25C6m5E&amp;source=documentstudio&amp;timestamp=1737447071361" TargetMode="External"/><Relationship Id="rId2502" Type="http://schemas.openxmlformats.org/officeDocument/2006/relationships/hyperlink" Target="https://drive.google.com/open?id=1UBc1ABasfkhuDgA-ppIqaXjPGm62ME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91"/>
  <sheetViews>
    <sheetView tabSelected="1" workbookViewId="0">
      <pane ySplit="1" topLeftCell="A251" activePane="bottomLeft" state="frozen"/>
      <selection pane="bottomLeft" activeCell="D260" sqref="D260"/>
    </sheetView>
  </sheetViews>
  <sheetFormatPr defaultColWidth="12.5703125" defaultRowHeight="15.75" customHeight="1" x14ac:dyDescent="0.2"/>
  <cols>
    <col min="1" max="1" width="18.85546875" customWidth="1"/>
    <col min="2" max="2" width="28.140625" customWidth="1"/>
    <col min="3" max="3" width="18.85546875" customWidth="1"/>
    <col min="4" max="4" width="30.140625" customWidth="1"/>
    <col min="5" max="5" width="55.7109375" customWidth="1"/>
    <col min="6" max="8" width="22" customWidth="1"/>
    <col min="9" max="11" width="18.85546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spans="1:8" x14ac:dyDescent="0.2">
      <c r="A2" s="5">
        <v>44652.593584953705</v>
      </c>
      <c r="B2" s="1" t="s">
        <v>8</v>
      </c>
      <c r="C2">
        <v>2022</v>
      </c>
      <c r="D2" s="1" t="s">
        <v>9</v>
      </c>
      <c r="E2" s="6" t="s">
        <v>10</v>
      </c>
    </row>
    <row r="3" spans="1:8" x14ac:dyDescent="0.2">
      <c r="A3" s="5">
        <v>44652.640761388888</v>
      </c>
      <c r="B3" s="1" t="s">
        <v>11</v>
      </c>
      <c r="C3">
        <v>2022</v>
      </c>
      <c r="D3" s="1" t="s">
        <v>9</v>
      </c>
      <c r="E3" s="6" t="s">
        <v>12</v>
      </c>
    </row>
    <row r="4" spans="1:8" x14ac:dyDescent="0.2">
      <c r="A4" s="5">
        <v>44652.671880092588</v>
      </c>
      <c r="B4" s="1" t="s">
        <v>13</v>
      </c>
      <c r="C4">
        <v>2022</v>
      </c>
      <c r="D4" s="1" t="s">
        <v>9</v>
      </c>
      <c r="E4" s="6" t="s">
        <v>14</v>
      </c>
    </row>
    <row r="5" spans="1:8" x14ac:dyDescent="0.2">
      <c r="A5" s="5">
        <v>44652.676964444443</v>
      </c>
      <c r="B5" s="1" t="s">
        <v>11</v>
      </c>
      <c r="C5">
        <v>2022</v>
      </c>
      <c r="D5" s="1" t="s">
        <v>9</v>
      </c>
      <c r="E5" s="6" t="s">
        <v>15</v>
      </c>
    </row>
    <row r="6" spans="1:8" x14ac:dyDescent="0.2">
      <c r="A6" s="5">
        <v>44655.421442384264</v>
      </c>
      <c r="B6" s="1" t="s">
        <v>16</v>
      </c>
      <c r="C6">
        <v>2022</v>
      </c>
      <c r="D6" s="1" t="s">
        <v>9</v>
      </c>
      <c r="E6" s="6" t="s">
        <v>17</v>
      </c>
    </row>
    <row r="7" spans="1:8" x14ac:dyDescent="0.2">
      <c r="A7" s="5">
        <v>44655.477285335648</v>
      </c>
      <c r="B7" s="1" t="s">
        <v>18</v>
      </c>
      <c r="C7">
        <v>2022</v>
      </c>
      <c r="D7" s="1" t="s">
        <v>9</v>
      </c>
      <c r="E7" s="6" t="s">
        <v>19</v>
      </c>
    </row>
    <row r="8" spans="1:8" x14ac:dyDescent="0.2">
      <c r="A8" s="5">
        <v>44655.487250787039</v>
      </c>
      <c r="B8" s="1" t="s">
        <v>20</v>
      </c>
      <c r="C8">
        <v>2022</v>
      </c>
      <c r="D8" s="1" t="s">
        <v>9</v>
      </c>
      <c r="E8" s="6" t="s">
        <v>21</v>
      </c>
    </row>
    <row r="9" spans="1:8" x14ac:dyDescent="0.2">
      <c r="A9" s="5">
        <v>44655.490098310183</v>
      </c>
      <c r="B9" s="1" t="s">
        <v>22</v>
      </c>
      <c r="C9">
        <v>2022</v>
      </c>
      <c r="D9" s="1" t="s">
        <v>9</v>
      </c>
      <c r="E9" s="6" t="s">
        <v>23</v>
      </c>
    </row>
    <row r="10" spans="1:8" x14ac:dyDescent="0.2">
      <c r="A10" s="5">
        <v>44655.517529236109</v>
      </c>
      <c r="B10" s="1" t="s">
        <v>24</v>
      </c>
      <c r="C10">
        <v>2022</v>
      </c>
      <c r="D10" s="1" t="s">
        <v>9</v>
      </c>
      <c r="E10" s="6" t="s">
        <v>25</v>
      </c>
    </row>
    <row r="11" spans="1:8" x14ac:dyDescent="0.2">
      <c r="A11" s="5">
        <v>44655.521705416671</v>
      </c>
      <c r="B11" s="1" t="s">
        <v>11</v>
      </c>
      <c r="C11">
        <v>2022</v>
      </c>
      <c r="D11" s="1" t="s">
        <v>9</v>
      </c>
      <c r="E11" s="6" t="s">
        <v>26</v>
      </c>
    </row>
    <row r="12" spans="1:8" x14ac:dyDescent="0.2">
      <c r="A12" s="5">
        <v>44655.5405703125</v>
      </c>
      <c r="B12" s="1" t="s">
        <v>27</v>
      </c>
      <c r="C12">
        <v>2022</v>
      </c>
      <c r="D12" s="1" t="s">
        <v>9</v>
      </c>
      <c r="E12" s="6" t="s">
        <v>28</v>
      </c>
    </row>
    <row r="13" spans="1:8" x14ac:dyDescent="0.2">
      <c r="A13" s="5">
        <v>44655.542654861114</v>
      </c>
      <c r="B13" s="1" t="s">
        <v>29</v>
      </c>
      <c r="C13">
        <v>2022</v>
      </c>
      <c r="D13" s="1" t="s">
        <v>9</v>
      </c>
      <c r="E13" s="6" t="s">
        <v>30</v>
      </c>
    </row>
    <row r="14" spans="1:8" x14ac:dyDescent="0.2">
      <c r="A14" s="5">
        <v>44655.545765219911</v>
      </c>
      <c r="B14" s="1" t="s">
        <v>31</v>
      </c>
      <c r="C14">
        <v>2022</v>
      </c>
      <c r="D14" s="1" t="s">
        <v>9</v>
      </c>
      <c r="E14" s="6" t="s">
        <v>32</v>
      </c>
    </row>
    <row r="15" spans="1:8" x14ac:dyDescent="0.2">
      <c r="A15" s="5">
        <v>44655.546122719912</v>
      </c>
      <c r="B15" s="1" t="s">
        <v>33</v>
      </c>
      <c r="C15">
        <v>2022</v>
      </c>
      <c r="D15" s="1" t="s">
        <v>9</v>
      </c>
      <c r="E15" s="6" t="s">
        <v>34</v>
      </c>
    </row>
    <row r="16" spans="1:8" x14ac:dyDescent="0.2">
      <c r="A16" s="5">
        <v>44655.565697013888</v>
      </c>
      <c r="B16" s="1" t="s">
        <v>35</v>
      </c>
      <c r="C16">
        <v>2022</v>
      </c>
      <c r="D16" s="1" t="s">
        <v>9</v>
      </c>
      <c r="E16" s="6" t="s">
        <v>36</v>
      </c>
    </row>
    <row r="17" spans="1:5" x14ac:dyDescent="0.2">
      <c r="A17" s="5">
        <v>44655.568547256946</v>
      </c>
      <c r="B17" s="1" t="s">
        <v>37</v>
      </c>
      <c r="C17">
        <v>2022</v>
      </c>
      <c r="D17" s="1" t="s">
        <v>9</v>
      </c>
      <c r="E17" s="6" t="s">
        <v>38</v>
      </c>
    </row>
    <row r="18" spans="1:5" x14ac:dyDescent="0.2">
      <c r="A18" s="5">
        <v>44655.574263020833</v>
      </c>
      <c r="B18" s="1" t="s">
        <v>39</v>
      </c>
      <c r="C18">
        <v>2022</v>
      </c>
      <c r="D18" s="1" t="s">
        <v>9</v>
      </c>
      <c r="E18" s="6" t="s">
        <v>40</v>
      </c>
    </row>
    <row r="19" spans="1:5" x14ac:dyDescent="0.2">
      <c r="A19" s="5">
        <v>44655.577057893519</v>
      </c>
      <c r="B19" s="1" t="s">
        <v>41</v>
      </c>
      <c r="C19">
        <v>2022</v>
      </c>
      <c r="D19" s="1" t="s">
        <v>9</v>
      </c>
      <c r="E19" s="6" t="s">
        <v>42</v>
      </c>
    </row>
    <row r="20" spans="1:5" x14ac:dyDescent="0.2">
      <c r="A20" s="5">
        <v>44655.578700625003</v>
      </c>
      <c r="B20" s="1" t="s">
        <v>43</v>
      </c>
      <c r="C20">
        <v>2022</v>
      </c>
      <c r="D20" s="1" t="s">
        <v>9</v>
      </c>
      <c r="E20" s="6" t="s">
        <v>44</v>
      </c>
    </row>
    <row r="21" spans="1:5" x14ac:dyDescent="0.2">
      <c r="A21" s="5">
        <v>44655.586688831019</v>
      </c>
      <c r="B21" s="1" t="s">
        <v>45</v>
      </c>
      <c r="C21">
        <v>2022</v>
      </c>
      <c r="D21" s="1" t="s">
        <v>9</v>
      </c>
      <c r="E21" s="6" t="s">
        <v>46</v>
      </c>
    </row>
    <row r="22" spans="1:5" x14ac:dyDescent="0.2">
      <c r="A22" s="5">
        <v>44655.587147407408</v>
      </c>
      <c r="B22" s="1" t="s">
        <v>47</v>
      </c>
      <c r="C22">
        <v>2022</v>
      </c>
      <c r="D22" s="1" t="s">
        <v>9</v>
      </c>
      <c r="E22" s="6" t="s">
        <v>48</v>
      </c>
    </row>
    <row r="23" spans="1:5" x14ac:dyDescent="0.2">
      <c r="A23" s="5">
        <v>44655.589348587964</v>
      </c>
      <c r="B23" s="1" t="s">
        <v>49</v>
      </c>
      <c r="C23">
        <v>2022</v>
      </c>
      <c r="D23" s="1" t="s">
        <v>9</v>
      </c>
      <c r="E23" s="6" t="s">
        <v>50</v>
      </c>
    </row>
    <row r="24" spans="1:5" x14ac:dyDescent="0.2">
      <c r="A24" s="5">
        <v>44655.593668831018</v>
      </c>
      <c r="B24" s="1" t="s">
        <v>11</v>
      </c>
      <c r="C24">
        <v>2022</v>
      </c>
      <c r="D24" s="1" t="s">
        <v>9</v>
      </c>
      <c r="E24" s="6" t="s">
        <v>51</v>
      </c>
    </row>
    <row r="25" spans="1:5" x14ac:dyDescent="0.2">
      <c r="A25" s="5">
        <v>44655.603643032402</v>
      </c>
      <c r="B25" s="1" t="s">
        <v>37</v>
      </c>
      <c r="C25">
        <v>2022</v>
      </c>
      <c r="D25" s="1" t="s">
        <v>9</v>
      </c>
      <c r="E25" s="6" t="s">
        <v>52</v>
      </c>
    </row>
    <row r="26" spans="1:5" x14ac:dyDescent="0.2">
      <c r="A26" s="5">
        <v>44655.608583263893</v>
      </c>
      <c r="B26" s="1" t="s">
        <v>53</v>
      </c>
      <c r="C26">
        <v>2022</v>
      </c>
      <c r="D26" s="1" t="s">
        <v>9</v>
      </c>
      <c r="E26" s="6" t="s">
        <v>54</v>
      </c>
    </row>
    <row r="27" spans="1:5" x14ac:dyDescent="0.2">
      <c r="A27" s="5">
        <v>44655.617560474537</v>
      </c>
      <c r="B27" s="1" t="s">
        <v>8</v>
      </c>
      <c r="C27">
        <v>2022</v>
      </c>
      <c r="D27" s="1" t="s">
        <v>9</v>
      </c>
      <c r="E27" s="6" t="s">
        <v>55</v>
      </c>
    </row>
    <row r="28" spans="1:5" x14ac:dyDescent="0.2">
      <c r="A28" s="5">
        <v>44655.618952407407</v>
      </c>
      <c r="B28" s="1" t="s">
        <v>56</v>
      </c>
      <c r="C28">
        <v>2022</v>
      </c>
      <c r="D28" s="1" t="s">
        <v>9</v>
      </c>
      <c r="E28" s="6" t="s">
        <v>57</v>
      </c>
    </row>
    <row r="29" spans="1:5" x14ac:dyDescent="0.2">
      <c r="A29" s="5">
        <v>44655.626228414352</v>
      </c>
      <c r="B29" s="1" t="s">
        <v>58</v>
      </c>
      <c r="C29">
        <v>2022</v>
      </c>
      <c r="D29" s="1" t="s">
        <v>9</v>
      </c>
      <c r="E29" s="6" t="s">
        <v>59</v>
      </c>
    </row>
    <row r="30" spans="1:5" x14ac:dyDescent="0.2">
      <c r="A30" s="5">
        <v>44655.671769687498</v>
      </c>
      <c r="B30" s="1" t="s">
        <v>60</v>
      </c>
      <c r="C30">
        <v>2022</v>
      </c>
      <c r="D30" s="1" t="s">
        <v>9</v>
      </c>
      <c r="E30" s="6" t="s">
        <v>61</v>
      </c>
    </row>
    <row r="31" spans="1:5" x14ac:dyDescent="0.2">
      <c r="A31" s="5">
        <v>44655.680335289348</v>
      </c>
      <c r="B31" s="1" t="s">
        <v>62</v>
      </c>
      <c r="C31">
        <v>2022</v>
      </c>
      <c r="D31" s="1" t="s">
        <v>9</v>
      </c>
      <c r="E31" s="6" t="s">
        <v>63</v>
      </c>
    </row>
    <row r="32" spans="1:5" x14ac:dyDescent="0.2">
      <c r="A32" s="5">
        <v>44655.991252245367</v>
      </c>
      <c r="B32" s="1" t="s">
        <v>64</v>
      </c>
      <c r="C32">
        <v>2022</v>
      </c>
      <c r="D32" s="1" t="s">
        <v>9</v>
      </c>
      <c r="E32" s="6" t="s">
        <v>65</v>
      </c>
    </row>
    <row r="33" spans="1:5" x14ac:dyDescent="0.2">
      <c r="A33" s="5">
        <v>44656.333208321761</v>
      </c>
      <c r="B33" s="1" t="s">
        <v>66</v>
      </c>
      <c r="C33">
        <v>2022</v>
      </c>
      <c r="D33" s="1" t="s">
        <v>9</v>
      </c>
      <c r="E33" s="6" t="s">
        <v>67</v>
      </c>
    </row>
    <row r="34" spans="1:5" x14ac:dyDescent="0.2">
      <c r="A34" s="5">
        <v>44656.372934988423</v>
      </c>
      <c r="B34" s="1" t="s">
        <v>68</v>
      </c>
      <c r="C34">
        <v>2022</v>
      </c>
      <c r="D34" s="1" t="s">
        <v>9</v>
      </c>
      <c r="E34" s="6" t="s">
        <v>69</v>
      </c>
    </row>
    <row r="35" spans="1:5" x14ac:dyDescent="0.2">
      <c r="A35" s="5">
        <v>44656.391676956016</v>
      </c>
      <c r="B35" s="1" t="s">
        <v>70</v>
      </c>
      <c r="C35">
        <v>2022</v>
      </c>
      <c r="D35" s="1" t="s">
        <v>9</v>
      </c>
      <c r="E35" s="6" t="s">
        <v>71</v>
      </c>
    </row>
    <row r="36" spans="1:5" x14ac:dyDescent="0.2">
      <c r="A36" s="5">
        <v>44656.396162997684</v>
      </c>
      <c r="B36" s="1" t="s">
        <v>70</v>
      </c>
      <c r="C36">
        <v>2022</v>
      </c>
      <c r="D36" s="1" t="s">
        <v>9</v>
      </c>
      <c r="E36" s="6" t="s">
        <v>72</v>
      </c>
    </row>
    <row r="37" spans="1:5" x14ac:dyDescent="0.2">
      <c r="A37" s="5">
        <v>44656.399111469902</v>
      </c>
      <c r="B37" s="1" t="s">
        <v>70</v>
      </c>
      <c r="C37">
        <v>2022</v>
      </c>
      <c r="D37" s="1" t="s">
        <v>9</v>
      </c>
      <c r="E37" s="6" t="s">
        <v>73</v>
      </c>
    </row>
    <row r="38" spans="1:5" x14ac:dyDescent="0.2">
      <c r="A38" s="5">
        <v>44656.610542499999</v>
      </c>
      <c r="B38" s="1" t="s">
        <v>74</v>
      </c>
      <c r="C38">
        <v>2022</v>
      </c>
      <c r="D38" s="1" t="s">
        <v>9</v>
      </c>
      <c r="E38" s="6" t="s">
        <v>75</v>
      </c>
    </row>
    <row r="39" spans="1:5" x14ac:dyDescent="0.2">
      <c r="A39" s="5">
        <v>44658.345657291662</v>
      </c>
      <c r="B39" s="1" t="s">
        <v>76</v>
      </c>
      <c r="C39">
        <v>2022</v>
      </c>
      <c r="D39" s="1" t="s">
        <v>9</v>
      </c>
      <c r="E39" s="6" t="s">
        <v>77</v>
      </c>
    </row>
    <row r="40" spans="1:5" x14ac:dyDescent="0.2">
      <c r="A40" s="5">
        <v>44678.376056770838</v>
      </c>
      <c r="B40" s="1" t="s">
        <v>24</v>
      </c>
      <c r="C40">
        <v>2022</v>
      </c>
      <c r="D40" s="1" t="s">
        <v>78</v>
      </c>
      <c r="E40" s="6" t="s">
        <v>79</v>
      </c>
    </row>
    <row r="41" spans="1:5" x14ac:dyDescent="0.2">
      <c r="A41" s="5">
        <v>44678.403254293982</v>
      </c>
      <c r="B41" s="1" t="s">
        <v>70</v>
      </c>
      <c r="C41">
        <v>2022</v>
      </c>
      <c r="D41" s="1" t="s">
        <v>78</v>
      </c>
      <c r="E41" s="6" t="s">
        <v>80</v>
      </c>
    </row>
    <row r="42" spans="1:5" x14ac:dyDescent="0.2">
      <c r="A42" s="5">
        <v>44678.449019571759</v>
      </c>
      <c r="B42" s="1" t="s">
        <v>20</v>
      </c>
      <c r="C42">
        <v>2022</v>
      </c>
      <c r="D42" s="1" t="s">
        <v>78</v>
      </c>
      <c r="E42" s="6" t="s">
        <v>81</v>
      </c>
    </row>
    <row r="43" spans="1:5" x14ac:dyDescent="0.2">
      <c r="A43" s="5">
        <v>44678.550954722217</v>
      </c>
      <c r="B43" s="1" t="s">
        <v>47</v>
      </c>
      <c r="C43">
        <v>2022</v>
      </c>
      <c r="D43" s="1" t="s">
        <v>78</v>
      </c>
      <c r="E43" s="6" t="s">
        <v>82</v>
      </c>
    </row>
    <row r="44" spans="1:5" x14ac:dyDescent="0.2">
      <c r="A44" s="5">
        <v>44678.563049872682</v>
      </c>
      <c r="B44" s="1" t="s">
        <v>58</v>
      </c>
      <c r="C44">
        <v>2022</v>
      </c>
      <c r="D44" s="1" t="s">
        <v>78</v>
      </c>
      <c r="E44" s="6" t="s">
        <v>83</v>
      </c>
    </row>
    <row r="45" spans="1:5" x14ac:dyDescent="0.2">
      <c r="A45" s="5">
        <v>44679.340052615742</v>
      </c>
      <c r="B45" s="1" t="s">
        <v>18</v>
      </c>
      <c r="C45">
        <v>2022</v>
      </c>
      <c r="D45" s="1" t="s">
        <v>78</v>
      </c>
      <c r="E45" s="6" t="s">
        <v>84</v>
      </c>
    </row>
    <row r="46" spans="1:5" x14ac:dyDescent="0.2">
      <c r="A46" s="5">
        <v>44679.375696886578</v>
      </c>
      <c r="B46" s="1" t="s">
        <v>13</v>
      </c>
      <c r="C46">
        <v>2022</v>
      </c>
      <c r="D46" s="1" t="s">
        <v>78</v>
      </c>
      <c r="E46" s="6" t="s">
        <v>85</v>
      </c>
    </row>
    <row r="47" spans="1:5" x14ac:dyDescent="0.2">
      <c r="A47" s="5">
        <v>44679.399428599536</v>
      </c>
      <c r="B47" s="1" t="s">
        <v>49</v>
      </c>
      <c r="C47">
        <v>2022</v>
      </c>
      <c r="D47" s="1" t="s">
        <v>78</v>
      </c>
      <c r="E47" s="6" t="s">
        <v>86</v>
      </c>
    </row>
    <row r="48" spans="1:5" x14ac:dyDescent="0.2">
      <c r="A48" s="5">
        <v>44679.450631099535</v>
      </c>
      <c r="B48" s="1" t="s">
        <v>60</v>
      </c>
      <c r="C48">
        <v>2022</v>
      </c>
      <c r="D48" s="1" t="s">
        <v>78</v>
      </c>
      <c r="E48" s="6" t="s">
        <v>87</v>
      </c>
    </row>
    <row r="49" spans="1:5" x14ac:dyDescent="0.2">
      <c r="A49" s="5">
        <v>44679.464527905089</v>
      </c>
      <c r="B49" s="1" t="s">
        <v>66</v>
      </c>
      <c r="C49">
        <v>2022</v>
      </c>
      <c r="D49" s="1" t="s">
        <v>78</v>
      </c>
      <c r="E49" s="6" t="s">
        <v>88</v>
      </c>
    </row>
    <row r="50" spans="1:5" x14ac:dyDescent="0.2">
      <c r="A50" s="5">
        <v>44679.465766724534</v>
      </c>
      <c r="B50" s="1" t="s">
        <v>35</v>
      </c>
      <c r="C50">
        <v>2022</v>
      </c>
      <c r="D50" s="1" t="s">
        <v>78</v>
      </c>
      <c r="E50" s="6" t="s">
        <v>89</v>
      </c>
    </row>
    <row r="51" spans="1:5" x14ac:dyDescent="0.2">
      <c r="A51" s="5">
        <v>44679.481942106482</v>
      </c>
      <c r="B51" s="1" t="s">
        <v>27</v>
      </c>
      <c r="C51">
        <v>2022</v>
      </c>
      <c r="D51" s="1" t="s">
        <v>78</v>
      </c>
      <c r="E51" s="6" t="s">
        <v>90</v>
      </c>
    </row>
    <row r="52" spans="1:5" x14ac:dyDescent="0.2">
      <c r="A52" s="5">
        <v>44679.536108738423</v>
      </c>
      <c r="B52" s="1" t="s">
        <v>76</v>
      </c>
      <c r="C52">
        <v>2022</v>
      </c>
      <c r="D52" s="1" t="s">
        <v>78</v>
      </c>
      <c r="E52" s="6" t="s">
        <v>91</v>
      </c>
    </row>
    <row r="53" spans="1:5" x14ac:dyDescent="0.2">
      <c r="A53" s="5">
        <v>44679.544032905091</v>
      </c>
      <c r="B53" s="1" t="s">
        <v>43</v>
      </c>
      <c r="C53">
        <v>2022</v>
      </c>
      <c r="D53" s="1" t="s">
        <v>78</v>
      </c>
      <c r="E53" s="6" t="s">
        <v>92</v>
      </c>
    </row>
    <row r="54" spans="1:5" x14ac:dyDescent="0.2">
      <c r="A54" s="5">
        <v>44679.569209652778</v>
      </c>
      <c r="B54" s="1" t="s">
        <v>45</v>
      </c>
      <c r="C54">
        <v>2022</v>
      </c>
      <c r="D54" s="1" t="s">
        <v>78</v>
      </c>
      <c r="E54" s="6" t="s">
        <v>93</v>
      </c>
    </row>
    <row r="55" spans="1:5" x14ac:dyDescent="0.2">
      <c r="A55" s="5">
        <v>44679.631864212963</v>
      </c>
      <c r="B55" s="1" t="s">
        <v>37</v>
      </c>
      <c r="C55">
        <v>2022</v>
      </c>
      <c r="D55" s="1" t="s">
        <v>78</v>
      </c>
      <c r="E55" s="6" t="s">
        <v>94</v>
      </c>
    </row>
    <row r="56" spans="1:5" x14ac:dyDescent="0.2">
      <c r="A56" s="5">
        <v>44680.472356562503</v>
      </c>
      <c r="B56" s="1" t="s">
        <v>11</v>
      </c>
      <c r="C56">
        <v>2022</v>
      </c>
      <c r="D56" s="1" t="s">
        <v>78</v>
      </c>
      <c r="E56" s="6" t="s">
        <v>95</v>
      </c>
    </row>
    <row r="57" spans="1:5" x14ac:dyDescent="0.2">
      <c r="A57" s="5">
        <v>44680.531514131944</v>
      </c>
      <c r="B57" s="1" t="s">
        <v>41</v>
      </c>
      <c r="C57">
        <v>2022</v>
      </c>
      <c r="D57" s="1" t="s">
        <v>78</v>
      </c>
      <c r="E57" s="6" t="s">
        <v>96</v>
      </c>
    </row>
    <row r="58" spans="1:5" x14ac:dyDescent="0.2">
      <c r="A58" s="5">
        <v>44680.621182557872</v>
      </c>
      <c r="B58" s="1" t="s">
        <v>8</v>
      </c>
      <c r="C58">
        <v>2022</v>
      </c>
      <c r="D58" s="1" t="s">
        <v>78</v>
      </c>
      <c r="E58" s="6" t="s">
        <v>97</v>
      </c>
    </row>
    <row r="59" spans="1:5" x14ac:dyDescent="0.2">
      <c r="A59" s="5">
        <v>44680.621460543982</v>
      </c>
      <c r="B59" s="1" t="s">
        <v>68</v>
      </c>
      <c r="C59">
        <v>2022</v>
      </c>
      <c r="D59" s="1" t="s">
        <v>78</v>
      </c>
      <c r="E59" s="6" t="s">
        <v>98</v>
      </c>
    </row>
    <row r="60" spans="1:5" x14ac:dyDescent="0.2">
      <c r="A60" s="5">
        <v>44680.895916400463</v>
      </c>
      <c r="B60" s="1" t="s">
        <v>62</v>
      </c>
      <c r="C60">
        <v>2022</v>
      </c>
      <c r="D60" s="1" t="s">
        <v>78</v>
      </c>
      <c r="E60" s="6" t="s">
        <v>99</v>
      </c>
    </row>
    <row r="61" spans="1:5" x14ac:dyDescent="0.2">
      <c r="A61" s="5">
        <v>44681.724649247684</v>
      </c>
      <c r="B61" s="1" t="s">
        <v>22</v>
      </c>
      <c r="C61">
        <v>2022</v>
      </c>
      <c r="D61" s="1" t="s">
        <v>78</v>
      </c>
      <c r="E61" s="6" t="s">
        <v>100</v>
      </c>
    </row>
    <row r="62" spans="1:5" x14ac:dyDescent="0.2">
      <c r="A62" s="5">
        <v>44681.877362291663</v>
      </c>
      <c r="B62" s="1" t="s">
        <v>64</v>
      </c>
      <c r="C62">
        <v>2022</v>
      </c>
      <c r="D62" s="1" t="s">
        <v>78</v>
      </c>
      <c r="E62" s="6" t="s">
        <v>101</v>
      </c>
    </row>
    <row r="63" spans="1:5" x14ac:dyDescent="0.2">
      <c r="A63" s="5">
        <v>44681.87928241898</v>
      </c>
      <c r="B63" s="1" t="s">
        <v>64</v>
      </c>
      <c r="C63">
        <v>2022</v>
      </c>
      <c r="D63" s="1" t="s">
        <v>78</v>
      </c>
      <c r="E63" s="6" t="s">
        <v>102</v>
      </c>
    </row>
    <row r="64" spans="1:5" x14ac:dyDescent="0.2">
      <c r="A64" s="5">
        <v>44688.751366597222</v>
      </c>
      <c r="B64" s="1" t="s">
        <v>56</v>
      </c>
      <c r="C64">
        <v>2022</v>
      </c>
      <c r="D64" s="1" t="s">
        <v>78</v>
      </c>
      <c r="E64" s="6" t="s">
        <v>103</v>
      </c>
    </row>
    <row r="65" spans="1:5" x14ac:dyDescent="0.2">
      <c r="A65" s="5">
        <v>44688.947106354171</v>
      </c>
      <c r="B65" s="1" t="s">
        <v>31</v>
      </c>
      <c r="C65">
        <v>2022</v>
      </c>
      <c r="D65" s="1" t="s">
        <v>78</v>
      </c>
      <c r="E65" s="6" t="s">
        <v>104</v>
      </c>
    </row>
    <row r="66" spans="1:5" x14ac:dyDescent="0.2">
      <c r="A66" s="5">
        <v>44689.34919616898</v>
      </c>
      <c r="B66" s="1" t="s">
        <v>39</v>
      </c>
      <c r="C66">
        <v>2022</v>
      </c>
      <c r="D66" s="1" t="s">
        <v>78</v>
      </c>
      <c r="E66" s="6" t="s">
        <v>105</v>
      </c>
    </row>
    <row r="67" spans="1:5" x14ac:dyDescent="0.2">
      <c r="A67" s="5">
        <v>44689.349582499999</v>
      </c>
      <c r="B67" s="1" t="s">
        <v>29</v>
      </c>
      <c r="C67">
        <v>2022</v>
      </c>
      <c r="D67" s="1" t="s">
        <v>78</v>
      </c>
      <c r="E67" s="6" t="s">
        <v>106</v>
      </c>
    </row>
    <row r="68" spans="1:5" x14ac:dyDescent="0.2">
      <c r="A68" s="5">
        <v>44691.608559074069</v>
      </c>
      <c r="B68" s="1" t="s">
        <v>53</v>
      </c>
      <c r="C68">
        <v>2022</v>
      </c>
      <c r="D68" s="1" t="s">
        <v>78</v>
      </c>
      <c r="E68" s="6" t="s">
        <v>107</v>
      </c>
    </row>
    <row r="69" spans="1:5" x14ac:dyDescent="0.2">
      <c r="A69" s="5">
        <v>44694.341191678242</v>
      </c>
      <c r="B69" s="1" t="s">
        <v>33</v>
      </c>
      <c r="C69">
        <v>2022</v>
      </c>
      <c r="D69" s="1" t="s">
        <v>78</v>
      </c>
      <c r="E69" s="6" t="s">
        <v>108</v>
      </c>
    </row>
    <row r="70" spans="1:5" x14ac:dyDescent="0.2">
      <c r="A70" s="5">
        <v>44694.38079012731</v>
      </c>
      <c r="B70" s="1" t="s">
        <v>16</v>
      </c>
      <c r="C70">
        <v>2022</v>
      </c>
      <c r="D70" s="1" t="s">
        <v>78</v>
      </c>
      <c r="E70" s="6" t="s">
        <v>109</v>
      </c>
    </row>
    <row r="71" spans="1:5" x14ac:dyDescent="0.2">
      <c r="A71" s="5">
        <v>44712.546307152777</v>
      </c>
      <c r="B71" s="1" t="s">
        <v>20</v>
      </c>
      <c r="C71">
        <v>2022</v>
      </c>
      <c r="D71" s="1" t="s">
        <v>110</v>
      </c>
      <c r="E71" s="6" t="s">
        <v>111</v>
      </c>
    </row>
    <row r="72" spans="1:5" x14ac:dyDescent="0.2">
      <c r="A72" s="5">
        <v>44712.589115474533</v>
      </c>
      <c r="B72" s="1" t="s">
        <v>112</v>
      </c>
      <c r="C72">
        <v>2022</v>
      </c>
      <c r="D72" s="1" t="s">
        <v>110</v>
      </c>
      <c r="E72" s="6" t="s">
        <v>113</v>
      </c>
    </row>
    <row r="73" spans="1:5" x14ac:dyDescent="0.2">
      <c r="A73" s="5">
        <v>44712.617911354166</v>
      </c>
      <c r="B73" s="1" t="s">
        <v>13</v>
      </c>
      <c r="C73">
        <v>2022</v>
      </c>
      <c r="D73" s="1" t="s">
        <v>110</v>
      </c>
      <c r="E73" s="6" t="s">
        <v>114</v>
      </c>
    </row>
    <row r="74" spans="1:5" x14ac:dyDescent="0.2">
      <c r="A74" s="5">
        <v>44712.639069305558</v>
      </c>
      <c r="B74" s="1" t="s">
        <v>56</v>
      </c>
      <c r="C74">
        <v>2022</v>
      </c>
      <c r="D74" s="1" t="s">
        <v>110</v>
      </c>
      <c r="E74" s="6" t="s">
        <v>115</v>
      </c>
    </row>
    <row r="75" spans="1:5" x14ac:dyDescent="0.2">
      <c r="A75" s="5">
        <v>44712.649522476851</v>
      </c>
      <c r="B75" s="1" t="s">
        <v>45</v>
      </c>
      <c r="C75">
        <v>2022</v>
      </c>
      <c r="D75" s="1" t="s">
        <v>110</v>
      </c>
      <c r="E75" s="6" t="s">
        <v>116</v>
      </c>
    </row>
    <row r="76" spans="1:5" x14ac:dyDescent="0.2">
      <c r="A76" s="5">
        <v>44713.655323483792</v>
      </c>
      <c r="B76" s="1" t="s">
        <v>11</v>
      </c>
      <c r="C76">
        <v>2022</v>
      </c>
      <c r="D76" s="1" t="s">
        <v>110</v>
      </c>
      <c r="E76" s="6" t="s">
        <v>117</v>
      </c>
    </row>
    <row r="77" spans="1:5" x14ac:dyDescent="0.2">
      <c r="A77" s="5">
        <v>44714.391717499995</v>
      </c>
      <c r="B77" s="1" t="s">
        <v>35</v>
      </c>
      <c r="C77">
        <v>2022</v>
      </c>
      <c r="D77" s="1" t="s">
        <v>110</v>
      </c>
      <c r="E77" s="6" t="s">
        <v>118</v>
      </c>
    </row>
    <row r="78" spans="1:5" x14ac:dyDescent="0.2">
      <c r="A78" s="5">
        <v>44714.503291087967</v>
      </c>
      <c r="B78" s="1" t="s">
        <v>22</v>
      </c>
      <c r="C78">
        <v>2022</v>
      </c>
      <c r="D78" s="1" t="s">
        <v>110</v>
      </c>
      <c r="E78" s="6" t="s">
        <v>119</v>
      </c>
    </row>
    <row r="79" spans="1:5" x14ac:dyDescent="0.2">
      <c r="A79" s="5">
        <v>44715.406924814815</v>
      </c>
      <c r="B79" s="1" t="s">
        <v>31</v>
      </c>
      <c r="C79">
        <v>2022</v>
      </c>
      <c r="D79" s="1" t="s">
        <v>110</v>
      </c>
      <c r="E79" s="6" t="s">
        <v>120</v>
      </c>
    </row>
    <row r="80" spans="1:5" x14ac:dyDescent="0.2">
      <c r="A80" s="5">
        <v>44715.448515520839</v>
      </c>
      <c r="B80" s="1" t="s">
        <v>18</v>
      </c>
      <c r="C80">
        <v>2022</v>
      </c>
      <c r="D80" s="1" t="s">
        <v>110</v>
      </c>
      <c r="E80" s="6" t="s">
        <v>121</v>
      </c>
    </row>
    <row r="81" spans="1:5" x14ac:dyDescent="0.2">
      <c r="A81" s="5">
        <v>44715.472539791663</v>
      </c>
      <c r="B81" s="1" t="s">
        <v>49</v>
      </c>
      <c r="C81">
        <v>2022</v>
      </c>
      <c r="D81" s="1" t="s">
        <v>110</v>
      </c>
      <c r="E81" s="6" t="s">
        <v>122</v>
      </c>
    </row>
    <row r="82" spans="1:5" x14ac:dyDescent="0.2">
      <c r="A82" s="5">
        <v>44715.518097349537</v>
      </c>
      <c r="B82" s="1" t="s">
        <v>64</v>
      </c>
      <c r="C82">
        <v>2022</v>
      </c>
      <c r="D82" s="1" t="s">
        <v>110</v>
      </c>
      <c r="E82" s="6" t="s">
        <v>123</v>
      </c>
    </row>
    <row r="83" spans="1:5" x14ac:dyDescent="0.2">
      <c r="A83" s="5">
        <v>44715.518521655089</v>
      </c>
      <c r="B83" s="1" t="s">
        <v>70</v>
      </c>
      <c r="C83">
        <v>2022</v>
      </c>
      <c r="D83" s="1" t="s">
        <v>110</v>
      </c>
      <c r="E83" s="6" t="s">
        <v>124</v>
      </c>
    </row>
    <row r="84" spans="1:5" x14ac:dyDescent="0.2">
      <c r="A84" s="5">
        <v>44715.652720335653</v>
      </c>
      <c r="B84" s="1" t="s">
        <v>76</v>
      </c>
      <c r="C84">
        <v>2022</v>
      </c>
      <c r="D84" s="1" t="s">
        <v>110</v>
      </c>
      <c r="E84" s="6" t="s">
        <v>125</v>
      </c>
    </row>
    <row r="85" spans="1:5" x14ac:dyDescent="0.2">
      <c r="A85" s="5">
        <v>44718.225784884256</v>
      </c>
      <c r="B85" s="1" t="s">
        <v>62</v>
      </c>
      <c r="C85">
        <v>2022</v>
      </c>
      <c r="D85" s="1" t="s">
        <v>110</v>
      </c>
      <c r="E85" s="6" t="s">
        <v>126</v>
      </c>
    </row>
    <row r="86" spans="1:5" x14ac:dyDescent="0.2">
      <c r="A86" s="5">
        <v>44718.350170347221</v>
      </c>
      <c r="B86" s="1" t="s">
        <v>47</v>
      </c>
      <c r="C86">
        <v>2022</v>
      </c>
      <c r="D86" s="1" t="s">
        <v>110</v>
      </c>
      <c r="E86" s="6" t="s">
        <v>127</v>
      </c>
    </row>
    <row r="87" spans="1:5" x14ac:dyDescent="0.2">
      <c r="A87" s="5">
        <v>44718.469041192133</v>
      </c>
      <c r="B87" s="1" t="s">
        <v>68</v>
      </c>
      <c r="C87">
        <v>2022</v>
      </c>
      <c r="D87" s="1" t="s">
        <v>110</v>
      </c>
      <c r="E87" s="6" t="s">
        <v>128</v>
      </c>
    </row>
    <row r="88" spans="1:5" x14ac:dyDescent="0.2">
      <c r="A88" s="5">
        <v>44718.541875740746</v>
      </c>
      <c r="B88" s="1" t="s">
        <v>43</v>
      </c>
      <c r="C88">
        <v>2022</v>
      </c>
      <c r="D88" s="1" t="s">
        <v>110</v>
      </c>
      <c r="E88" s="6" t="s">
        <v>129</v>
      </c>
    </row>
    <row r="89" spans="1:5" x14ac:dyDescent="0.2">
      <c r="A89" s="5">
        <v>44718.544795138892</v>
      </c>
      <c r="B89" s="1" t="s">
        <v>66</v>
      </c>
      <c r="C89">
        <v>2022</v>
      </c>
      <c r="D89" s="1" t="s">
        <v>110</v>
      </c>
      <c r="E89" s="6" t="s">
        <v>130</v>
      </c>
    </row>
    <row r="90" spans="1:5" x14ac:dyDescent="0.2">
      <c r="A90" s="5">
        <v>44718.561129953705</v>
      </c>
      <c r="B90" s="1" t="s">
        <v>20</v>
      </c>
      <c r="C90">
        <v>2022</v>
      </c>
      <c r="D90" s="1" t="s">
        <v>110</v>
      </c>
      <c r="E90" s="6" t="s">
        <v>131</v>
      </c>
    </row>
    <row r="91" spans="1:5" x14ac:dyDescent="0.2">
      <c r="A91" s="5">
        <v>44718.596458148153</v>
      </c>
      <c r="B91" s="1" t="s">
        <v>53</v>
      </c>
      <c r="C91">
        <v>2022</v>
      </c>
      <c r="D91" s="1" t="s">
        <v>110</v>
      </c>
      <c r="E91" s="6" t="s">
        <v>132</v>
      </c>
    </row>
    <row r="92" spans="1:5" x14ac:dyDescent="0.2">
      <c r="A92" s="5">
        <v>44718.598372615743</v>
      </c>
      <c r="B92" s="1" t="s">
        <v>8</v>
      </c>
      <c r="C92">
        <v>2022</v>
      </c>
      <c r="D92" s="1" t="s">
        <v>110</v>
      </c>
      <c r="E92" s="6" t="s">
        <v>133</v>
      </c>
    </row>
    <row r="93" spans="1:5" x14ac:dyDescent="0.2">
      <c r="A93" s="5">
        <v>44718.612682858795</v>
      </c>
      <c r="B93" s="1" t="s">
        <v>41</v>
      </c>
      <c r="C93">
        <v>2022</v>
      </c>
      <c r="D93" s="1" t="s">
        <v>110</v>
      </c>
      <c r="E93" s="6" t="s">
        <v>134</v>
      </c>
    </row>
    <row r="94" spans="1:5" x14ac:dyDescent="0.2">
      <c r="A94" s="5">
        <v>44719.327432048609</v>
      </c>
      <c r="B94" s="1" t="s">
        <v>60</v>
      </c>
      <c r="C94">
        <v>2022</v>
      </c>
      <c r="D94" s="1" t="s">
        <v>110</v>
      </c>
      <c r="E94" s="6" t="s">
        <v>135</v>
      </c>
    </row>
    <row r="95" spans="1:5" x14ac:dyDescent="0.2">
      <c r="A95" s="5">
        <v>44719.352917557873</v>
      </c>
      <c r="B95" s="1" t="s">
        <v>27</v>
      </c>
      <c r="C95">
        <v>2022</v>
      </c>
      <c r="D95" s="1" t="s">
        <v>110</v>
      </c>
      <c r="E95" s="6" t="s">
        <v>136</v>
      </c>
    </row>
    <row r="96" spans="1:5" x14ac:dyDescent="0.2">
      <c r="A96" s="5">
        <v>44720.344453171296</v>
      </c>
      <c r="B96" s="1" t="s">
        <v>24</v>
      </c>
      <c r="C96">
        <v>2022</v>
      </c>
      <c r="D96" s="1" t="s">
        <v>110</v>
      </c>
      <c r="E96" s="6" t="s">
        <v>137</v>
      </c>
    </row>
    <row r="97" spans="1:5" x14ac:dyDescent="0.2">
      <c r="A97" s="5">
        <v>44720.567159039347</v>
      </c>
      <c r="B97" s="1" t="s">
        <v>58</v>
      </c>
      <c r="C97">
        <v>2022</v>
      </c>
      <c r="D97" s="1" t="s">
        <v>110</v>
      </c>
      <c r="E97" s="6" t="s">
        <v>138</v>
      </c>
    </row>
    <row r="98" spans="1:5" x14ac:dyDescent="0.2">
      <c r="A98" s="5">
        <v>44742.550360023146</v>
      </c>
      <c r="B98" s="1" t="s">
        <v>11</v>
      </c>
      <c r="C98">
        <v>2022</v>
      </c>
      <c r="D98" s="1" t="s">
        <v>139</v>
      </c>
      <c r="E98" s="6" t="s">
        <v>140</v>
      </c>
    </row>
    <row r="99" spans="1:5" x14ac:dyDescent="0.2">
      <c r="A99" s="5">
        <v>44742.568866956019</v>
      </c>
      <c r="B99" s="1" t="s">
        <v>56</v>
      </c>
      <c r="C99">
        <v>2022</v>
      </c>
      <c r="D99" s="1" t="s">
        <v>139</v>
      </c>
      <c r="E99" s="6" t="s">
        <v>141</v>
      </c>
    </row>
    <row r="100" spans="1:5" x14ac:dyDescent="0.2">
      <c r="A100" s="5">
        <v>44742.591628657407</v>
      </c>
      <c r="B100" s="1" t="s">
        <v>35</v>
      </c>
      <c r="C100">
        <v>2022</v>
      </c>
      <c r="D100" s="1" t="s">
        <v>139</v>
      </c>
      <c r="E100" s="6" t="s">
        <v>142</v>
      </c>
    </row>
    <row r="101" spans="1:5" x14ac:dyDescent="0.2">
      <c r="A101" s="5">
        <v>44742.617252060183</v>
      </c>
      <c r="B101" s="1" t="s">
        <v>13</v>
      </c>
      <c r="C101">
        <v>2022</v>
      </c>
      <c r="D101" s="1" t="s">
        <v>139</v>
      </c>
      <c r="E101" s="6" t="s">
        <v>143</v>
      </c>
    </row>
    <row r="102" spans="1:5" x14ac:dyDescent="0.2">
      <c r="A102" s="5">
        <v>44742.628645763893</v>
      </c>
      <c r="B102" s="1" t="s">
        <v>62</v>
      </c>
      <c r="C102">
        <v>2022</v>
      </c>
      <c r="D102" s="1" t="s">
        <v>139</v>
      </c>
      <c r="E102" s="6" t="s">
        <v>144</v>
      </c>
    </row>
    <row r="103" spans="1:5" x14ac:dyDescent="0.2">
      <c r="A103" s="5">
        <v>44742.633977962963</v>
      </c>
      <c r="B103" s="1" t="s">
        <v>45</v>
      </c>
      <c r="C103">
        <v>2022</v>
      </c>
      <c r="D103" s="1" t="s">
        <v>139</v>
      </c>
      <c r="E103" s="6" t="s">
        <v>145</v>
      </c>
    </row>
    <row r="104" spans="1:5" x14ac:dyDescent="0.2">
      <c r="A104" s="5">
        <v>44743.614692951392</v>
      </c>
      <c r="B104" s="1" t="s">
        <v>112</v>
      </c>
      <c r="C104">
        <v>2022</v>
      </c>
      <c r="D104" s="1" t="s">
        <v>139</v>
      </c>
      <c r="E104" s="6" t="s">
        <v>146</v>
      </c>
    </row>
    <row r="105" spans="1:5" x14ac:dyDescent="0.2">
      <c r="A105" s="5">
        <v>44743.665224201388</v>
      </c>
      <c r="B105" s="1" t="s">
        <v>24</v>
      </c>
      <c r="C105">
        <v>2022</v>
      </c>
      <c r="D105" s="1" t="s">
        <v>139</v>
      </c>
      <c r="E105" s="6" t="s">
        <v>147</v>
      </c>
    </row>
    <row r="106" spans="1:5" x14ac:dyDescent="0.2">
      <c r="A106" s="5">
        <v>44746.414781192128</v>
      </c>
      <c r="B106" s="1" t="s">
        <v>76</v>
      </c>
      <c r="C106">
        <v>2022</v>
      </c>
      <c r="D106" s="1" t="s">
        <v>139</v>
      </c>
      <c r="E106" s="6" t="s">
        <v>148</v>
      </c>
    </row>
    <row r="107" spans="1:5" x14ac:dyDescent="0.2">
      <c r="A107" s="5">
        <v>44746.422571053241</v>
      </c>
      <c r="B107" s="1" t="s">
        <v>70</v>
      </c>
      <c r="C107">
        <v>2022</v>
      </c>
      <c r="D107" s="1" t="s">
        <v>139</v>
      </c>
      <c r="E107" s="6" t="s">
        <v>149</v>
      </c>
    </row>
    <row r="108" spans="1:5" x14ac:dyDescent="0.2">
      <c r="A108" s="5">
        <v>44746.429761342588</v>
      </c>
      <c r="B108" s="1" t="s">
        <v>22</v>
      </c>
      <c r="C108">
        <v>2022</v>
      </c>
      <c r="D108" s="1" t="s">
        <v>139</v>
      </c>
      <c r="E108" s="6" t="s">
        <v>150</v>
      </c>
    </row>
    <row r="109" spans="1:5" x14ac:dyDescent="0.2">
      <c r="A109" s="5">
        <v>44746.438235092588</v>
      </c>
      <c r="B109" s="1" t="s">
        <v>47</v>
      </c>
      <c r="C109">
        <v>2022</v>
      </c>
      <c r="D109" s="1" t="s">
        <v>139</v>
      </c>
      <c r="E109" s="6" t="s">
        <v>151</v>
      </c>
    </row>
    <row r="110" spans="1:5" x14ac:dyDescent="0.2">
      <c r="A110" s="5">
        <v>44746.467280636571</v>
      </c>
      <c r="B110" s="1" t="s">
        <v>68</v>
      </c>
      <c r="C110">
        <v>2022</v>
      </c>
      <c r="D110" s="1" t="s">
        <v>139</v>
      </c>
      <c r="E110" s="6" t="s">
        <v>152</v>
      </c>
    </row>
    <row r="111" spans="1:5" x14ac:dyDescent="0.2">
      <c r="A111" s="5">
        <v>44746.47559509259</v>
      </c>
      <c r="B111" s="1" t="s">
        <v>41</v>
      </c>
      <c r="C111">
        <v>2022</v>
      </c>
      <c r="D111" s="1" t="s">
        <v>139</v>
      </c>
      <c r="E111" s="6" t="s">
        <v>153</v>
      </c>
    </row>
    <row r="112" spans="1:5" x14ac:dyDescent="0.2">
      <c r="A112" s="5">
        <v>44746.540949710645</v>
      </c>
      <c r="B112" s="1" t="s">
        <v>31</v>
      </c>
      <c r="C112">
        <v>2022</v>
      </c>
      <c r="D112" s="1" t="s">
        <v>139</v>
      </c>
      <c r="E112" s="6" t="s">
        <v>154</v>
      </c>
    </row>
    <row r="113" spans="1:5" x14ac:dyDescent="0.2">
      <c r="A113" s="5">
        <v>44746.568039606485</v>
      </c>
      <c r="B113" s="1" t="s">
        <v>27</v>
      </c>
      <c r="C113">
        <v>2022</v>
      </c>
      <c r="D113" s="1" t="s">
        <v>139</v>
      </c>
      <c r="E113" s="6" t="s">
        <v>155</v>
      </c>
    </row>
    <row r="114" spans="1:5" x14ac:dyDescent="0.2">
      <c r="A114" s="5">
        <v>44746.647542199076</v>
      </c>
      <c r="B114" s="1" t="s">
        <v>64</v>
      </c>
      <c r="C114">
        <v>2022</v>
      </c>
      <c r="D114" s="1" t="s">
        <v>139</v>
      </c>
      <c r="E114" s="6" t="s">
        <v>156</v>
      </c>
    </row>
    <row r="115" spans="1:5" x14ac:dyDescent="0.2">
      <c r="A115" s="5">
        <v>44746.65287878472</v>
      </c>
      <c r="B115" s="1" t="s">
        <v>20</v>
      </c>
      <c r="C115">
        <v>2022</v>
      </c>
      <c r="D115" s="1" t="s">
        <v>139</v>
      </c>
      <c r="E115" s="6" t="s">
        <v>157</v>
      </c>
    </row>
    <row r="116" spans="1:5" x14ac:dyDescent="0.2">
      <c r="A116" s="5">
        <v>44747.311581030095</v>
      </c>
      <c r="B116" s="1" t="s">
        <v>8</v>
      </c>
      <c r="C116">
        <v>2022</v>
      </c>
      <c r="D116" s="1" t="s">
        <v>139</v>
      </c>
      <c r="E116" s="6" t="s">
        <v>158</v>
      </c>
    </row>
    <row r="117" spans="1:5" x14ac:dyDescent="0.2">
      <c r="A117" s="5">
        <v>44747.338406782408</v>
      </c>
      <c r="B117" s="1" t="s">
        <v>18</v>
      </c>
      <c r="C117">
        <v>2022</v>
      </c>
      <c r="D117" s="1" t="s">
        <v>139</v>
      </c>
      <c r="E117" s="6" t="s">
        <v>159</v>
      </c>
    </row>
    <row r="118" spans="1:5" x14ac:dyDescent="0.2">
      <c r="A118" s="5">
        <v>44747.394869247684</v>
      </c>
      <c r="B118" s="1" t="s">
        <v>58</v>
      </c>
      <c r="C118">
        <v>2022</v>
      </c>
      <c r="D118" s="1" t="s">
        <v>139</v>
      </c>
      <c r="E118" s="6" t="s">
        <v>160</v>
      </c>
    </row>
    <row r="119" spans="1:5" x14ac:dyDescent="0.2">
      <c r="A119" s="5">
        <v>44747.399045902777</v>
      </c>
      <c r="B119" s="1" t="s">
        <v>49</v>
      </c>
      <c r="C119">
        <v>2022</v>
      </c>
      <c r="D119" s="1" t="s">
        <v>139</v>
      </c>
      <c r="E119" s="6" t="s">
        <v>161</v>
      </c>
    </row>
    <row r="120" spans="1:5" x14ac:dyDescent="0.2">
      <c r="A120" s="5">
        <v>44747.478478078701</v>
      </c>
      <c r="B120" s="1" t="s">
        <v>39</v>
      </c>
      <c r="C120">
        <v>2022</v>
      </c>
      <c r="D120" s="1" t="s">
        <v>139</v>
      </c>
      <c r="E120" s="6" t="s">
        <v>162</v>
      </c>
    </row>
    <row r="121" spans="1:5" x14ac:dyDescent="0.2">
      <c r="A121" s="5">
        <v>44749.3732412963</v>
      </c>
      <c r="B121" s="1" t="s">
        <v>53</v>
      </c>
      <c r="C121">
        <v>2022</v>
      </c>
      <c r="D121" s="1" t="s">
        <v>139</v>
      </c>
      <c r="E121" s="6" t="s">
        <v>163</v>
      </c>
    </row>
    <row r="122" spans="1:5" x14ac:dyDescent="0.2">
      <c r="A122" s="5">
        <v>44749.582683483794</v>
      </c>
      <c r="B122" s="1" t="s">
        <v>43</v>
      </c>
      <c r="C122">
        <v>2022</v>
      </c>
      <c r="D122" s="1" t="s">
        <v>139</v>
      </c>
      <c r="E122" s="6" t="s">
        <v>164</v>
      </c>
    </row>
    <row r="123" spans="1:5" x14ac:dyDescent="0.2">
      <c r="A123" s="5">
        <v>44750.34689100695</v>
      </c>
      <c r="B123" s="1" t="s">
        <v>60</v>
      </c>
      <c r="C123">
        <v>2022</v>
      </c>
      <c r="D123" s="1" t="s">
        <v>139</v>
      </c>
      <c r="E123" s="6" t="s">
        <v>165</v>
      </c>
    </row>
    <row r="124" spans="1:5" x14ac:dyDescent="0.2">
      <c r="A124" s="5">
        <v>44774.377844259259</v>
      </c>
      <c r="B124" s="1" t="s">
        <v>24</v>
      </c>
      <c r="C124">
        <v>2022</v>
      </c>
      <c r="D124" s="1" t="s">
        <v>166</v>
      </c>
      <c r="E124" s="6" t="s">
        <v>167</v>
      </c>
    </row>
    <row r="125" spans="1:5" x14ac:dyDescent="0.2">
      <c r="A125" s="5">
        <v>44774.400617199077</v>
      </c>
      <c r="B125" s="1" t="s">
        <v>112</v>
      </c>
      <c r="C125">
        <v>2022</v>
      </c>
      <c r="D125" s="1" t="s">
        <v>166</v>
      </c>
      <c r="E125" s="6" t="s">
        <v>168</v>
      </c>
    </row>
    <row r="126" spans="1:5" x14ac:dyDescent="0.2">
      <c r="A126" s="5">
        <v>44774.402887569449</v>
      </c>
      <c r="B126" s="1" t="s">
        <v>35</v>
      </c>
      <c r="C126">
        <v>2022</v>
      </c>
      <c r="D126" s="1" t="s">
        <v>166</v>
      </c>
      <c r="E126" s="6" t="s">
        <v>169</v>
      </c>
    </row>
    <row r="127" spans="1:5" x14ac:dyDescent="0.2">
      <c r="A127" s="5">
        <v>44774.423077916668</v>
      </c>
      <c r="B127" s="1" t="s">
        <v>56</v>
      </c>
      <c r="C127">
        <v>2022</v>
      </c>
      <c r="D127" s="1" t="s">
        <v>166</v>
      </c>
      <c r="E127" s="6" t="s">
        <v>170</v>
      </c>
    </row>
    <row r="128" spans="1:5" x14ac:dyDescent="0.2">
      <c r="A128" s="5">
        <v>44774.430707997686</v>
      </c>
      <c r="B128" s="1" t="s">
        <v>11</v>
      </c>
      <c r="C128">
        <v>2022</v>
      </c>
      <c r="D128" s="1" t="s">
        <v>166</v>
      </c>
      <c r="E128" s="6" t="s">
        <v>171</v>
      </c>
    </row>
    <row r="129" spans="1:5" x14ac:dyDescent="0.2">
      <c r="A129" s="5">
        <v>44774.432578472217</v>
      </c>
      <c r="B129" s="1" t="s">
        <v>45</v>
      </c>
      <c r="C129">
        <v>2022</v>
      </c>
      <c r="D129" s="1" t="s">
        <v>166</v>
      </c>
      <c r="E129" s="6" t="s">
        <v>172</v>
      </c>
    </row>
    <row r="130" spans="1:5" x14ac:dyDescent="0.2">
      <c r="A130" s="5">
        <v>44774.444730821764</v>
      </c>
      <c r="B130" s="1" t="s">
        <v>8</v>
      </c>
      <c r="C130">
        <v>2022</v>
      </c>
      <c r="D130" s="1" t="s">
        <v>166</v>
      </c>
      <c r="E130" s="6" t="s">
        <v>173</v>
      </c>
    </row>
    <row r="131" spans="1:5" x14ac:dyDescent="0.2">
      <c r="A131" s="5">
        <v>44774.445086643522</v>
      </c>
      <c r="B131" s="1" t="s">
        <v>68</v>
      </c>
      <c r="C131">
        <v>2022</v>
      </c>
      <c r="D131" s="1" t="s">
        <v>166</v>
      </c>
      <c r="E131" s="6" t="s">
        <v>174</v>
      </c>
    </row>
    <row r="132" spans="1:5" x14ac:dyDescent="0.2">
      <c r="A132" s="5">
        <v>44774.492327337968</v>
      </c>
      <c r="B132" s="1" t="s">
        <v>43</v>
      </c>
      <c r="C132">
        <v>2022</v>
      </c>
      <c r="D132" s="1" t="s">
        <v>166</v>
      </c>
      <c r="E132" s="6" t="s">
        <v>175</v>
      </c>
    </row>
    <row r="133" spans="1:5" x14ac:dyDescent="0.2">
      <c r="A133" s="5">
        <v>44774.511530636577</v>
      </c>
      <c r="B133" s="1" t="s">
        <v>53</v>
      </c>
      <c r="C133">
        <v>2022</v>
      </c>
      <c r="D133" s="1" t="s">
        <v>166</v>
      </c>
      <c r="E133" s="6" t="s">
        <v>176</v>
      </c>
    </row>
    <row r="134" spans="1:5" x14ac:dyDescent="0.2">
      <c r="A134" s="5">
        <v>44774.575943692129</v>
      </c>
      <c r="B134" s="1" t="s">
        <v>29</v>
      </c>
      <c r="C134">
        <v>2022</v>
      </c>
      <c r="D134" s="1" t="s">
        <v>166</v>
      </c>
      <c r="E134" s="6" t="s">
        <v>177</v>
      </c>
    </row>
    <row r="135" spans="1:5" x14ac:dyDescent="0.2">
      <c r="A135" s="5">
        <v>44774.576672141207</v>
      </c>
      <c r="B135" s="1" t="s">
        <v>39</v>
      </c>
      <c r="C135">
        <v>2022</v>
      </c>
      <c r="D135" s="1" t="s">
        <v>166</v>
      </c>
      <c r="E135" s="6" t="s">
        <v>178</v>
      </c>
    </row>
    <row r="136" spans="1:5" x14ac:dyDescent="0.2">
      <c r="A136" s="5">
        <v>44774.598889722227</v>
      </c>
      <c r="B136" s="1" t="s">
        <v>13</v>
      </c>
      <c r="C136">
        <v>2022</v>
      </c>
      <c r="D136" s="1" t="s">
        <v>166</v>
      </c>
      <c r="E136" s="6" t="s">
        <v>179</v>
      </c>
    </row>
    <row r="137" spans="1:5" x14ac:dyDescent="0.2">
      <c r="A137" s="5">
        <v>44774.628904027777</v>
      </c>
      <c r="B137" s="1" t="s">
        <v>62</v>
      </c>
      <c r="C137">
        <v>2022</v>
      </c>
      <c r="D137" s="1" t="s">
        <v>166</v>
      </c>
      <c r="E137" s="6" t="s">
        <v>180</v>
      </c>
    </row>
    <row r="138" spans="1:5" x14ac:dyDescent="0.2">
      <c r="A138" s="5">
        <v>44774.651031770831</v>
      </c>
      <c r="B138" s="1" t="s">
        <v>70</v>
      </c>
      <c r="C138">
        <v>2022</v>
      </c>
      <c r="D138" s="1" t="s">
        <v>166</v>
      </c>
      <c r="E138" s="6" t="s">
        <v>181</v>
      </c>
    </row>
    <row r="139" spans="1:5" x14ac:dyDescent="0.2">
      <c r="A139" s="5">
        <v>44775.314975451387</v>
      </c>
      <c r="B139" s="1" t="s">
        <v>18</v>
      </c>
      <c r="C139">
        <v>2022</v>
      </c>
      <c r="D139" s="1" t="s">
        <v>166</v>
      </c>
      <c r="E139" s="6" t="s">
        <v>182</v>
      </c>
    </row>
    <row r="140" spans="1:5" x14ac:dyDescent="0.2">
      <c r="A140" s="5">
        <v>44775.327057766204</v>
      </c>
      <c r="B140" s="1" t="s">
        <v>31</v>
      </c>
      <c r="C140">
        <v>2022</v>
      </c>
      <c r="D140" s="1" t="s">
        <v>166</v>
      </c>
      <c r="E140" s="6" t="s">
        <v>183</v>
      </c>
    </row>
    <row r="141" spans="1:5" x14ac:dyDescent="0.2">
      <c r="A141" s="5">
        <v>44775.331996006949</v>
      </c>
      <c r="B141" s="1" t="s">
        <v>20</v>
      </c>
      <c r="C141">
        <v>2022</v>
      </c>
      <c r="D141" s="1" t="s">
        <v>166</v>
      </c>
      <c r="E141" s="6" t="s">
        <v>184</v>
      </c>
    </row>
    <row r="142" spans="1:5" x14ac:dyDescent="0.2">
      <c r="A142" s="5">
        <v>44775.345871064812</v>
      </c>
      <c r="B142" s="1" t="s">
        <v>76</v>
      </c>
      <c r="C142">
        <v>2022</v>
      </c>
      <c r="D142" s="1" t="s">
        <v>166</v>
      </c>
      <c r="E142" s="6" t="s">
        <v>185</v>
      </c>
    </row>
    <row r="143" spans="1:5" x14ac:dyDescent="0.2">
      <c r="A143" s="5">
        <v>44775.350029444446</v>
      </c>
      <c r="B143" s="1" t="s">
        <v>27</v>
      </c>
      <c r="C143">
        <v>2022</v>
      </c>
      <c r="D143" s="1" t="s">
        <v>166</v>
      </c>
      <c r="E143" s="6" t="s">
        <v>186</v>
      </c>
    </row>
    <row r="144" spans="1:5" x14ac:dyDescent="0.2">
      <c r="A144" s="5">
        <v>44775.354795520834</v>
      </c>
      <c r="B144" s="1" t="s">
        <v>41</v>
      </c>
      <c r="C144">
        <v>2022</v>
      </c>
      <c r="D144" s="1" t="s">
        <v>166</v>
      </c>
      <c r="E144" s="6" t="s">
        <v>187</v>
      </c>
    </row>
    <row r="145" spans="1:5" x14ac:dyDescent="0.2">
      <c r="A145" s="5">
        <v>44775.399803993059</v>
      </c>
      <c r="B145" s="1" t="s">
        <v>37</v>
      </c>
      <c r="C145">
        <v>2022</v>
      </c>
      <c r="D145" s="1" t="s">
        <v>166</v>
      </c>
      <c r="E145" s="6" t="s">
        <v>188</v>
      </c>
    </row>
    <row r="146" spans="1:5" x14ac:dyDescent="0.2">
      <c r="A146" s="5">
        <v>44775.399833067131</v>
      </c>
      <c r="B146" s="1" t="s">
        <v>66</v>
      </c>
      <c r="C146">
        <v>2022</v>
      </c>
      <c r="D146" s="1" t="s">
        <v>166</v>
      </c>
      <c r="E146" s="6" t="s">
        <v>189</v>
      </c>
    </row>
    <row r="147" spans="1:5" x14ac:dyDescent="0.2">
      <c r="A147" s="5">
        <v>44775.400200682867</v>
      </c>
      <c r="B147" s="1" t="s">
        <v>37</v>
      </c>
      <c r="C147">
        <v>2022</v>
      </c>
      <c r="D147" s="1" t="s">
        <v>139</v>
      </c>
      <c r="E147" s="6" t="s">
        <v>190</v>
      </c>
    </row>
    <row r="148" spans="1:5" x14ac:dyDescent="0.2">
      <c r="A148" s="5">
        <v>44775.400561828705</v>
      </c>
      <c r="B148" s="1" t="s">
        <v>37</v>
      </c>
      <c r="C148">
        <v>2022</v>
      </c>
      <c r="D148" s="1" t="s">
        <v>110</v>
      </c>
      <c r="E148" s="6" t="s">
        <v>191</v>
      </c>
    </row>
    <row r="149" spans="1:5" x14ac:dyDescent="0.2">
      <c r="A149" s="5">
        <v>44775.416346805556</v>
      </c>
      <c r="B149" s="1" t="s">
        <v>22</v>
      </c>
      <c r="C149">
        <v>2022</v>
      </c>
      <c r="D149" s="1" t="s">
        <v>166</v>
      </c>
      <c r="E149" s="6" t="s">
        <v>192</v>
      </c>
    </row>
    <row r="150" spans="1:5" x14ac:dyDescent="0.2">
      <c r="A150" s="5">
        <v>44775.473625625003</v>
      </c>
      <c r="B150" s="1" t="s">
        <v>47</v>
      </c>
      <c r="C150">
        <v>2022</v>
      </c>
      <c r="D150" s="1" t="s">
        <v>166</v>
      </c>
      <c r="E150" s="6" t="s">
        <v>193</v>
      </c>
    </row>
    <row r="151" spans="1:5" x14ac:dyDescent="0.2">
      <c r="A151" s="5">
        <v>44777.313490740737</v>
      </c>
      <c r="B151" s="1" t="s">
        <v>49</v>
      </c>
      <c r="C151">
        <v>2022</v>
      </c>
      <c r="D151" s="1" t="s">
        <v>166</v>
      </c>
      <c r="E151" s="6" t="s">
        <v>194</v>
      </c>
    </row>
    <row r="152" spans="1:5" x14ac:dyDescent="0.2">
      <c r="A152" s="5">
        <v>44779.383611527781</v>
      </c>
      <c r="B152" s="1" t="s">
        <v>60</v>
      </c>
      <c r="C152">
        <v>2022</v>
      </c>
      <c r="D152" s="1" t="s">
        <v>166</v>
      </c>
      <c r="E152" s="6" t="s">
        <v>195</v>
      </c>
    </row>
    <row r="153" spans="1:5" x14ac:dyDescent="0.2">
      <c r="A153" s="5">
        <v>44804.44925730324</v>
      </c>
      <c r="B153" s="1" t="s">
        <v>112</v>
      </c>
      <c r="C153">
        <v>2022</v>
      </c>
      <c r="D153" s="1" t="s">
        <v>196</v>
      </c>
      <c r="E153" s="6" t="s">
        <v>197</v>
      </c>
    </row>
    <row r="154" spans="1:5" x14ac:dyDescent="0.2">
      <c r="A154" s="5">
        <v>44806.422390706022</v>
      </c>
      <c r="B154" s="1" t="s">
        <v>76</v>
      </c>
      <c r="C154">
        <v>2022</v>
      </c>
      <c r="D154" s="1" t="s">
        <v>196</v>
      </c>
      <c r="E154" s="6" t="s">
        <v>198</v>
      </c>
    </row>
    <row r="155" spans="1:5" x14ac:dyDescent="0.2">
      <c r="A155" s="5">
        <v>44806.428577500003</v>
      </c>
      <c r="B155" s="1" t="s">
        <v>11</v>
      </c>
      <c r="C155">
        <v>2022</v>
      </c>
      <c r="D155" s="1" t="s">
        <v>196</v>
      </c>
      <c r="E155" s="6" t="s">
        <v>199</v>
      </c>
    </row>
    <row r="156" spans="1:5" x14ac:dyDescent="0.2">
      <c r="A156" s="5">
        <v>44806.440578576388</v>
      </c>
      <c r="B156" s="1" t="s">
        <v>43</v>
      </c>
      <c r="C156">
        <v>2022</v>
      </c>
      <c r="D156" s="1" t="s">
        <v>196</v>
      </c>
      <c r="E156" s="6" t="s">
        <v>200</v>
      </c>
    </row>
    <row r="157" spans="1:5" x14ac:dyDescent="0.2">
      <c r="A157" s="5">
        <v>44806.442929907411</v>
      </c>
      <c r="B157" s="1" t="s">
        <v>56</v>
      </c>
      <c r="C157">
        <v>2022</v>
      </c>
      <c r="D157" s="1" t="s">
        <v>196</v>
      </c>
      <c r="E157" s="6" t="s">
        <v>201</v>
      </c>
    </row>
    <row r="158" spans="1:5" x14ac:dyDescent="0.2">
      <c r="A158" s="5">
        <v>44809.33829782407</v>
      </c>
      <c r="B158" s="1" t="s">
        <v>22</v>
      </c>
      <c r="C158">
        <v>2022</v>
      </c>
      <c r="D158" s="1" t="s">
        <v>196</v>
      </c>
      <c r="E158" s="6" t="s">
        <v>202</v>
      </c>
    </row>
    <row r="159" spans="1:5" x14ac:dyDescent="0.2">
      <c r="A159" s="5">
        <v>44809.345562719907</v>
      </c>
      <c r="B159" s="1" t="s">
        <v>45</v>
      </c>
      <c r="C159">
        <v>2022</v>
      </c>
      <c r="D159" s="1" t="s">
        <v>196</v>
      </c>
      <c r="E159" s="6" t="s">
        <v>203</v>
      </c>
    </row>
    <row r="160" spans="1:5" x14ac:dyDescent="0.2">
      <c r="A160" s="5">
        <v>44809.349558784721</v>
      </c>
      <c r="B160" s="1" t="s">
        <v>24</v>
      </c>
      <c r="C160">
        <v>2022</v>
      </c>
      <c r="D160" s="1" t="s">
        <v>196</v>
      </c>
      <c r="E160" s="6" t="s">
        <v>204</v>
      </c>
    </row>
    <row r="161" spans="1:5" x14ac:dyDescent="0.2">
      <c r="A161" s="5">
        <v>44809.368666504626</v>
      </c>
      <c r="B161" s="1" t="s">
        <v>13</v>
      </c>
      <c r="C161">
        <v>2022</v>
      </c>
      <c r="D161" s="1" t="s">
        <v>196</v>
      </c>
      <c r="E161" s="6" t="s">
        <v>205</v>
      </c>
    </row>
    <row r="162" spans="1:5" x14ac:dyDescent="0.2">
      <c r="A162" s="5">
        <v>44809.374612951389</v>
      </c>
      <c r="B162" s="1" t="s">
        <v>8</v>
      </c>
      <c r="C162">
        <v>2022</v>
      </c>
      <c r="D162" s="1" t="s">
        <v>196</v>
      </c>
      <c r="E162" s="6" t="s">
        <v>206</v>
      </c>
    </row>
    <row r="163" spans="1:5" x14ac:dyDescent="0.2">
      <c r="A163" s="5">
        <v>44809.400591759259</v>
      </c>
      <c r="B163" s="1" t="s">
        <v>22</v>
      </c>
      <c r="C163">
        <v>2022</v>
      </c>
      <c r="D163" s="1" t="s">
        <v>196</v>
      </c>
      <c r="E163" s="6" t="s">
        <v>207</v>
      </c>
    </row>
    <row r="164" spans="1:5" x14ac:dyDescent="0.2">
      <c r="A164" s="5">
        <v>44809.402695266202</v>
      </c>
      <c r="B164" s="1" t="s">
        <v>64</v>
      </c>
      <c r="C164">
        <v>2022</v>
      </c>
      <c r="D164" s="1" t="s">
        <v>196</v>
      </c>
      <c r="E164" s="6" t="s">
        <v>208</v>
      </c>
    </row>
    <row r="165" spans="1:5" x14ac:dyDescent="0.2">
      <c r="A165" s="5">
        <v>44809.402824583332</v>
      </c>
      <c r="B165" s="1" t="s">
        <v>70</v>
      </c>
      <c r="C165">
        <v>2022</v>
      </c>
      <c r="D165" s="1" t="s">
        <v>196</v>
      </c>
      <c r="E165" s="6" t="s">
        <v>209</v>
      </c>
    </row>
    <row r="166" spans="1:5" x14ac:dyDescent="0.2">
      <c r="A166" s="5">
        <v>44809.404278888891</v>
      </c>
      <c r="B166" s="1" t="s">
        <v>27</v>
      </c>
      <c r="C166">
        <v>2022</v>
      </c>
      <c r="D166" s="1" t="s">
        <v>196</v>
      </c>
      <c r="E166" s="6" t="s">
        <v>210</v>
      </c>
    </row>
    <row r="167" spans="1:5" x14ac:dyDescent="0.2">
      <c r="A167" s="5">
        <v>44809.407327905094</v>
      </c>
      <c r="B167" s="1" t="s">
        <v>58</v>
      </c>
      <c r="C167">
        <v>2022</v>
      </c>
      <c r="D167" s="1" t="s">
        <v>196</v>
      </c>
      <c r="E167" s="6" t="s">
        <v>211</v>
      </c>
    </row>
    <row r="168" spans="1:5" x14ac:dyDescent="0.2">
      <c r="A168" s="5">
        <v>44809.407707962964</v>
      </c>
      <c r="B168" s="1" t="s">
        <v>58</v>
      </c>
      <c r="C168">
        <v>2022</v>
      </c>
      <c r="D168" s="1" t="s">
        <v>166</v>
      </c>
      <c r="E168" s="6" t="s">
        <v>212</v>
      </c>
    </row>
    <row r="169" spans="1:5" x14ac:dyDescent="0.2">
      <c r="A169" s="5">
        <v>44809.408998738421</v>
      </c>
      <c r="B169" s="1" t="s">
        <v>35</v>
      </c>
      <c r="C169">
        <v>2022</v>
      </c>
      <c r="D169" s="1" t="s">
        <v>196</v>
      </c>
      <c r="E169" s="6" t="s">
        <v>213</v>
      </c>
    </row>
    <row r="170" spans="1:5" x14ac:dyDescent="0.2">
      <c r="A170" s="5">
        <v>44809.413361284722</v>
      </c>
      <c r="B170" s="1" t="s">
        <v>49</v>
      </c>
      <c r="C170">
        <v>2022</v>
      </c>
      <c r="D170" s="1" t="s">
        <v>196</v>
      </c>
      <c r="E170" s="6" t="s">
        <v>214</v>
      </c>
    </row>
    <row r="171" spans="1:5" x14ac:dyDescent="0.2">
      <c r="A171" s="5">
        <v>44809.415384930559</v>
      </c>
      <c r="B171" s="1" t="s">
        <v>66</v>
      </c>
      <c r="C171">
        <v>2022</v>
      </c>
      <c r="D171" s="1" t="s">
        <v>196</v>
      </c>
      <c r="E171" s="6" t="s">
        <v>215</v>
      </c>
    </row>
    <row r="172" spans="1:5" x14ac:dyDescent="0.2">
      <c r="A172" s="5">
        <v>44809.418610324079</v>
      </c>
      <c r="B172" s="1" t="s">
        <v>53</v>
      </c>
      <c r="C172">
        <v>2022</v>
      </c>
      <c r="D172" s="1" t="s">
        <v>196</v>
      </c>
      <c r="E172" s="6" t="s">
        <v>216</v>
      </c>
    </row>
    <row r="173" spans="1:5" x14ac:dyDescent="0.2">
      <c r="A173" s="5">
        <v>44809.429275717594</v>
      </c>
      <c r="B173" s="1" t="s">
        <v>13</v>
      </c>
      <c r="C173">
        <v>2022</v>
      </c>
      <c r="D173" s="1" t="s">
        <v>196</v>
      </c>
      <c r="E173" s="6" t="s">
        <v>217</v>
      </c>
    </row>
    <row r="174" spans="1:5" x14ac:dyDescent="0.2">
      <c r="A174" s="5">
        <v>44809.430408831016</v>
      </c>
      <c r="B174" s="1" t="s">
        <v>68</v>
      </c>
      <c r="C174">
        <v>2022</v>
      </c>
      <c r="D174" s="1" t="s">
        <v>196</v>
      </c>
      <c r="E174" s="6" t="s">
        <v>218</v>
      </c>
    </row>
    <row r="175" spans="1:5" x14ac:dyDescent="0.2">
      <c r="A175" s="5">
        <v>44809.432754004629</v>
      </c>
      <c r="B175" s="1" t="s">
        <v>62</v>
      </c>
      <c r="C175">
        <v>2022</v>
      </c>
      <c r="D175" s="1" t="s">
        <v>196</v>
      </c>
      <c r="E175" s="6" t="s">
        <v>219</v>
      </c>
    </row>
    <row r="176" spans="1:5" x14ac:dyDescent="0.2">
      <c r="A176" s="5">
        <v>44809.533344710653</v>
      </c>
      <c r="B176" s="1" t="s">
        <v>29</v>
      </c>
      <c r="C176">
        <v>2022</v>
      </c>
      <c r="D176" s="1" t="s">
        <v>196</v>
      </c>
      <c r="E176" s="6" t="s">
        <v>220</v>
      </c>
    </row>
    <row r="177" spans="1:5" x14ac:dyDescent="0.2">
      <c r="A177" s="5">
        <v>44809.533664085648</v>
      </c>
      <c r="B177" s="1" t="s">
        <v>39</v>
      </c>
      <c r="C177">
        <v>2022</v>
      </c>
      <c r="D177" s="1" t="s">
        <v>196</v>
      </c>
      <c r="E177" s="6" t="s">
        <v>221</v>
      </c>
    </row>
    <row r="178" spans="1:5" x14ac:dyDescent="0.2">
      <c r="A178" s="5">
        <v>44809.647675347223</v>
      </c>
      <c r="B178" s="1" t="s">
        <v>18</v>
      </c>
      <c r="C178">
        <v>2022</v>
      </c>
      <c r="D178" s="1" t="s">
        <v>196</v>
      </c>
      <c r="E178" s="6" t="s">
        <v>222</v>
      </c>
    </row>
    <row r="179" spans="1:5" x14ac:dyDescent="0.2">
      <c r="A179" s="5">
        <v>44810.378966481483</v>
      </c>
      <c r="B179" s="1" t="s">
        <v>31</v>
      </c>
      <c r="C179">
        <v>2022</v>
      </c>
      <c r="D179" s="1" t="s">
        <v>196</v>
      </c>
      <c r="E179" s="6" t="s">
        <v>223</v>
      </c>
    </row>
    <row r="180" spans="1:5" x14ac:dyDescent="0.2">
      <c r="A180" s="5">
        <v>44810.461374537037</v>
      </c>
      <c r="B180" s="1" t="s">
        <v>41</v>
      </c>
      <c r="C180">
        <v>2022</v>
      </c>
      <c r="D180" s="1" t="s">
        <v>196</v>
      </c>
      <c r="E180" s="6" t="s">
        <v>224</v>
      </c>
    </row>
    <row r="181" spans="1:5" x14ac:dyDescent="0.2">
      <c r="A181" s="5">
        <v>44810.495026631943</v>
      </c>
      <c r="B181" s="1" t="s">
        <v>60</v>
      </c>
      <c r="C181">
        <v>2022</v>
      </c>
      <c r="D181" s="1" t="s">
        <v>196</v>
      </c>
      <c r="E181" s="6" t="s">
        <v>225</v>
      </c>
    </row>
    <row r="182" spans="1:5" x14ac:dyDescent="0.2">
      <c r="A182" s="5">
        <v>44810.710391192129</v>
      </c>
      <c r="B182" s="1" t="s">
        <v>47</v>
      </c>
      <c r="C182">
        <v>2022</v>
      </c>
      <c r="D182" s="1" t="s">
        <v>196</v>
      </c>
      <c r="E182" s="6" t="s">
        <v>226</v>
      </c>
    </row>
    <row r="183" spans="1:5" x14ac:dyDescent="0.2">
      <c r="A183" s="5">
        <v>44811.384285462962</v>
      </c>
      <c r="B183" s="1" t="s">
        <v>20</v>
      </c>
      <c r="C183">
        <v>2022</v>
      </c>
      <c r="D183" s="1" t="s">
        <v>196</v>
      </c>
      <c r="E183" s="6" t="s">
        <v>227</v>
      </c>
    </row>
    <row r="184" spans="1:5" x14ac:dyDescent="0.2">
      <c r="A184" s="5">
        <v>44834.662714606486</v>
      </c>
      <c r="B184" s="1" t="s">
        <v>11</v>
      </c>
      <c r="C184">
        <v>2022</v>
      </c>
      <c r="D184" s="1" t="s">
        <v>228</v>
      </c>
      <c r="E184" s="6" t="s">
        <v>229</v>
      </c>
    </row>
    <row r="185" spans="1:5" x14ac:dyDescent="0.2">
      <c r="A185" s="5">
        <v>44837.460450011575</v>
      </c>
      <c r="B185" s="1" t="s">
        <v>45</v>
      </c>
      <c r="C185">
        <v>2022</v>
      </c>
      <c r="D185" s="1" t="s">
        <v>228</v>
      </c>
      <c r="E185" s="6" t="s">
        <v>230</v>
      </c>
    </row>
    <row r="186" spans="1:5" x14ac:dyDescent="0.2">
      <c r="A186" s="5">
        <v>44837.493515173614</v>
      </c>
      <c r="B186" s="1" t="s">
        <v>27</v>
      </c>
      <c r="C186">
        <v>2022</v>
      </c>
      <c r="D186" s="1" t="s">
        <v>228</v>
      </c>
      <c r="E186" s="6" t="s">
        <v>231</v>
      </c>
    </row>
    <row r="187" spans="1:5" x14ac:dyDescent="0.2">
      <c r="A187" s="5">
        <v>44837.519812268518</v>
      </c>
      <c r="B187" s="1" t="s">
        <v>112</v>
      </c>
      <c r="C187">
        <v>2022</v>
      </c>
      <c r="D187" s="1" t="s">
        <v>228</v>
      </c>
      <c r="E187" s="6" t="s">
        <v>232</v>
      </c>
    </row>
    <row r="188" spans="1:5" x14ac:dyDescent="0.2">
      <c r="A188" s="5">
        <v>44837.572530891208</v>
      </c>
      <c r="B188" s="1" t="s">
        <v>66</v>
      </c>
      <c r="C188">
        <v>2022</v>
      </c>
      <c r="D188" s="1" t="s">
        <v>228</v>
      </c>
      <c r="E188" s="6" t="s">
        <v>233</v>
      </c>
    </row>
    <row r="189" spans="1:5" x14ac:dyDescent="0.2">
      <c r="A189" s="5">
        <v>44837.582397847218</v>
      </c>
      <c r="B189" s="1" t="s">
        <v>56</v>
      </c>
      <c r="C189">
        <v>2022</v>
      </c>
      <c r="D189" s="1" t="s">
        <v>228</v>
      </c>
      <c r="E189" s="6" t="s">
        <v>234</v>
      </c>
    </row>
    <row r="190" spans="1:5" x14ac:dyDescent="0.2">
      <c r="A190" s="5">
        <v>44837.648816423607</v>
      </c>
      <c r="B190" s="1" t="s">
        <v>43</v>
      </c>
      <c r="C190">
        <v>2022</v>
      </c>
      <c r="D190" s="1" t="s">
        <v>228</v>
      </c>
      <c r="E190" s="6" t="s">
        <v>235</v>
      </c>
    </row>
    <row r="191" spans="1:5" x14ac:dyDescent="0.2">
      <c r="A191" s="5">
        <v>44837.841445451384</v>
      </c>
      <c r="B191" s="1" t="s">
        <v>35</v>
      </c>
      <c r="C191">
        <v>2022</v>
      </c>
      <c r="D191" s="1" t="s">
        <v>228</v>
      </c>
      <c r="E191" s="6" t="s">
        <v>236</v>
      </c>
    </row>
    <row r="192" spans="1:5" x14ac:dyDescent="0.2">
      <c r="A192" s="5">
        <v>44838.150545115743</v>
      </c>
      <c r="B192" s="1" t="s">
        <v>70</v>
      </c>
      <c r="C192">
        <v>2022</v>
      </c>
      <c r="D192" s="1" t="s">
        <v>228</v>
      </c>
      <c r="E192" s="6" t="s">
        <v>237</v>
      </c>
    </row>
    <row r="193" spans="1:5" x14ac:dyDescent="0.2">
      <c r="A193" s="5">
        <v>44838.376975868057</v>
      </c>
      <c r="B193" s="1" t="s">
        <v>22</v>
      </c>
      <c r="C193">
        <v>2022</v>
      </c>
      <c r="D193" s="1" t="s">
        <v>228</v>
      </c>
      <c r="E193" s="6" t="s">
        <v>238</v>
      </c>
    </row>
    <row r="194" spans="1:5" x14ac:dyDescent="0.2">
      <c r="A194" s="5">
        <v>44838.411260034722</v>
      </c>
      <c r="B194" s="1" t="s">
        <v>13</v>
      </c>
      <c r="C194">
        <v>2022</v>
      </c>
      <c r="D194" s="1" t="s">
        <v>228</v>
      </c>
      <c r="E194" s="6" t="s">
        <v>239</v>
      </c>
    </row>
    <row r="195" spans="1:5" x14ac:dyDescent="0.2">
      <c r="A195" s="5">
        <v>44838.422589062495</v>
      </c>
      <c r="B195" s="1" t="s">
        <v>62</v>
      </c>
      <c r="C195">
        <v>2022</v>
      </c>
      <c r="D195" s="1" t="s">
        <v>228</v>
      </c>
      <c r="E195" s="6" t="s">
        <v>240</v>
      </c>
    </row>
    <row r="196" spans="1:5" x14ac:dyDescent="0.2">
      <c r="A196" s="5">
        <v>44838.445745231482</v>
      </c>
      <c r="B196" s="1" t="s">
        <v>53</v>
      </c>
      <c r="C196">
        <v>2022</v>
      </c>
      <c r="D196" s="1" t="s">
        <v>228</v>
      </c>
      <c r="E196" s="6" t="s">
        <v>241</v>
      </c>
    </row>
    <row r="197" spans="1:5" x14ac:dyDescent="0.2">
      <c r="A197" s="5">
        <v>44839.3363675</v>
      </c>
      <c r="B197" s="1" t="s">
        <v>24</v>
      </c>
      <c r="C197">
        <v>2022</v>
      </c>
      <c r="D197" s="1" t="s">
        <v>228</v>
      </c>
      <c r="E197" s="6" t="s">
        <v>242</v>
      </c>
    </row>
    <row r="198" spans="1:5" x14ac:dyDescent="0.2">
      <c r="A198" s="5">
        <v>44839.413575486113</v>
      </c>
      <c r="B198" s="1" t="s">
        <v>18</v>
      </c>
      <c r="C198">
        <v>2022</v>
      </c>
      <c r="D198" s="1" t="s">
        <v>228</v>
      </c>
      <c r="E198" s="6" t="s">
        <v>243</v>
      </c>
    </row>
    <row r="199" spans="1:5" x14ac:dyDescent="0.2">
      <c r="A199" s="5">
        <v>44839.465427025461</v>
      </c>
      <c r="B199" s="1" t="s">
        <v>41</v>
      </c>
      <c r="C199">
        <v>2022</v>
      </c>
      <c r="D199" s="1" t="s">
        <v>228</v>
      </c>
      <c r="E199" s="6" t="s">
        <v>244</v>
      </c>
    </row>
    <row r="200" spans="1:5" x14ac:dyDescent="0.2">
      <c r="A200" s="5">
        <v>44839.808442094909</v>
      </c>
      <c r="B200" s="1" t="s">
        <v>76</v>
      </c>
      <c r="C200">
        <v>2022</v>
      </c>
      <c r="D200" s="1" t="s">
        <v>228</v>
      </c>
      <c r="E200" s="6" t="s">
        <v>245</v>
      </c>
    </row>
    <row r="201" spans="1:5" x14ac:dyDescent="0.2">
      <c r="A201" s="5">
        <v>44839.837681284727</v>
      </c>
      <c r="B201" s="1" t="s">
        <v>49</v>
      </c>
      <c r="C201">
        <v>2022</v>
      </c>
      <c r="D201" s="1" t="s">
        <v>228</v>
      </c>
      <c r="E201" s="6" t="s">
        <v>246</v>
      </c>
    </row>
    <row r="202" spans="1:5" x14ac:dyDescent="0.2">
      <c r="A202" s="5">
        <v>44840.351230439817</v>
      </c>
      <c r="B202" s="1" t="s">
        <v>64</v>
      </c>
      <c r="C202">
        <v>2022</v>
      </c>
      <c r="D202" s="1" t="s">
        <v>228</v>
      </c>
      <c r="E202" s="6" t="s">
        <v>247</v>
      </c>
    </row>
    <row r="203" spans="1:5" x14ac:dyDescent="0.2">
      <c r="A203" s="5">
        <v>44840.360782002317</v>
      </c>
      <c r="B203" s="1" t="s">
        <v>41</v>
      </c>
      <c r="C203">
        <v>2022</v>
      </c>
      <c r="D203" s="1" t="s">
        <v>228</v>
      </c>
      <c r="E203" s="6" t="s">
        <v>248</v>
      </c>
    </row>
    <row r="204" spans="1:5" x14ac:dyDescent="0.2">
      <c r="A204" s="5">
        <v>44840.396633171295</v>
      </c>
      <c r="B204" s="1" t="s">
        <v>47</v>
      </c>
      <c r="C204">
        <v>2022</v>
      </c>
      <c r="D204" s="1" t="s">
        <v>228</v>
      </c>
      <c r="E204" s="6" t="s">
        <v>249</v>
      </c>
    </row>
    <row r="205" spans="1:5" x14ac:dyDescent="0.2">
      <c r="A205" s="5">
        <v>44844.344172372686</v>
      </c>
      <c r="B205" s="1" t="s">
        <v>8</v>
      </c>
      <c r="C205">
        <v>2022</v>
      </c>
      <c r="D205" s="1" t="s">
        <v>228</v>
      </c>
      <c r="E205" s="6" t="s">
        <v>250</v>
      </c>
    </row>
    <row r="206" spans="1:5" x14ac:dyDescent="0.2">
      <c r="A206" s="5">
        <v>44844.36546163194</v>
      </c>
      <c r="B206" s="1" t="s">
        <v>68</v>
      </c>
      <c r="C206">
        <v>2022</v>
      </c>
      <c r="D206" s="1" t="s">
        <v>228</v>
      </c>
      <c r="E206" s="6" t="s">
        <v>251</v>
      </c>
    </row>
    <row r="207" spans="1:5" x14ac:dyDescent="0.2">
      <c r="A207" s="5">
        <v>44844.365726574077</v>
      </c>
      <c r="B207" s="1" t="s">
        <v>39</v>
      </c>
      <c r="C207">
        <v>2022</v>
      </c>
      <c r="D207" s="1" t="s">
        <v>228</v>
      </c>
      <c r="E207" s="6" t="s">
        <v>252</v>
      </c>
    </row>
    <row r="208" spans="1:5" x14ac:dyDescent="0.2">
      <c r="A208" s="5">
        <v>44844.365962962962</v>
      </c>
      <c r="B208" s="1" t="s">
        <v>29</v>
      </c>
      <c r="C208">
        <v>2022</v>
      </c>
      <c r="D208" s="1" t="s">
        <v>228</v>
      </c>
      <c r="E208" s="6" t="s">
        <v>253</v>
      </c>
    </row>
    <row r="209" spans="1:5" x14ac:dyDescent="0.2">
      <c r="A209" s="5">
        <v>44844.366185405088</v>
      </c>
      <c r="B209" s="1" t="s">
        <v>16</v>
      </c>
      <c r="C209">
        <v>2022</v>
      </c>
      <c r="D209" s="1" t="s">
        <v>228</v>
      </c>
      <c r="E209" s="6" t="s">
        <v>254</v>
      </c>
    </row>
    <row r="210" spans="1:5" x14ac:dyDescent="0.2">
      <c r="A210" s="5">
        <v>44865.590404143513</v>
      </c>
      <c r="B210" s="1" t="s">
        <v>43</v>
      </c>
      <c r="C210">
        <v>2022</v>
      </c>
      <c r="D210" s="1" t="s">
        <v>255</v>
      </c>
      <c r="E210" s="6" t="s">
        <v>256</v>
      </c>
    </row>
    <row r="211" spans="1:5" x14ac:dyDescent="0.2">
      <c r="A211" s="5">
        <v>44866.621901828708</v>
      </c>
      <c r="B211" s="1" t="s">
        <v>11</v>
      </c>
      <c r="C211">
        <v>2022</v>
      </c>
      <c r="D211" s="1" t="s">
        <v>255</v>
      </c>
      <c r="E211" s="6" t="s">
        <v>257</v>
      </c>
    </row>
    <row r="212" spans="1:5" x14ac:dyDescent="0.2">
      <c r="A212" s="5">
        <v>44866.645161168984</v>
      </c>
      <c r="B212" s="1" t="s">
        <v>45</v>
      </c>
      <c r="C212">
        <v>2022</v>
      </c>
      <c r="D212" s="1" t="s">
        <v>255</v>
      </c>
      <c r="E212" s="6" t="s">
        <v>258</v>
      </c>
    </row>
    <row r="213" spans="1:5" x14ac:dyDescent="0.2">
      <c r="A213" s="5">
        <v>44866.673016469911</v>
      </c>
      <c r="B213" s="1" t="s">
        <v>70</v>
      </c>
      <c r="C213">
        <v>2022</v>
      </c>
      <c r="D213" s="1" t="s">
        <v>255</v>
      </c>
      <c r="E213" s="6" t="s">
        <v>259</v>
      </c>
    </row>
    <row r="214" spans="1:5" x14ac:dyDescent="0.2">
      <c r="A214" s="5">
        <v>44867.488737627311</v>
      </c>
      <c r="B214" s="1" t="s">
        <v>24</v>
      </c>
      <c r="C214">
        <v>2022</v>
      </c>
      <c r="D214" s="1" t="s">
        <v>255</v>
      </c>
      <c r="E214" s="6" t="s">
        <v>260</v>
      </c>
    </row>
    <row r="215" spans="1:5" x14ac:dyDescent="0.2">
      <c r="A215" s="5">
        <v>44867.539915844907</v>
      </c>
      <c r="B215" s="1" t="s">
        <v>112</v>
      </c>
      <c r="C215">
        <v>2022</v>
      </c>
      <c r="D215" s="1" t="s">
        <v>255</v>
      </c>
      <c r="E215" s="6" t="s">
        <v>261</v>
      </c>
    </row>
    <row r="216" spans="1:5" x14ac:dyDescent="0.2">
      <c r="A216" s="5">
        <v>44867.565624131945</v>
      </c>
      <c r="B216" s="1" t="s">
        <v>13</v>
      </c>
      <c r="C216">
        <v>2022</v>
      </c>
      <c r="D216" s="1" t="s">
        <v>255</v>
      </c>
      <c r="E216" s="6" t="s">
        <v>262</v>
      </c>
    </row>
    <row r="217" spans="1:5" x14ac:dyDescent="0.2">
      <c r="A217" s="5">
        <v>44867.579421967588</v>
      </c>
      <c r="B217" s="1" t="s">
        <v>53</v>
      </c>
      <c r="C217">
        <v>2022</v>
      </c>
      <c r="D217" s="1" t="s">
        <v>255</v>
      </c>
      <c r="E217" s="6" t="s">
        <v>263</v>
      </c>
    </row>
    <row r="218" spans="1:5" x14ac:dyDescent="0.2">
      <c r="A218" s="5">
        <v>44868.358689594912</v>
      </c>
      <c r="B218" s="1" t="s">
        <v>18</v>
      </c>
      <c r="C218">
        <v>2022</v>
      </c>
      <c r="D218" s="1" t="s">
        <v>255</v>
      </c>
      <c r="E218" s="6" t="s">
        <v>264</v>
      </c>
    </row>
    <row r="219" spans="1:5" x14ac:dyDescent="0.2">
      <c r="A219" s="5">
        <v>44868.539664756943</v>
      </c>
      <c r="B219" s="1" t="s">
        <v>76</v>
      </c>
      <c r="C219">
        <v>2022</v>
      </c>
      <c r="D219" s="1" t="s">
        <v>255</v>
      </c>
      <c r="E219" s="6" t="s">
        <v>265</v>
      </c>
    </row>
    <row r="220" spans="1:5" x14ac:dyDescent="0.2">
      <c r="A220" s="5">
        <v>44868.86772253472</v>
      </c>
      <c r="B220" s="1" t="s">
        <v>16</v>
      </c>
      <c r="C220">
        <v>2022</v>
      </c>
      <c r="D220" s="1" t="s">
        <v>255</v>
      </c>
      <c r="E220" s="6" t="s">
        <v>266</v>
      </c>
    </row>
    <row r="221" spans="1:5" x14ac:dyDescent="0.2">
      <c r="A221" s="5">
        <v>44869.389620960646</v>
      </c>
      <c r="B221" s="1" t="s">
        <v>49</v>
      </c>
      <c r="C221">
        <v>2022</v>
      </c>
      <c r="D221" s="1" t="s">
        <v>255</v>
      </c>
      <c r="E221" s="6" t="s">
        <v>267</v>
      </c>
    </row>
    <row r="222" spans="1:5" x14ac:dyDescent="0.2">
      <c r="A222" s="5">
        <v>44869.484393958337</v>
      </c>
      <c r="B222" s="1" t="s">
        <v>47</v>
      </c>
      <c r="C222">
        <v>2022</v>
      </c>
      <c r="D222" s="1" t="s">
        <v>255</v>
      </c>
      <c r="E222" s="6" t="s">
        <v>268</v>
      </c>
    </row>
    <row r="223" spans="1:5" x14ac:dyDescent="0.2">
      <c r="A223" s="5">
        <v>44870.416496724538</v>
      </c>
      <c r="B223" s="1" t="s">
        <v>62</v>
      </c>
      <c r="C223">
        <v>2022</v>
      </c>
      <c r="D223" s="1" t="s">
        <v>255</v>
      </c>
      <c r="E223" s="6" t="s">
        <v>269</v>
      </c>
    </row>
    <row r="224" spans="1:5" x14ac:dyDescent="0.2">
      <c r="A224" s="5">
        <v>44871.018500532402</v>
      </c>
      <c r="B224" s="1" t="s">
        <v>29</v>
      </c>
      <c r="C224">
        <v>2022</v>
      </c>
      <c r="D224" s="1" t="s">
        <v>255</v>
      </c>
      <c r="E224" s="6" t="s">
        <v>270</v>
      </c>
    </row>
    <row r="225" spans="1:5" x14ac:dyDescent="0.2">
      <c r="A225" s="5">
        <v>44871.021594131947</v>
      </c>
      <c r="B225" s="1" t="s">
        <v>39</v>
      </c>
      <c r="C225">
        <v>2022</v>
      </c>
      <c r="D225" s="1" t="s">
        <v>255</v>
      </c>
      <c r="E225" s="6" t="s">
        <v>271</v>
      </c>
    </row>
    <row r="226" spans="1:5" x14ac:dyDescent="0.2">
      <c r="A226" s="5">
        <v>44872.373748055557</v>
      </c>
      <c r="B226" s="1" t="s">
        <v>8</v>
      </c>
      <c r="C226">
        <v>2022</v>
      </c>
      <c r="D226" s="1" t="s">
        <v>255</v>
      </c>
      <c r="E226" s="6" t="s">
        <v>272</v>
      </c>
    </row>
    <row r="227" spans="1:5" x14ac:dyDescent="0.2">
      <c r="A227" s="5">
        <v>44872.584200868056</v>
      </c>
      <c r="B227" s="1" t="s">
        <v>56</v>
      </c>
      <c r="C227">
        <v>2022</v>
      </c>
      <c r="D227" s="1" t="s">
        <v>255</v>
      </c>
      <c r="E227" s="6" t="s">
        <v>273</v>
      </c>
    </row>
    <row r="228" spans="1:5" x14ac:dyDescent="0.2">
      <c r="A228" s="5">
        <v>44872.591739143521</v>
      </c>
      <c r="B228" s="1" t="s">
        <v>22</v>
      </c>
      <c r="C228">
        <v>2022</v>
      </c>
      <c r="D228" s="1" t="s">
        <v>255</v>
      </c>
      <c r="E228" s="6" t="s">
        <v>274</v>
      </c>
    </row>
    <row r="229" spans="1:5" x14ac:dyDescent="0.2">
      <c r="A229" s="5">
        <v>44872.636875057869</v>
      </c>
      <c r="B229" s="1" t="s">
        <v>60</v>
      </c>
      <c r="C229">
        <v>2022</v>
      </c>
      <c r="D229" s="1" t="s">
        <v>228</v>
      </c>
      <c r="E229" s="6" t="s">
        <v>275</v>
      </c>
    </row>
    <row r="230" spans="1:5" x14ac:dyDescent="0.2">
      <c r="A230" s="5">
        <v>44872.637361157409</v>
      </c>
      <c r="B230" s="1" t="s">
        <v>60</v>
      </c>
      <c r="C230">
        <v>2022</v>
      </c>
      <c r="D230" s="1" t="s">
        <v>255</v>
      </c>
      <c r="E230" s="6" t="s">
        <v>276</v>
      </c>
    </row>
    <row r="231" spans="1:5" x14ac:dyDescent="0.2">
      <c r="A231" s="5">
        <v>44895.658968356482</v>
      </c>
      <c r="B231" s="1" t="s">
        <v>13</v>
      </c>
      <c r="C231">
        <v>2022</v>
      </c>
      <c r="D231" s="1" t="s">
        <v>277</v>
      </c>
      <c r="E231" s="6" t="s">
        <v>278</v>
      </c>
    </row>
    <row r="232" spans="1:5" x14ac:dyDescent="0.2">
      <c r="A232" s="5">
        <v>44897.392989745371</v>
      </c>
      <c r="B232" s="1" t="s">
        <v>27</v>
      </c>
      <c r="C232">
        <v>2022</v>
      </c>
      <c r="D232" s="1" t="s">
        <v>277</v>
      </c>
      <c r="E232" s="6" t="s">
        <v>279</v>
      </c>
    </row>
    <row r="233" spans="1:5" x14ac:dyDescent="0.2">
      <c r="A233" s="5">
        <v>44897.607723611116</v>
      </c>
      <c r="B233" s="1" t="s">
        <v>53</v>
      </c>
      <c r="C233">
        <v>2022</v>
      </c>
      <c r="D233" s="1" t="s">
        <v>277</v>
      </c>
      <c r="E233" s="6" t="s">
        <v>280</v>
      </c>
    </row>
    <row r="234" spans="1:5" x14ac:dyDescent="0.2">
      <c r="A234" s="5">
        <v>44900.363849467598</v>
      </c>
      <c r="B234" s="1" t="s">
        <v>45</v>
      </c>
      <c r="C234">
        <v>2022</v>
      </c>
      <c r="D234" s="1" t="s">
        <v>277</v>
      </c>
      <c r="E234" s="6" t="s">
        <v>281</v>
      </c>
    </row>
    <row r="235" spans="1:5" x14ac:dyDescent="0.2">
      <c r="A235" s="5">
        <v>44900.429972268517</v>
      </c>
      <c r="B235" s="1" t="s">
        <v>62</v>
      </c>
      <c r="C235">
        <v>2022</v>
      </c>
      <c r="D235" s="1" t="s">
        <v>277</v>
      </c>
      <c r="E235" s="6" t="s">
        <v>282</v>
      </c>
    </row>
    <row r="236" spans="1:5" x14ac:dyDescent="0.2">
      <c r="A236" s="5">
        <v>44900.578590972218</v>
      </c>
      <c r="B236" s="1" t="s">
        <v>43</v>
      </c>
      <c r="C236">
        <v>2022</v>
      </c>
      <c r="D236" s="1" t="s">
        <v>277</v>
      </c>
      <c r="E236" s="6" t="s">
        <v>283</v>
      </c>
    </row>
    <row r="237" spans="1:5" x14ac:dyDescent="0.2">
      <c r="A237" s="5">
        <v>44900.585292974538</v>
      </c>
      <c r="B237" s="1" t="s">
        <v>70</v>
      </c>
      <c r="C237">
        <v>2022</v>
      </c>
      <c r="D237" s="1" t="s">
        <v>277</v>
      </c>
      <c r="E237" s="6" t="s">
        <v>284</v>
      </c>
    </row>
    <row r="238" spans="1:5" x14ac:dyDescent="0.2">
      <c r="A238" s="5">
        <v>44900.586682581023</v>
      </c>
      <c r="B238" s="1" t="s">
        <v>47</v>
      </c>
      <c r="C238">
        <v>2022</v>
      </c>
      <c r="D238" s="1" t="s">
        <v>277</v>
      </c>
      <c r="E238" s="6" t="s">
        <v>285</v>
      </c>
    </row>
    <row r="239" spans="1:5" x14ac:dyDescent="0.2">
      <c r="A239" s="5">
        <v>44900.599519247684</v>
      </c>
      <c r="B239" s="1" t="s">
        <v>58</v>
      </c>
      <c r="C239">
        <v>2022</v>
      </c>
      <c r="D239" s="1" t="s">
        <v>277</v>
      </c>
      <c r="E239" s="6" t="s">
        <v>286</v>
      </c>
    </row>
    <row r="240" spans="1:5" x14ac:dyDescent="0.2">
      <c r="A240" s="5">
        <v>44900.619568113427</v>
      </c>
      <c r="B240" s="1" t="s">
        <v>11</v>
      </c>
      <c r="C240">
        <v>2022</v>
      </c>
      <c r="D240" s="1" t="s">
        <v>277</v>
      </c>
      <c r="E240" s="6" t="s">
        <v>287</v>
      </c>
    </row>
    <row r="241" spans="1:5" x14ac:dyDescent="0.2">
      <c r="A241" s="5">
        <v>44900.626335127316</v>
      </c>
      <c r="B241" s="1" t="s">
        <v>76</v>
      </c>
      <c r="C241">
        <v>2022</v>
      </c>
      <c r="D241" s="1" t="s">
        <v>277</v>
      </c>
      <c r="E241" s="6" t="s">
        <v>288</v>
      </c>
    </row>
    <row r="242" spans="1:5" x14ac:dyDescent="0.2">
      <c r="A242" s="5">
        <v>44900.636514444443</v>
      </c>
      <c r="B242" s="1" t="s">
        <v>56</v>
      </c>
      <c r="C242">
        <v>2022</v>
      </c>
      <c r="D242" s="1" t="s">
        <v>277</v>
      </c>
      <c r="E242" s="6" t="s">
        <v>289</v>
      </c>
    </row>
    <row r="243" spans="1:5" x14ac:dyDescent="0.2">
      <c r="A243" s="5">
        <v>44900.636544050925</v>
      </c>
      <c r="B243" s="1" t="s">
        <v>22</v>
      </c>
      <c r="C243">
        <v>2022</v>
      </c>
      <c r="D243" s="1" t="s">
        <v>277</v>
      </c>
      <c r="E243" s="6" t="s">
        <v>290</v>
      </c>
    </row>
    <row r="244" spans="1:5" x14ac:dyDescent="0.2">
      <c r="A244" s="5">
        <v>44900.914502569445</v>
      </c>
      <c r="B244" s="1" t="s">
        <v>35</v>
      </c>
      <c r="C244">
        <v>2022</v>
      </c>
      <c r="D244" s="1" t="s">
        <v>277</v>
      </c>
      <c r="E244" s="6" t="s">
        <v>291</v>
      </c>
    </row>
    <row r="245" spans="1:5" x14ac:dyDescent="0.2">
      <c r="A245" s="5">
        <v>44901.302508657405</v>
      </c>
      <c r="B245" s="1" t="s">
        <v>24</v>
      </c>
      <c r="C245">
        <v>2022</v>
      </c>
      <c r="D245" s="1" t="s">
        <v>277</v>
      </c>
      <c r="E245" s="6" t="s">
        <v>292</v>
      </c>
    </row>
    <row r="246" spans="1:5" x14ac:dyDescent="0.2">
      <c r="A246" s="5">
        <v>44901.352486655094</v>
      </c>
      <c r="B246" s="1" t="s">
        <v>18</v>
      </c>
      <c r="C246">
        <v>2022</v>
      </c>
      <c r="D246" s="1" t="s">
        <v>277</v>
      </c>
      <c r="E246" s="6" t="s">
        <v>293</v>
      </c>
    </row>
    <row r="247" spans="1:5" x14ac:dyDescent="0.2">
      <c r="A247" s="5">
        <v>44901.391870763888</v>
      </c>
      <c r="B247" s="1" t="s">
        <v>112</v>
      </c>
      <c r="C247">
        <v>2022</v>
      </c>
      <c r="D247" s="1" t="s">
        <v>277</v>
      </c>
      <c r="E247" s="6" t="s">
        <v>294</v>
      </c>
    </row>
    <row r="248" spans="1:5" x14ac:dyDescent="0.2">
      <c r="A248" s="5">
        <v>44901.425559166666</v>
      </c>
      <c r="B248" s="1" t="s">
        <v>39</v>
      </c>
      <c r="C248">
        <v>2022</v>
      </c>
      <c r="D248" s="1" t="s">
        <v>277</v>
      </c>
      <c r="E248" s="6" t="s">
        <v>295</v>
      </c>
    </row>
    <row r="249" spans="1:5" x14ac:dyDescent="0.2">
      <c r="A249" s="5">
        <v>44901.428492372681</v>
      </c>
      <c r="B249" s="1" t="s">
        <v>29</v>
      </c>
      <c r="C249">
        <v>2022</v>
      </c>
      <c r="D249" s="1" t="s">
        <v>277</v>
      </c>
      <c r="E249" s="6" t="s">
        <v>296</v>
      </c>
    </row>
    <row r="250" spans="1:5" x14ac:dyDescent="0.2">
      <c r="A250" s="5">
        <v>44901.430001168977</v>
      </c>
      <c r="B250" s="1" t="s">
        <v>16</v>
      </c>
      <c r="C250">
        <v>2022</v>
      </c>
      <c r="D250" s="1" t="s">
        <v>277</v>
      </c>
      <c r="E250" s="6" t="s">
        <v>297</v>
      </c>
    </row>
    <row r="251" spans="1:5" x14ac:dyDescent="0.2">
      <c r="A251" s="5">
        <v>44901.62941444444</v>
      </c>
      <c r="B251" s="1" t="s">
        <v>8</v>
      </c>
      <c r="C251">
        <v>2022</v>
      </c>
      <c r="D251" s="1" t="s">
        <v>277</v>
      </c>
      <c r="E251" s="6" t="s">
        <v>298</v>
      </c>
    </row>
    <row r="252" spans="1:5" x14ac:dyDescent="0.2">
      <c r="A252" s="5">
        <v>44902.311223217592</v>
      </c>
      <c r="B252" s="1" t="s">
        <v>29</v>
      </c>
      <c r="C252">
        <v>2022</v>
      </c>
      <c r="D252" s="1" t="s">
        <v>277</v>
      </c>
      <c r="E252" s="6" t="s">
        <v>299</v>
      </c>
    </row>
    <row r="253" spans="1:5" x14ac:dyDescent="0.2">
      <c r="A253" s="5">
        <v>44902.31152372685</v>
      </c>
      <c r="B253" s="1" t="s">
        <v>68</v>
      </c>
      <c r="C253">
        <v>2022</v>
      </c>
      <c r="D253" s="1" t="s">
        <v>277</v>
      </c>
      <c r="E253" s="6" t="s">
        <v>300</v>
      </c>
    </row>
    <row r="254" spans="1:5" x14ac:dyDescent="0.2">
      <c r="A254" s="5">
        <v>44907.310671064814</v>
      </c>
      <c r="B254" s="1" t="s">
        <v>49</v>
      </c>
      <c r="C254">
        <v>2022</v>
      </c>
      <c r="D254" s="1" t="s">
        <v>277</v>
      </c>
      <c r="E254" s="6" t="s">
        <v>301</v>
      </c>
    </row>
    <row r="255" spans="1:5" x14ac:dyDescent="0.2">
      <c r="A255" s="5">
        <v>44928.450883865742</v>
      </c>
      <c r="B255" s="1" t="s">
        <v>70</v>
      </c>
      <c r="C255">
        <v>2023</v>
      </c>
      <c r="D255" s="1" t="s">
        <v>302</v>
      </c>
      <c r="E255" s="6" t="s">
        <v>303</v>
      </c>
    </row>
    <row r="256" spans="1:5" x14ac:dyDescent="0.2">
      <c r="A256" s="5">
        <v>44928.452379918977</v>
      </c>
      <c r="B256" s="1" t="s">
        <v>27</v>
      </c>
      <c r="C256">
        <v>2023</v>
      </c>
      <c r="D256" s="1" t="s">
        <v>302</v>
      </c>
      <c r="E256" s="6" t="s">
        <v>304</v>
      </c>
    </row>
    <row r="257" spans="1:5" x14ac:dyDescent="0.2">
      <c r="A257" s="5">
        <v>44928.520245173611</v>
      </c>
      <c r="B257" s="1" t="s">
        <v>112</v>
      </c>
      <c r="C257">
        <v>2023</v>
      </c>
      <c r="D257" s="1" t="s">
        <v>302</v>
      </c>
      <c r="E257" s="6" t="s">
        <v>305</v>
      </c>
    </row>
    <row r="258" spans="1:5" x14ac:dyDescent="0.2">
      <c r="A258" s="5">
        <v>44928.553723680554</v>
      </c>
      <c r="B258" s="1" t="s">
        <v>49</v>
      </c>
      <c r="C258">
        <v>2023</v>
      </c>
      <c r="D258" s="1" t="s">
        <v>302</v>
      </c>
      <c r="E258" s="6" t="s">
        <v>306</v>
      </c>
    </row>
    <row r="259" spans="1:5" x14ac:dyDescent="0.2">
      <c r="A259" s="5">
        <v>44928.603875243054</v>
      </c>
      <c r="B259" s="1" t="s">
        <v>58</v>
      </c>
      <c r="C259">
        <v>2023</v>
      </c>
      <c r="D259" s="1" t="s">
        <v>302</v>
      </c>
      <c r="E259" s="6" t="s">
        <v>307</v>
      </c>
    </row>
    <row r="260" spans="1:5" x14ac:dyDescent="0.2">
      <c r="A260" s="5">
        <v>44928.617606192129</v>
      </c>
      <c r="B260" s="1" t="s">
        <v>62</v>
      </c>
      <c r="C260">
        <v>2023</v>
      </c>
      <c r="D260" s="1" t="s">
        <v>302</v>
      </c>
      <c r="E260" s="6" t="s">
        <v>308</v>
      </c>
    </row>
    <row r="261" spans="1:5" x14ac:dyDescent="0.2">
      <c r="A261" s="5">
        <v>44928.623731828702</v>
      </c>
      <c r="B261" s="1" t="s">
        <v>22</v>
      </c>
      <c r="C261">
        <v>2023</v>
      </c>
      <c r="D261" s="1" t="s">
        <v>302</v>
      </c>
      <c r="E261" s="6" t="s">
        <v>309</v>
      </c>
    </row>
    <row r="262" spans="1:5" x14ac:dyDescent="0.2">
      <c r="A262" s="5">
        <v>44928.626769884257</v>
      </c>
      <c r="B262" s="1" t="s">
        <v>41</v>
      </c>
      <c r="C262">
        <v>2023</v>
      </c>
      <c r="D262" s="1" t="s">
        <v>255</v>
      </c>
      <c r="E262" s="6" t="s">
        <v>310</v>
      </c>
    </row>
    <row r="263" spans="1:5" x14ac:dyDescent="0.2">
      <c r="A263" s="5">
        <v>44928.627296979168</v>
      </c>
      <c r="B263" s="1" t="s">
        <v>41</v>
      </c>
      <c r="C263">
        <v>2023</v>
      </c>
      <c r="D263" s="1" t="s">
        <v>277</v>
      </c>
      <c r="E263" s="6" t="s">
        <v>311</v>
      </c>
    </row>
    <row r="264" spans="1:5" x14ac:dyDescent="0.2">
      <c r="A264" s="5">
        <v>44928.627993981485</v>
      </c>
      <c r="B264" s="1" t="s">
        <v>41</v>
      </c>
      <c r="C264">
        <v>2023</v>
      </c>
      <c r="D264" s="1" t="s">
        <v>302</v>
      </c>
      <c r="E264" s="6" t="s">
        <v>312</v>
      </c>
    </row>
    <row r="265" spans="1:5" x14ac:dyDescent="0.2">
      <c r="A265" s="5">
        <v>44928.65976855324</v>
      </c>
      <c r="B265" s="1" t="s">
        <v>13</v>
      </c>
      <c r="C265">
        <v>2023</v>
      </c>
      <c r="D265" s="1" t="s">
        <v>302</v>
      </c>
      <c r="E265" s="6" t="s">
        <v>313</v>
      </c>
    </row>
    <row r="266" spans="1:5" x14ac:dyDescent="0.2">
      <c r="A266" s="5">
        <v>44928.660151006945</v>
      </c>
      <c r="B266" s="1" t="s">
        <v>18</v>
      </c>
      <c r="C266">
        <v>2023</v>
      </c>
      <c r="D266" s="1" t="s">
        <v>302</v>
      </c>
      <c r="E266" s="6" t="s">
        <v>314</v>
      </c>
    </row>
    <row r="267" spans="1:5" x14ac:dyDescent="0.2">
      <c r="A267" s="5">
        <v>44929.457673761572</v>
      </c>
      <c r="B267" s="1" t="s">
        <v>56</v>
      </c>
      <c r="C267">
        <v>2023</v>
      </c>
      <c r="D267" s="1" t="s">
        <v>302</v>
      </c>
      <c r="E267" s="6" t="s">
        <v>315</v>
      </c>
    </row>
    <row r="268" spans="1:5" x14ac:dyDescent="0.2">
      <c r="A268" s="5">
        <v>44929.47793523148</v>
      </c>
      <c r="B268" s="1" t="s">
        <v>53</v>
      </c>
      <c r="C268">
        <v>2023</v>
      </c>
      <c r="D268" s="1" t="s">
        <v>302</v>
      </c>
      <c r="E268" s="6" t="s">
        <v>316</v>
      </c>
    </row>
    <row r="269" spans="1:5" x14ac:dyDescent="0.2">
      <c r="A269" s="5">
        <v>44929.531383819442</v>
      </c>
      <c r="B269" s="1" t="s">
        <v>11</v>
      </c>
      <c r="C269">
        <v>2023</v>
      </c>
      <c r="D269" s="1" t="s">
        <v>302</v>
      </c>
      <c r="E269" s="6" t="s">
        <v>317</v>
      </c>
    </row>
    <row r="270" spans="1:5" x14ac:dyDescent="0.2">
      <c r="A270" s="5">
        <v>44930.323730046293</v>
      </c>
      <c r="B270" s="1" t="s">
        <v>39</v>
      </c>
      <c r="C270">
        <v>2023</v>
      </c>
      <c r="D270" s="1" t="s">
        <v>318</v>
      </c>
      <c r="E270" s="6" t="s">
        <v>319</v>
      </c>
    </row>
    <row r="271" spans="1:5" x14ac:dyDescent="0.2">
      <c r="A271" s="5">
        <v>44930.336730324074</v>
      </c>
      <c r="B271" s="1" t="s">
        <v>43</v>
      </c>
      <c r="C271">
        <v>2023</v>
      </c>
      <c r="D271" s="1" t="s">
        <v>302</v>
      </c>
      <c r="E271" s="6" t="s">
        <v>320</v>
      </c>
    </row>
    <row r="272" spans="1:5" x14ac:dyDescent="0.2">
      <c r="A272" s="5">
        <v>44930.344989930556</v>
      </c>
      <c r="B272" s="1" t="s">
        <v>45</v>
      </c>
      <c r="C272">
        <v>2023</v>
      </c>
      <c r="D272" s="1" t="s">
        <v>302</v>
      </c>
      <c r="E272" s="6" t="s">
        <v>321</v>
      </c>
    </row>
    <row r="273" spans="1:5" x14ac:dyDescent="0.2">
      <c r="A273" s="5">
        <v>44930.349800138887</v>
      </c>
      <c r="B273" s="1" t="s">
        <v>43</v>
      </c>
      <c r="C273">
        <v>2023</v>
      </c>
      <c r="D273" s="1" t="s">
        <v>318</v>
      </c>
      <c r="E273" s="6" t="s">
        <v>322</v>
      </c>
    </row>
    <row r="274" spans="1:5" x14ac:dyDescent="0.2">
      <c r="A274" s="5">
        <v>44930.351130462965</v>
      </c>
      <c r="B274" s="1" t="s">
        <v>76</v>
      </c>
      <c r="C274">
        <v>2023</v>
      </c>
      <c r="D274" s="1" t="s">
        <v>302</v>
      </c>
      <c r="E274" s="6" t="s">
        <v>323</v>
      </c>
    </row>
    <row r="275" spans="1:5" x14ac:dyDescent="0.2">
      <c r="A275" s="5">
        <v>44930.351370266202</v>
      </c>
      <c r="B275" s="1" t="s">
        <v>43</v>
      </c>
      <c r="C275">
        <v>2023</v>
      </c>
      <c r="D275" s="1" t="s">
        <v>318</v>
      </c>
      <c r="E275" s="6" t="s">
        <v>324</v>
      </c>
    </row>
    <row r="276" spans="1:5" x14ac:dyDescent="0.2">
      <c r="A276" s="5">
        <v>44930.352184351854</v>
      </c>
      <c r="B276" s="1" t="s">
        <v>47</v>
      </c>
      <c r="C276">
        <v>2023</v>
      </c>
      <c r="D276" s="1" t="s">
        <v>302</v>
      </c>
      <c r="E276" s="6" t="s">
        <v>325</v>
      </c>
    </row>
    <row r="277" spans="1:5" x14ac:dyDescent="0.2">
      <c r="A277" s="5">
        <v>44930.353147638889</v>
      </c>
      <c r="B277" s="1" t="s">
        <v>16</v>
      </c>
      <c r="C277">
        <v>2023</v>
      </c>
      <c r="D277" s="1" t="s">
        <v>302</v>
      </c>
      <c r="E277" s="6" t="s">
        <v>326</v>
      </c>
    </row>
    <row r="278" spans="1:5" x14ac:dyDescent="0.2">
      <c r="A278" s="5">
        <v>44930.37849368056</v>
      </c>
      <c r="B278" s="1" t="s">
        <v>35</v>
      </c>
      <c r="C278">
        <v>2023</v>
      </c>
      <c r="D278" s="1" t="s">
        <v>302</v>
      </c>
      <c r="E278" s="6" t="s">
        <v>327</v>
      </c>
    </row>
    <row r="279" spans="1:5" x14ac:dyDescent="0.2">
      <c r="A279" s="5">
        <v>44930.411177569447</v>
      </c>
      <c r="B279" s="1" t="s">
        <v>8</v>
      </c>
      <c r="C279">
        <v>2023</v>
      </c>
      <c r="D279" s="1" t="s">
        <v>302</v>
      </c>
      <c r="E279" s="6" t="s">
        <v>328</v>
      </c>
    </row>
    <row r="280" spans="1:5" x14ac:dyDescent="0.2">
      <c r="A280" s="5">
        <v>44930.419933321755</v>
      </c>
      <c r="B280" s="1" t="s">
        <v>31</v>
      </c>
      <c r="C280">
        <v>2023</v>
      </c>
      <c r="D280" s="1" t="s">
        <v>318</v>
      </c>
      <c r="E280" s="6" t="s">
        <v>329</v>
      </c>
    </row>
    <row r="281" spans="1:5" x14ac:dyDescent="0.2">
      <c r="A281" s="5">
        <v>44930.424043391205</v>
      </c>
      <c r="B281" s="1" t="s">
        <v>330</v>
      </c>
      <c r="C281">
        <v>2023</v>
      </c>
      <c r="D281" s="1" t="s">
        <v>318</v>
      </c>
      <c r="E281" s="6" t="s">
        <v>331</v>
      </c>
    </row>
    <row r="282" spans="1:5" x14ac:dyDescent="0.2">
      <c r="A282" s="5">
        <v>44930.647158321764</v>
      </c>
      <c r="B282" s="1" t="s">
        <v>112</v>
      </c>
      <c r="C282">
        <v>2023</v>
      </c>
      <c r="D282" s="1" t="s">
        <v>318</v>
      </c>
      <c r="E282" s="6" t="s">
        <v>332</v>
      </c>
    </row>
    <row r="283" spans="1:5" x14ac:dyDescent="0.2">
      <c r="A283" s="5">
        <v>44957.577306701394</v>
      </c>
      <c r="B283" s="1" t="s">
        <v>70</v>
      </c>
      <c r="C283">
        <v>2023</v>
      </c>
      <c r="D283" s="1" t="s">
        <v>318</v>
      </c>
      <c r="E283" s="6" t="s">
        <v>333</v>
      </c>
    </row>
    <row r="284" spans="1:5" x14ac:dyDescent="0.2">
      <c r="A284" s="5">
        <v>44957.587023263884</v>
      </c>
      <c r="B284" s="1" t="s">
        <v>13</v>
      </c>
      <c r="C284">
        <v>2023</v>
      </c>
      <c r="D284" s="1" t="s">
        <v>318</v>
      </c>
      <c r="E284" s="6" t="s">
        <v>334</v>
      </c>
    </row>
    <row r="285" spans="1:5" x14ac:dyDescent="0.2">
      <c r="A285" s="5">
        <v>44958.310342731478</v>
      </c>
      <c r="B285" s="1" t="s">
        <v>20</v>
      </c>
      <c r="C285">
        <v>2023</v>
      </c>
      <c r="D285" s="1" t="s">
        <v>318</v>
      </c>
      <c r="E285" s="6" t="s">
        <v>335</v>
      </c>
    </row>
    <row r="286" spans="1:5" x14ac:dyDescent="0.2">
      <c r="A286" s="5">
        <v>44958.355020381947</v>
      </c>
      <c r="B286" s="1" t="s">
        <v>43</v>
      </c>
      <c r="C286">
        <v>2023</v>
      </c>
      <c r="D286" s="1" t="s">
        <v>318</v>
      </c>
      <c r="E286" s="6" t="s">
        <v>336</v>
      </c>
    </row>
    <row r="287" spans="1:5" x14ac:dyDescent="0.2">
      <c r="A287" s="5">
        <v>44958.356497222223</v>
      </c>
      <c r="B287" s="1" t="s">
        <v>58</v>
      </c>
      <c r="C287">
        <v>2023</v>
      </c>
      <c r="D287" s="1" t="s">
        <v>318</v>
      </c>
      <c r="E287" s="6" t="s">
        <v>337</v>
      </c>
    </row>
    <row r="288" spans="1:5" x14ac:dyDescent="0.2">
      <c r="A288" s="5">
        <v>44958.371856157406</v>
      </c>
      <c r="B288" s="1" t="s">
        <v>18</v>
      </c>
      <c r="C288">
        <v>2023</v>
      </c>
      <c r="D288" s="1" t="s">
        <v>318</v>
      </c>
      <c r="E288" s="6" t="s">
        <v>338</v>
      </c>
    </row>
    <row r="289" spans="1:5" x14ac:dyDescent="0.2">
      <c r="A289" s="5">
        <v>44958.374415937498</v>
      </c>
      <c r="B289" s="1" t="s">
        <v>27</v>
      </c>
      <c r="C289">
        <v>2023</v>
      </c>
      <c r="D289" s="1" t="s">
        <v>318</v>
      </c>
      <c r="E289" s="6" t="s">
        <v>339</v>
      </c>
    </row>
    <row r="290" spans="1:5" x14ac:dyDescent="0.2">
      <c r="A290" s="5">
        <v>44958.401871354166</v>
      </c>
      <c r="B290" s="1" t="s">
        <v>112</v>
      </c>
      <c r="C290">
        <v>2023</v>
      </c>
      <c r="D290" s="1" t="s">
        <v>318</v>
      </c>
      <c r="E290" s="6" t="s">
        <v>340</v>
      </c>
    </row>
    <row r="291" spans="1:5" x14ac:dyDescent="0.2">
      <c r="A291" s="5">
        <v>44958.451853634258</v>
      </c>
      <c r="B291" s="1" t="s">
        <v>11</v>
      </c>
      <c r="C291">
        <v>2023</v>
      </c>
      <c r="D291" s="1" t="s">
        <v>318</v>
      </c>
      <c r="E291" s="6" t="s">
        <v>341</v>
      </c>
    </row>
    <row r="292" spans="1:5" x14ac:dyDescent="0.2">
      <c r="A292" s="5">
        <v>44958.594945844903</v>
      </c>
      <c r="B292" s="1" t="s">
        <v>49</v>
      </c>
      <c r="C292">
        <v>2023</v>
      </c>
      <c r="D292" s="1" t="s">
        <v>318</v>
      </c>
      <c r="E292" s="6" t="s">
        <v>342</v>
      </c>
    </row>
    <row r="293" spans="1:5" x14ac:dyDescent="0.2">
      <c r="A293" s="5">
        <v>44958.597708321759</v>
      </c>
      <c r="B293" s="1" t="s">
        <v>49</v>
      </c>
      <c r="C293">
        <v>2023</v>
      </c>
      <c r="D293" s="1" t="s">
        <v>318</v>
      </c>
      <c r="E293" s="6" t="s">
        <v>343</v>
      </c>
    </row>
    <row r="294" spans="1:5" x14ac:dyDescent="0.2">
      <c r="A294" s="5">
        <v>44958.646308206022</v>
      </c>
      <c r="B294" s="1" t="s">
        <v>45</v>
      </c>
      <c r="C294">
        <v>2023</v>
      </c>
      <c r="D294" s="1" t="s">
        <v>318</v>
      </c>
      <c r="E294" s="6" t="s">
        <v>344</v>
      </c>
    </row>
    <row r="295" spans="1:5" x14ac:dyDescent="0.2">
      <c r="A295" s="5">
        <v>44958.67045902778</v>
      </c>
      <c r="B295" s="1" t="s">
        <v>47</v>
      </c>
      <c r="C295">
        <v>2023</v>
      </c>
      <c r="D295" s="1" t="s">
        <v>318</v>
      </c>
      <c r="E295" s="6" t="s">
        <v>345</v>
      </c>
    </row>
    <row r="296" spans="1:5" x14ac:dyDescent="0.2">
      <c r="A296" s="5">
        <v>44958.680159618059</v>
      </c>
      <c r="B296" s="1" t="s">
        <v>330</v>
      </c>
      <c r="C296">
        <v>2023</v>
      </c>
      <c r="D296" s="1" t="s">
        <v>318</v>
      </c>
      <c r="E296" s="6" t="s">
        <v>346</v>
      </c>
    </row>
    <row r="297" spans="1:5" x14ac:dyDescent="0.2">
      <c r="A297" s="5">
        <v>44958.693835300925</v>
      </c>
      <c r="B297" s="1" t="s">
        <v>35</v>
      </c>
      <c r="C297">
        <v>2023</v>
      </c>
      <c r="D297" s="1" t="s">
        <v>318</v>
      </c>
      <c r="E297" s="6" t="s">
        <v>347</v>
      </c>
    </row>
    <row r="298" spans="1:5" x14ac:dyDescent="0.2">
      <c r="A298" s="5">
        <v>44959.3053009375</v>
      </c>
      <c r="B298" s="1" t="s">
        <v>348</v>
      </c>
      <c r="C298">
        <v>2023</v>
      </c>
      <c r="D298" s="1" t="s">
        <v>318</v>
      </c>
      <c r="E298" s="6" t="s">
        <v>349</v>
      </c>
    </row>
    <row r="299" spans="1:5" x14ac:dyDescent="0.2">
      <c r="A299" s="5">
        <v>44959.306609189814</v>
      </c>
      <c r="B299" s="1" t="s">
        <v>22</v>
      </c>
      <c r="C299">
        <v>2023</v>
      </c>
      <c r="D299" s="1" t="s">
        <v>318</v>
      </c>
      <c r="E299" s="6" t="s">
        <v>350</v>
      </c>
    </row>
    <row r="300" spans="1:5" x14ac:dyDescent="0.2">
      <c r="A300" s="5">
        <v>44959.382348402782</v>
      </c>
      <c r="B300" s="1" t="s">
        <v>68</v>
      </c>
      <c r="C300">
        <v>2023</v>
      </c>
      <c r="D300" s="1" t="s">
        <v>318</v>
      </c>
      <c r="E300" s="6" t="s">
        <v>351</v>
      </c>
    </row>
    <row r="301" spans="1:5" x14ac:dyDescent="0.2">
      <c r="A301" s="5">
        <v>44959.383479456017</v>
      </c>
      <c r="B301" s="1" t="s">
        <v>31</v>
      </c>
      <c r="C301">
        <v>2023</v>
      </c>
      <c r="D301" s="1" t="s">
        <v>352</v>
      </c>
      <c r="E301" s="6" t="s">
        <v>353</v>
      </c>
    </row>
    <row r="302" spans="1:5" x14ac:dyDescent="0.2">
      <c r="A302" s="5">
        <v>44959.397203831017</v>
      </c>
      <c r="B302" s="1" t="s">
        <v>76</v>
      </c>
      <c r="C302">
        <v>2023</v>
      </c>
      <c r="D302" s="1" t="s">
        <v>318</v>
      </c>
      <c r="E302" s="6" t="s">
        <v>354</v>
      </c>
    </row>
    <row r="303" spans="1:5" x14ac:dyDescent="0.2">
      <c r="A303" s="5">
        <v>44959.471097025467</v>
      </c>
      <c r="B303" s="1" t="s">
        <v>62</v>
      </c>
      <c r="C303">
        <v>2023</v>
      </c>
      <c r="D303" s="1" t="s">
        <v>318</v>
      </c>
      <c r="E303" s="6" t="s">
        <v>355</v>
      </c>
    </row>
    <row r="304" spans="1:5" x14ac:dyDescent="0.2">
      <c r="A304" s="5">
        <v>44959.580490324079</v>
      </c>
      <c r="B304" s="1" t="s">
        <v>53</v>
      </c>
      <c r="C304">
        <v>2023</v>
      </c>
      <c r="D304" s="1" t="s">
        <v>318</v>
      </c>
      <c r="E304" s="6" t="s">
        <v>356</v>
      </c>
    </row>
    <row r="305" spans="1:5" x14ac:dyDescent="0.2">
      <c r="A305" s="5">
        <v>44959.758711481481</v>
      </c>
      <c r="B305" s="1" t="s">
        <v>16</v>
      </c>
      <c r="C305">
        <v>2023</v>
      </c>
      <c r="D305" s="1" t="s">
        <v>318</v>
      </c>
      <c r="E305" s="6" t="s">
        <v>357</v>
      </c>
    </row>
    <row r="306" spans="1:5" x14ac:dyDescent="0.2">
      <c r="A306" s="5">
        <v>44959.854022997686</v>
      </c>
      <c r="B306" s="1" t="s">
        <v>66</v>
      </c>
      <c r="C306">
        <v>2023</v>
      </c>
      <c r="D306" s="1" t="s">
        <v>318</v>
      </c>
      <c r="E306" s="6" t="s">
        <v>358</v>
      </c>
    </row>
    <row r="307" spans="1:5" x14ac:dyDescent="0.2">
      <c r="A307" s="5">
        <v>44959.868847569443</v>
      </c>
      <c r="B307" s="1" t="s">
        <v>64</v>
      </c>
      <c r="C307">
        <v>2023</v>
      </c>
      <c r="D307" s="1" t="s">
        <v>318</v>
      </c>
      <c r="E307" s="6" t="s">
        <v>359</v>
      </c>
    </row>
    <row r="308" spans="1:5" x14ac:dyDescent="0.2">
      <c r="A308" s="5">
        <v>44960.328177025462</v>
      </c>
      <c r="B308" s="1" t="s">
        <v>39</v>
      </c>
      <c r="C308">
        <v>2023</v>
      </c>
      <c r="D308" s="1" t="s">
        <v>318</v>
      </c>
      <c r="E308" s="6" t="s">
        <v>360</v>
      </c>
    </row>
    <row r="309" spans="1:5" x14ac:dyDescent="0.2">
      <c r="A309" s="5">
        <v>44960.442144664354</v>
      </c>
      <c r="B309" s="1" t="s">
        <v>56</v>
      </c>
      <c r="C309">
        <v>2023</v>
      </c>
      <c r="D309" s="1" t="s">
        <v>318</v>
      </c>
      <c r="E309" s="6" t="s">
        <v>361</v>
      </c>
    </row>
    <row r="310" spans="1:5" x14ac:dyDescent="0.2">
      <c r="A310" s="5">
        <v>44960.442935729166</v>
      </c>
      <c r="B310" s="1" t="s">
        <v>8</v>
      </c>
      <c r="C310">
        <v>2023</v>
      </c>
      <c r="D310" s="1" t="s">
        <v>318</v>
      </c>
      <c r="E310" s="6" t="s">
        <v>362</v>
      </c>
    </row>
    <row r="311" spans="1:5" x14ac:dyDescent="0.2">
      <c r="A311" s="5">
        <v>44960.444017592592</v>
      </c>
      <c r="B311" s="1" t="s">
        <v>39</v>
      </c>
      <c r="C311">
        <v>2023</v>
      </c>
      <c r="D311" s="1" t="s">
        <v>318</v>
      </c>
      <c r="E311" s="6" t="s">
        <v>363</v>
      </c>
    </row>
    <row r="312" spans="1:5" x14ac:dyDescent="0.2">
      <c r="A312" s="5">
        <v>44960.444255752314</v>
      </c>
      <c r="B312" s="1" t="s">
        <v>29</v>
      </c>
      <c r="C312">
        <v>2023</v>
      </c>
      <c r="D312" s="1" t="s">
        <v>318</v>
      </c>
      <c r="E312" s="6" t="s">
        <v>364</v>
      </c>
    </row>
    <row r="313" spans="1:5" x14ac:dyDescent="0.2">
      <c r="A313" s="5">
        <v>44960.459908171295</v>
      </c>
      <c r="B313" s="1" t="s">
        <v>37</v>
      </c>
      <c r="C313">
        <v>2023</v>
      </c>
      <c r="D313" s="1" t="s">
        <v>318</v>
      </c>
      <c r="E313" s="6" t="s">
        <v>365</v>
      </c>
    </row>
    <row r="314" spans="1:5" x14ac:dyDescent="0.2">
      <c r="A314" s="5">
        <v>44960.520131226847</v>
      </c>
      <c r="B314" s="1" t="s">
        <v>24</v>
      </c>
      <c r="C314">
        <v>2023</v>
      </c>
      <c r="D314" s="1" t="s">
        <v>318</v>
      </c>
      <c r="E314" s="6" t="s">
        <v>366</v>
      </c>
    </row>
    <row r="315" spans="1:5" x14ac:dyDescent="0.2">
      <c r="A315" s="5">
        <v>44984.671112199074</v>
      </c>
      <c r="B315" s="1" t="s">
        <v>112</v>
      </c>
      <c r="C315">
        <v>2023</v>
      </c>
      <c r="D315" s="1" t="s">
        <v>352</v>
      </c>
      <c r="E315" s="6" t="s">
        <v>367</v>
      </c>
    </row>
    <row r="316" spans="1:5" x14ac:dyDescent="0.2">
      <c r="A316" s="5">
        <v>44985.349946921298</v>
      </c>
      <c r="B316" s="1" t="s">
        <v>27</v>
      </c>
      <c r="C316">
        <v>2023</v>
      </c>
      <c r="D316" s="1" t="s">
        <v>352</v>
      </c>
      <c r="E316" s="6" t="s">
        <v>368</v>
      </c>
    </row>
    <row r="317" spans="1:5" x14ac:dyDescent="0.2">
      <c r="A317" s="5">
        <v>44985.358037789352</v>
      </c>
      <c r="B317" s="1" t="s">
        <v>18</v>
      </c>
      <c r="C317">
        <v>2023</v>
      </c>
      <c r="D317" s="1" t="s">
        <v>352</v>
      </c>
      <c r="E317" s="6" t="s">
        <v>369</v>
      </c>
    </row>
    <row r="318" spans="1:5" x14ac:dyDescent="0.2">
      <c r="A318" s="5">
        <v>44985.360012650461</v>
      </c>
      <c r="B318" s="1" t="s">
        <v>13</v>
      </c>
      <c r="C318">
        <v>2023</v>
      </c>
      <c r="D318" s="1" t="s">
        <v>352</v>
      </c>
      <c r="E318" s="6" t="s">
        <v>370</v>
      </c>
    </row>
    <row r="319" spans="1:5" x14ac:dyDescent="0.2">
      <c r="A319" s="5">
        <v>44985.467511215276</v>
      </c>
      <c r="B319" s="1" t="s">
        <v>29</v>
      </c>
      <c r="C319">
        <v>2023</v>
      </c>
      <c r="D319" s="1" t="s">
        <v>352</v>
      </c>
      <c r="E319" s="6" t="s">
        <v>371</v>
      </c>
    </row>
    <row r="320" spans="1:5" x14ac:dyDescent="0.2">
      <c r="A320" s="5">
        <v>44985.470523773147</v>
      </c>
      <c r="B320" s="1" t="s">
        <v>39</v>
      </c>
      <c r="C320">
        <v>2023</v>
      </c>
      <c r="D320" s="1" t="s">
        <v>352</v>
      </c>
      <c r="E320" s="6" t="s">
        <v>372</v>
      </c>
    </row>
    <row r="321" spans="1:5" x14ac:dyDescent="0.2">
      <c r="A321" s="5">
        <v>44985.471641770833</v>
      </c>
      <c r="B321" s="1" t="s">
        <v>20</v>
      </c>
      <c r="C321">
        <v>2023</v>
      </c>
      <c r="D321" s="1" t="s">
        <v>352</v>
      </c>
      <c r="E321" s="6" t="s">
        <v>373</v>
      </c>
    </row>
    <row r="322" spans="1:5" x14ac:dyDescent="0.2">
      <c r="A322" s="5">
        <v>44985.472029236116</v>
      </c>
      <c r="B322" s="1" t="s">
        <v>29</v>
      </c>
      <c r="C322">
        <v>2023</v>
      </c>
      <c r="D322" s="1" t="s">
        <v>352</v>
      </c>
      <c r="E322" s="6" t="s">
        <v>374</v>
      </c>
    </row>
    <row r="323" spans="1:5" x14ac:dyDescent="0.2">
      <c r="A323" s="5">
        <v>44985.490417499997</v>
      </c>
      <c r="B323" s="1" t="s">
        <v>43</v>
      </c>
      <c r="C323">
        <v>2023</v>
      </c>
      <c r="D323" s="1" t="s">
        <v>352</v>
      </c>
      <c r="E323" s="6" t="s">
        <v>375</v>
      </c>
    </row>
    <row r="324" spans="1:5" x14ac:dyDescent="0.2">
      <c r="A324" s="5">
        <v>44985.56354447917</v>
      </c>
      <c r="B324" s="1" t="s">
        <v>64</v>
      </c>
      <c r="C324">
        <v>2023</v>
      </c>
      <c r="D324" s="1" t="s">
        <v>352</v>
      </c>
      <c r="E324" s="6" t="s">
        <v>376</v>
      </c>
    </row>
    <row r="325" spans="1:5" x14ac:dyDescent="0.2">
      <c r="A325" s="5">
        <v>44985.582091909717</v>
      </c>
      <c r="B325" s="1" t="s">
        <v>56</v>
      </c>
      <c r="C325">
        <v>2023</v>
      </c>
      <c r="D325" s="1" t="s">
        <v>352</v>
      </c>
      <c r="E325" s="6" t="s">
        <v>377</v>
      </c>
    </row>
    <row r="326" spans="1:5" x14ac:dyDescent="0.2">
      <c r="A326" s="5">
        <v>44985.590131122684</v>
      </c>
      <c r="B326" s="1" t="s">
        <v>378</v>
      </c>
      <c r="C326">
        <v>2023</v>
      </c>
      <c r="D326" s="1" t="s">
        <v>352</v>
      </c>
      <c r="E326" s="6" t="s">
        <v>379</v>
      </c>
    </row>
    <row r="327" spans="1:5" x14ac:dyDescent="0.2">
      <c r="A327" s="5">
        <v>44986.22739803241</v>
      </c>
      <c r="B327" s="1" t="s">
        <v>62</v>
      </c>
      <c r="C327">
        <v>2023</v>
      </c>
      <c r="D327" s="1" t="s">
        <v>352</v>
      </c>
      <c r="E327" s="6" t="s">
        <v>380</v>
      </c>
    </row>
    <row r="328" spans="1:5" x14ac:dyDescent="0.2">
      <c r="A328" s="5">
        <v>44986.30991527778</v>
      </c>
      <c r="B328" s="1" t="s">
        <v>11</v>
      </c>
      <c r="C328">
        <v>2023</v>
      </c>
      <c r="D328" s="1" t="s">
        <v>352</v>
      </c>
      <c r="E328" s="6" t="s">
        <v>381</v>
      </c>
    </row>
    <row r="329" spans="1:5" x14ac:dyDescent="0.2">
      <c r="A329" s="5">
        <v>44986.328245694443</v>
      </c>
      <c r="B329" s="1" t="s">
        <v>16</v>
      </c>
      <c r="C329">
        <v>2023</v>
      </c>
      <c r="D329" s="1" t="s">
        <v>352</v>
      </c>
      <c r="E329" s="6" t="s">
        <v>382</v>
      </c>
    </row>
    <row r="330" spans="1:5" x14ac:dyDescent="0.2">
      <c r="A330" s="5">
        <v>44986.331419178241</v>
      </c>
      <c r="B330" s="1" t="s">
        <v>35</v>
      </c>
      <c r="C330">
        <v>2023</v>
      </c>
      <c r="D330" s="1" t="s">
        <v>352</v>
      </c>
      <c r="E330" s="6" t="s">
        <v>383</v>
      </c>
    </row>
    <row r="331" spans="1:5" x14ac:dyDescent="0.2">
      <c r="A331" s="5">
        <v>44986.374394664352</v>
      </c>
      <c r="B331" s="1" t="s">
        <v>70</v>
      </c>
      <c r="C331">
        <v>2023</v>
      </c>
      <c r="D331" s="1" t="s">
        <v>352</v>
      </c>
      <c r="E331" s="6" t="s">
        <v>384</v>
      </c>
    </row>
    <row r="332" spans="1:5" x14ac:dyDescent="0.2">
      <c r="A332" s="5">
        <v>44986.384829236107</v>
      </c>
      <c r="B332" s="1" t="s">
        <v>53</v>
      </c>
      <c r="C332">
        <v>2023</v>
      </c>
      <c r="D332" s="1" t="s">
        <v>9</v>
      </c>
      <c r="E332" s="6" t="s">
        <v>385</v>
      </c>
    </row>
    <row r="333" spans="1:5" x14ac:dyDescent="0.2">
      <c r="A333" s="5">
        <v>44986.412684050927</v>
      </c>
      <c r="B333" s="1" t="s">
        <v>348</v>
      </c>
      <c r="C333">
        <v>2023</v>
      </c>
      <c r="D333" s="1" t="s">
        <v>352</v>
      </c>
      <c r="E333" s="6" t="s">
        <v>386</v>
      </c>
    </row>
    <row r="334" spans="1:5" x14ac:dyDescent="0.2">
      <c r="A334" s="5">
        <v>44986.421695729165</v>
      </c>
      <c r="B334" s="1" t="s">
        <v>58</v>
      </c>
      <c r="C334">
        <v>2023</v>
      </c>
      <c r="D334" s="1" t="s">
        <v>352</v>
      </c>
      <c r="E334" s="6" t="s">
        <v>387</v>
      </c>
    </row>
    <row r="335" spans="1:5" x14ac:dyDescent="0.2">
      <c r="A335" s="5">
        <v>44986.581014537034</v>
      </c>
      <c r="B335" s="1" t="s">
        <v>68</v>
      </c>
      <c r="C335">
        <v>2023</v>
      </c>
      <c r="D335" s="1" t="s">
        <v>352</v>
      </c>
      <c r="E335" s="6" t="s">
        <v>388</v>
      </c>
    </row>
    <row r="336" spans="1:5" x14ac:dyDescent="0.2">
      <c r="A336" s="5">
        <v>44986.581311122689</v>
      </c>
      <c r="B336" s="1" t="s">
        <v>330</v>
      </c>
      <c r="C336">
        <v>2023</v>
      </c>
      <c r="D336" s="1" t="s">
        <v>352</v>
      </c>
      <c r="E336" s="6" t="s">
        <v>389</v>
      </c>
    </row>
    <row r="337" spans="1:5" x14ac:dyDescent="0.2">
      <c r="A337" s="5">
        <v>44986.60435765046</v>
      </c>
      <c r="B337" s="1" t="s">
        <v>37</v>
      </c>
      <c r="C337">
        <v>2023</v>
      </c>
      <c r="D337" s="1" t="s">
        <v>352</v>
      </c>
      <c r="E337" s="6" t="s">
        <v>390</v>
      </c>
    </row>
    <row r="338" spans="1:5" x14ac:dyDescent="0.2">
      <c r="A338" s="5">
        <v>44986.609152465273</v>
      </c>
      <c r="B338" s="1" t="s">
        <v>24</v>
      </c>
      <c r="C338">
        <v>2023</v>
      </c>
      <c r="D338" s="1" t="s">
        <v>352</v>
      </c>
      <c r="E338" s="6" t="s">
        <v>391</v>
      </c>
    </row>
    <row r="339" spans="1:5" x14ac:dyDescent="0.2">
      <c r="A339" s="5">
        <v>44986.653172337959</v>
      </c>
      <c r="B339" s="1" t="s">
        <v>45</v>
      </c>
      <c r="C339">
        <v>2023</v>
      </c>
      <c r="D339" s="1" t="s">
        <v>352</v>
      </c>
      <c r="E339" s="6" t="s">
        <v>392</v>
      </c>
    </row>
    <row r="340" spans="1:5" x14ac:dyDescent="0.2">
      <c r="A340" s="5">
        <v>44986.653994849534</v>
      </c>
      <c r="B340" s="1" t="s">
        <v>22</v>
      </c>
      <c r="C340">
        <v>2023</v>
      </c>
      <c r="D340" s="1" t="s">
        <v>352</v>
      </c>
      <c r="E340" s="6" t="s">
        <v>393</v>
      </c>
    </row>
    <row r="341" spans="1:5" x14ac:dyDescent="0.2">
      <c r="A341" s="5">
        <v>44986.673999548613</v>
      </c>
      <c r="B341" s="1" t="s">
        <v>8</v>
      </c>
      <c r="C341">
        <v>2023</v>
      </c>
      <c r="D341" s="1" t="s">
        <v>352</v>
      </c>
      <c r="E341" s="6" t="s">
        <v>394</v>
      </c>
    </row>
    <row r="342" spans="1:5" x14ac:dyDescent="0.2">
      <c r="A342" s="5">
        <v>44987.343452106477</v>
      </c>
      <c r="B342" s="1" t="s">
        <v>49</v>
      </c>
      <c r="C342">
        <v>2023</v>
      </c>
      <c r="D342" s="1" t="s">
        <v>352</v>
      </c>
      <c r="E342" s="6" t="s">
        <v>395</v>
      </c>
    </row>
    <row r="343" spans="1:5" x14ac:dyDescent="0.2">
      <c r="A343" s="5">
        <v>44987.378176354163</v>
      </c>
      <c r="B343" s="1" t="s">
        <v>33</v>
      </c>
      <c r="C343">
        <v>2023</v>
      </c>
      <c r="D343" s="1" t="s">
        <v>352</v>
      </c>
      <c r="E343" s="6" t="s">
        <v>396</v>
      </c>
    </row>
    <row r="344" spans="1:5" x14ac:dyDescent="0.2">
      <c r="A344" s="5">
        <v>44987.428081585647</v>
      </c>
      <c r="B344" s="1" t="s">
        <v>397</v>
      </c>
      <c r="C344">
        <v>2023</v>
      </c>
      <c r="D344" s="1" t="s">
        <v>352</v>
      </c>
      <c r="E344" s="6" t="s">
        <v>398</v>
      </c>
    </row>
    <row r="345" spans="1:5" x14ac:dyDescent="0.2">
      <c r="A345" s="5">
        <v>44987.448935416665</v>
      </c>
      <c r="B345" s="1" t="s">
        <v>66</v>
      </c>
      <c r="C345">
        <v>2023</v>
      </c>
      <c r="D345" s="1" t="s">
        <v>352</v>
      </c>
      <c r="E345" s="6" t="s">
        <v>399</v>
      </c>
    </row>
    <row r="346" spans="1:5" x14ac:dyDescent="0.2">
      <c r="A346" s="5">
        <v>44987.451945081018</v>
      </c>
      <c r="B346" s="1" t="s">
        <v>397</v>
      </c>
      <c r="C346">
        <v>2023</v>
      </c>
      <c r="D346" s="1" t="s">
        <v>352</v>
      </c>
      <c r="E346" s="6" t="s">
        <v>400</v>
      </c>
    </row>
    <row r="347" spans="1:5" x14ac:dyDescent="0.2">
      <c r="A347" s="5">
        <v>44987.487364826389</v>
      </c>
      <c r="B347" s="1" t="s">
        <v>76</v>
      </c>
      <c r="C347">
        <v>2023</v>
      </c>
      <c r="D347" s="1" t="s">
        <v>352</v>
      </c>
      <c r="E347" s="6" t="s">
        <v>401</v>
      </c>
    </row>
    <row r="348" spans="1:5" x14ac:dyDescent="0.2">
      <c r="A348" s="5">
        <v>44988.34342075231</v>
      </c>
      <c r="B348" s="1" t="s">
        <v>47</v>
      </c>
      <c r="C348">
        <v>2023</v>
      </c>
      <c r="D348" s="1" t="s">
        <v>352</v>
      </c>
      <c r="E348" s="6" t="s">
        <v>402</v>
      </c>
    </row>
    <row r="349" spans="1:5" x14ac:dyDescent="0.2">
      <c r="A349" s="5">
        <v>45019.316807303243</v>
      </c>
      <c r="B349" s="1" t="s">
        <v>22</v>
      </c>
      <c r="C349">
        <v>2023</v>
      </c>
      <c r="D349" s="1" t="s">
        <v>9</v>
      </c>
      <c r="E349" s="6" t="s">
        <v>403</v>
      </c>
    </row>
    <row r="350" spans="1:5" x14ac:dyDescent="0.2">
      <c r="A350" s="5">
        <v>45019.326326608796</v>
      </c>
      <c r="B350" s="1" t="s">
        <v>13</v>
      </c>
      <c r="C350">
        <v>2023</v>
      </c>
      <c r="D350" s="1" t="s">
        <v>9</v>
      </c>
      <c r="E350" s="6" t="s">
        <v>404</v>
      </c>
    </row>
    <row r="351" spans="1:5" x14ac:dyDescent="0.2">
      <c r="A351" s="5">
        <v>45019.374902141208</v>
      </c>
      <c r="B351" s="1" t="s">
        <v>18</v>
      </c>
      <c r="C351">
        <v>2023</v>
      </c>
      <c r="D351" s="1" t="s">
        <v>9</v>
      </c>
      <c r="E351" s="6" t="s">
        <v>405</v>
      </c>
    </row>
    <row r="352" spans="1:5" x14ac:dyDescent="0.2">
      <c r="A352" s="5">
        <v>45019.380031354165</v>
      </c>
      <c r="B352" s="1" t="s">
        <v>35</v>
      </c>
      <c r="C352">
        <v>2023</v>
      </c>
      <c r="D352" s="1" t="s">
        <v>9</v>
      </c>
      <c r="E352" s="6" t="s">
        <v>406</v>
      </c>
    </row>
    <row r="353" spans="1:5" x14ac:dyDescent="0.2">
      <c r="A353" s="5">
        <v>45019.380096793982</v>
      </c>
      <c r="B353" s="1" t="s">
        <v>39</v>
      </c>
      <c r="C353">
        <v>2023</v>
      </c>
      <c r="D353" s="1" t="s">
        <v>9</v>
      </c>
      <c r="E353" s="6" t="s">
        <v>407</v>
      </c>
    </row>
    <row r="354" spans="1:5" x14ac:dyDescent="0.2">
      <c r="A354" s="5">
        <v>45019.380630451386</v>
      </c>
      <c r="B354" s="1" t="s">
        <v>68</v>
      </c>
      <c r="C354">
        <v>2023</v>
      </c>
      <c r="D354" s="1" t="s">
        <v>9</v>
      </c>
      <c r="E354" s="6" t="s">
        <v>408</v>
      </c>
    </row>
    <row r="355" spans="1:5" x14ac:dyDescent="0.2">
      <c r="A355" s="5">
        <v>45019.381396689816</v>
      </c>
      <c r="B355" s="1" t="s">
        <v>66</v>
      </c>
      <c r="C355">
        <v>2023</v>
      </c>
      <c r="D355" s="1" t="s">
        <v>9</v>
      </c>
      <c r="E355" s="6" t="s">
        <v>409</v>
      </c>
    </row>
    <row r="356" spans="1:5" x14ac:dyDescent="0.2">
      <c r="A356" s="5">
        <v>45019.384282743056</v>
      </c>
      <c r="B356" s="1" t="s">
        <v>20</v>
      </c>
      <c r="C356">
        <v>2023</v>
      </c>
      <c r="D356" s="1" t="s">
        <v>9</v>
      </c>
      <c r="E356" s="6" t="s">
        <v>410</v>
      </c>
    </row>
    <row r="357" spans="1:5" x14ac:dyDescent="0.2">
      <c r="A357" s="5">
        <v>45019.384667094906</v>
      </c>
      <c r="B357" s="1" t="s">
        <v>24</v>
      </c>
      <c r="C357">
        <v>2023</v>
      </c>
      <c r="D357" s="1" t="s">
        <v>9</v>
      </c>
      <c r="E357" s="6" t="s">
        <v>411</v>
      </c>
    </row>
    <row r="358" spans="1:5" x14ac:dyDescent="0.2">
      <c r="A358" s="5">
        <v>45019.386750844904</v>
      </c>
      <c r="B358" s="1" t="s">
        <v>31</v>
      </c>
      <c r="C358">
        <v>2023</v>
      </c>
      <c r="D358" s="1" t="s">
        <v>78</v>
      </c>
      <c r="E358" s="6" t="s">
        <v>412</v>
      </c>
    </row>
    <row r="359" spans="1:5" x14ac:dyDescent="0.2">
      <c r="A359" s="5">
        <v>45019.388968368061</v>
      </c>
      <c r="B359" s="1" t="s">
        <v>70</v>
      </c>
      <c r="C359">
        <v>2023</v>
      </c>
      <c r="D359" s="1" t="s">
        <v>9</v>
      </c>
      <c r="E359" s="6" t="s">
        <v>413</v>
      </c>
    </row>
    <row r="360" spans="1:5" x14ac:dyDescent="0.2">
      <c r="A360" s="5">
        <v>45019.394412488429</v>
      </c>
      <c r="B360" s="1" t="s">
        <v>27</v>
      </c>
      <c r="C360">
        <v>2023</v>
      </c>
      <c r="D360" s="1" t="s">
        <v>9</v>
      </c>
      <c r="E360" s="6" t="s">
        <v>414</v>
      </c>
    </row>
    <row r="361" spans="1:5" x14ac:dyDescent="0.2">
      <c r="A361" s="5">
        <v>45019.398423854167</v>
      </c>
      <c r="B361" s="1" t="s">
        <v>8</v>
      </c>
      <c r="C361">
        <v>2023</v>
      </c>
      <c r="D361" s="1" t="s">
        <v>9</v>
      </c>
      <c r="E361" s="6" t="s">
        <v>415</v>
      </c>
    </row>
    <row r="362" spans="1:5" x14ac:dyDescent="0.2">
      <c r="A362" s="5">
        <v>45019.398636817132</v>
      </c>
      <c r="B362" s="1" t="s">
        <v>56</v>
      </c>
      <c r="C362">
        <v>2023</v>
      </c>
      <c r="D362" s="1" t="s">
        <v>9</v>
      </c>
      <c r="E362" s="6" t="s">
        <v>416</v>
      </c>
    </row>
    <row r="363" spans="1:5" x14ac:dyDescent="0.2">
      <c r="A363" s="5">
        <v>45019.402593275459</v>
      </c>
      <c r="B363" s="1" t="s">
        <v>76</v>
      </c>
      <c r="C363">
        <v>2023</v>
      </c>
      <c r="D363" s="1" t="s">
        <v>9</v>
      </c>
      <c r="E363" s="6" t="s">
        <v>417</v>
      </c>
    </row>
    <row r="364" spans="1:5" x14ac:dyDescent="0.2">
      <c r="A364" s="5">
        <v>45019.405672337962</v>
      </c>
      <c r="B364" s="1" t="s">
        <v>53</v>
      </c>
      <c r="C364">
        <v>2023</v>
      </c>
      <c r="D364" s="1" t="s">
        <v>9</v>
      </c>
      <c r="E364" s="6" t="s">
        <v>418</v>
      </c>
    </row>
    <row r="365" spans="1:5" x14ac:dyDescent="0.2">
      <c r="A365" s="5">
        <v>45019.406869965278</v>
      </c>
      <c r="B365" s="1" t="s">
        <v>11</v>
      </c>
      <c r="C365">
        <v>2023</v>
      </c>
      <c r="D365" s="1" t="s">
        <v>9</v>
      </c>
      <c r="E365" s="6" t="s">
        <v>419</v>
      </c>
    </row>
    <row r="366" spans="1:5" x14ac:dyDescent="0.2">
      <c r="A366" s="5">
        <v>45019.417818576389</v>
      </c>
      <c r="B366" s="1" t="s">
        <v>58</v>
      </c>
      <c r="C366">
        <v>2023</v>
      </c>
      <c r="D366" s="1" t="s">
        <v>9</v>
      </c>
      <c r="E366" s="6" t="s">
        <v>420</v>
      </c>
    </row>
    <row r="367" spans="1:5" x14ac:dyDescent="0.2">
      <c r="A367" s="5">
        <v>45019.419992881943</v>
      </c>
      <c r="B367" s="1" t="s">
        <v>378</v>
      </c>
      <c r="C367">
        <v>2023</v>
      </c>
      <c r="D367" s="1" t="s">
        <v>9</v>
      </c>
      <c r="E367" s="6" t="s">
        <v>421</v>
      </c>
    </row>
    <row r="368" spans="1:5" x14ac:dyDescent="0.2">
      <c r="A368" s="5">
        <v>45019.42878052083</v>
      </c>
      <c r="B368" s="1" t="s">
        <v>29</v>
      </c>
      <c r="C368">
        <v>2023</v>
      </c>
      <c r="D368" s="1" t="s">
        <v>9</v>
      </c>
      <c r="E368" s="6" t="s">
        <v>422</v>
      </c>
    </row>
    <row r="369" spans="1:5" x14ac:dyDescent="0.2">
      <c r="A369" s="5">
        <v>45019.429981759255</v>
      </c>
      <c r="B369" s="1" t="s">
        <v>330</v>
      </c>
      <c r="C369">
        <v>2023</v>
      </c>
      <c r="D369" s="1" t="s">
        <v>9</v>
      </c>
      <c r="E369" s="6" t="s">
        <v>423</v>
      </c>
    </row>
    <row r="370" spans="1:5" x14ac:dyDescent="0.2">
      <c r="A370" s="5">
        <v>45019.432656689816</v>
      </c>
      <c r="B370" s="1" t="s">
        <v>16</v>
      </c>
      <c r="C370">
        <v>2023</v>
      </c>
      <c r="D370" s="1" t="s">
        <v>78</v>
      </c>
      <c r="E370" s="6" t="s">
        <v>424</v>
      </c>
    </row>
    <row r="371" spans="1:5" x14ac:dyDescent="0.2">
      <c r="A371" s="5">
        <v>45019.437989270838</v>
      </c>
      <c r="B371" s="1" t="s">
        <v>62</v>
      </c>
      <c r="C371">
        <v>2023</v>
      </c>
      <c r="D371" s="1" t="s">
        <v>9</v>
      </c>
      <c r="E371" s="6" t="s">
        <v>425</v>
      </c>
    </row>
    <row r="372" spans="1:5" x14ac:dyDescent="0.2">
      <c r="A372" s="5">
        <v>45019.43836388889</v>
      </c>
      <c r="B372" s="1" t="s">
        <v>47</v>
      </c>
      <c r="C372">
        <v>2023</v>
      </c>
      <c r="D372" s="1" t="s">
        <v>9</v>
      </c>
      <c r="E372" s="6" t="s">
        <v>426</v>
      </c>
    </row>
    <row r="373" spans="1:5" x14ac:dyDescent="0.2">
      <c r="A373" s="5">
        <v>45019.448929074075</v>
      </c>
      <c r="B373" s="1" t="s">
        <v>43</v>
      </c>
      <c r="C373">
        <v>2023</v>
      </c>
      <c r="D373" s="1" t="s">
        <v>9</v>
      </c>
      <c r="E373" s="6" t="s">
        <v>427</v>
      </c>
    </row>
    <row r="374" spans="1:5" x14ac:dyDescent="0.2">
      <c r="A374" s="5">
        <v>45019.458859687496</v>
      </c>
      <c r="B374" s="1" t="s">
        <v>49</v>
      </c>
      <c r="C374">
        <v>2023</v>
      </c>
      <c r="D374" s="1" t="s">
        <v>9</v>
      </c>
      <c r="E374" s="6" t="s">
        <v>428</v>
      </c>
    </row>
    <row r="375" spans="1:5" x14ac:dyDescent="0.2">
      <c r="A375" s="5">
        <v>45019.458942384255</v>
      </c>
      <c r="B375" s="1" t="s">
        <v>37</v>
      </c>
      <c r="C375">
        <v>2023</v>
      </c>
      <c r="D375" s="1" t="s">
        <v>9</v>
      </c>
      <c r="E375" s="6" t="s">
        <v>429</v>
      </c>
    </row>
    <row r="376" spans="1:5" x14ac:dyDescent="0.2">
      <c r="A376" s="5">
        <v>45019.467611712964</v>
      </c>
      <c r="B376" s="1" t="s">
        <v>64</v>
      </c>
      <c r="C376">
        <v>2023</v>
      </c>
      <c r="D376" s="1" t="s">
        <v>9</v>
      </c>
      <c r="E376" s="6" t="s">
        <v>430</v>
      </c>
    </row>
    <row r="377" spans="1:5" x14ac:dyDescent="0.2">
      <c r="A377" s="5">
        <v>45019.484290486114</v>
      </c>
      <c r="B377" s="1" t="s">
        <v>397</v>
      </c>
      <c r="C377">
        <v>2023</v>
      </c>
      <c r="D377" s="1" t="s">
        <v>9</v>
      </c>
      <c r="E377" s="6" t="s">
        <v>431</v>
      </c>
    </row>
    <row r="378" spans="1:5" x14ac:dyDescent="0.2">
      <c r="A378" s="5">
        <v>45019.525119733793</v>
      </c>
      <c r="B378" s="1" t="s">
        <v>112</v>
      </c>
      <c r="C378">
        <v>2023</v>
      </c>
      <c r="D378" s="1" t="s">
        <v>9</v>
      </c>
      <c r="E378" s="6" t="s">
        <v>432</v>
      </c>
    </row>
    <row r="379" spans="1:5" x14ac:dyDescent="0.2">
      <c r="A379" s="5">
        <v>45019.56831771991</v>
      </c>
      <c r="B379" s="1" t="s">
        <v>348</v>
      </c>
      <c r="C379">
        <v>2023</v>
      </c>
      <c r="D379" s="1" t="s">
        <v>9</v>
      </c>
      <c r="E379" s="6" t="s">
        <v>433</v>
      </c>
    </row>
    <row r="380" spans="1:5" x14ac:dyDescent="0.2">
      <c r="A380" s="5">
        <v>45019.643387013886</v>
      </c>
      <c r="B380" s="1" t="s">
        <v>31</v>
      </c>
      <c r="C380">
        <v>2023</v>
      </c>
      <c r="D380" s="1" t="s">
        <v>78</v>
      </c>
      <c r="E380" s="6" t="s">
        <v>434</v>
      </c>
    </row>
    <row r="381" spans="1:5" x14ac:dyDescent="0.2">
      <c r="A381" s="5">
        <v>45043.624524710649</v>
      </c>
      <c r="B381" s="1" t="s">
        <v>112</v>
      </c>
      <c r="C381">
        <v>2023</v>
      </c>
      <c r="D381" s="1" t="s">
        <v>78</v>
      </c>
      <c r="E381" s="6" t="s">
        <v>435</v>
      </c>
    </row>
    <row r="382" spans="1:5" x14ac:dyDescent="0.2">
      <c r="A382" s="5">
        <v>45044.378836041666</v>
      </c>
      <c r="B382" s="1" t="s">
        <v>43</v>
      </c>
      <c r="C382">
        <v>2023</v>
      </c>
      <c r="D382" s="1" t="s">
        <v>78</v>
      </c>
      <c r="E382" s="6" t="s">
        <v>436</v>
      </c>
    </row>
    <row r="383" spans="1:5" x14ac:dyDescent="0.2">
      <c r="A383" s="5">
        <v>45044.393033321758</v>
      </c>
      <c r="B383" s="1" t="s">
        <v>43</v>
      </c>
      <c r="C383">
        <v>2023</v>
      </c>
      <c r="D383" s="1" t="s">
        <v>78</v>
      </c>
      <c r="E383" s="6" t="s">
        <v>437</v>
      </c>
    </row>
    <row r="384" spans="1:5" x14ac:dyDescent="0.2">
      <c r="A384" s="5">
        <v>45044.411991145833</v>
      </c>
      <c r="B384" s="1" t="s">
        <v>27</v>
      </c>
      <c r="C384">
        <v>2023</v>
      </c>
      <c r="D384" s="1" t="s">
        <v>78</v>
      </c>
      <c r="E384" s="6" t="s">
        <v>438</v>
      </c>
    </row>
    <row r="385" spans="1:5" x14ac:dyDescent="0.2">
      <c r="A385" s="5">
        <v>45044.416940937503</v>
      </c>
      <c r="B385" s="1" t="s">
        <v>18</v>
      </c>
      <c r="C385">
        <v>2023</v>
      </c>
      <c r="D385" s="1" t="s">
        <v>78</v>
      </c>
      <c r="E385" s="6" t="s">
        <v>439</v>
      </c>
    </row>
    <row r="386" spans="1:5" x14ac:dyDescent="0.2">
      <c r="A386" s="5">
        <v>45044.518043518518</v>
      </c>
      <c r="B386" s="1" t="s">
        <v>13</v>
      </c>
      <c r="C386">
        <v>2023</v>
      </c>
      <c r="D386" s="1" t="s">
        <v>78</v>
      </c>
      <c r="E386" s="6" t="s">
        <v>440</v>
      </c>
    </row>
    <row r="387" spans="1:5" x14ac:dyDescent="0.2">
      <c r="A387" s="5">
        <v>45047.918780509259</v>
      </c>
      <c r="B387" s="1" t="s">
        <v>49</v>
      </c>
      <c r="C387">
        <v>2023</v>
      </c>
      <c r="D387" s="1" t="s">
        <v>78</v>
      </c>
      <c r="E387" s="6" t="s">
        <v>441</v>
      </c>
    </row>
    <row r="388" spans="1:5" x14ac:dyDescent="0.2">
      <c r="A388" s="5">
        <v>45048.316964594909</v>
      </c>
      <c r="B388" s="1" t="s">
        <v>22</v>
      </c>
      <c r="C388">
        <v>2023</v>
      </c>
      <c r="D388" s="1" t="s">
        <v>78</v>
      </c>
      <c r="E388" s="6" t="s">
        <v>442</v>
      </c>
    </row>
    <row r="389" spans="1:5" x14ac:dyDescent="0.2">
      <c r="A389" s="5">
        <v>45048.351547199076</v>
      </c>
      <c r="B389" s="1" t="s">
        <v>56</v>
      </c>
      <c r="C389">
        <v>2023</v>
      </c>
      <c r="D389" s="1" t="s">
        <v>78</v>
      </c>
      <c r="E389" s="6" t="s">
        <v>443</v>
      </c>
    </row>
    <row r="390" spans="1:5" x14ac:dyDescent="0.2">
      <c r="A390" s="5">
        <v>45048.367298356483</v>
      </c>
      <c r="B390" s="1" t="s">
        <v>37</v>
      </c>
      <c r="C390">
        <v>2023</v>
      </c>
      <c r="D390" s="1" t="s">
        <v>78</v>
      </c>
      <c r="E390" s="6" t="s">
        <v>444</v>
      </c>
    </row>
    <row r="391" spans="1:5" x14ac:dyDescent="0.2">
      <c r="A391" s="5">
        <v>45048.582832534725</v>
      </c>
      <c r="B391" s="1" t="s">
        <v>35</v>
      </c>
      <c r="C391">
        <v>2023</v>
      </c>
      <c r="D391" s="1" t="s">
        <v>78</v>
      </c>
      <c r="E391" s="6" t="s">
        <v>445</v>
      </c>
    </row>
    <row r="392" spans="1:5" x14ac:dyDescent="0.2">
      <c r="A392" s="5">
        <v>45048.633305555559</v>
      </c>
      <c r="B392" s="1" t="s">
        <v>53</v>
      </c>
      <c r="C392">
        <v>2023</v>
      </c>
      <c r="D392" s="1" t="s">
        <v>78</v>
      </c>
      <c r="E392" s="6" t="s">
        <v>446</v>
      </c>
    </row>
    <row r="393" spans="1:5" x14ac:dyDescent="0.2">
      <c r="A393" s="5">
        <v>45048.684143530088</v>
      </c>
      <c r="B393" s="1" t="s">
        <v>68</v>
      </c>
      <c r="C393">
        <v>2023</v>
      </c>
      <c r="D393" s="1" t="s">
        <v>78</v>
      </c>
      <c r="E393" s="6" t="s">
        <v>447</v>
      </c>
    </row>
    <row r="394" spans="1:5" x14ac:dyDescent="0.2">
      <c r="A394" s="5">
        <v>45048.689070682871</v>
      </c>
      <c r="B394" s="1" t="s">
        <v>66</v>
      </c>
      <c r="C394">
        <v>2023</v>
      </c>
      <c r="D394" s="1" t="s">
        <v>78</v>
      </c>
      <c r="E394" s="6" t="s">
        <v>448</v>
      </c>
    </row>
    <row r="395" spans="1:5" x14ac:dyDescent="0.2">
      <c r="A395" s="5">
        <v>45048.913304340276</v>
      </c>
      <c r="B395" s="1" t="s">
        <v>11</v>
      </c>
      <c r="C395">
        <v>2023</v>
      </c>
      <c r="D395" s="1" t="s">
        <v>78</v>
      </c>
      <c r="E395" s="6" t="s">
        <v>449</v>
      </c>
    </row>
    <row r="396" spans="1:5" x14ac:dyDescent="0.2">
      <c r="A396" s="5">
        <v>45049.321916678236</v>
      </c>
      <c r="B396" s="1" t="s">
        <v>378</v>
      </c>
      <c r="C396">
        <v>2023</v>
      </c>
      <c r="D396" s="1" t="s">
        <v>78</v>
      </c>
      <c r="E396" s="6" t="s">
        <v>450</v>
      </c>
    </row>
    <row r="397" spans="1:5" x14ac:dyDescent="0.2">
      <c r="A397" s="5">
        <v>45049.332425636574</v>
      </c>
      <c r="B397" s="1" t="s">
        <v>451</v>
      </c>
      <c r="C397">
        <v>2023</v>
      </c>
      <c r="D397" s="1" t="s">
        <v>78</v>
      </c>
      <c r="E397" s="6" t="s">
        <v>452</v>
      </c>
    </row>
    <row r="398" spans="1:5" x14ac:dyDescent="0.2">
      <c r="A398" s="5">
        <v>45049.363002291662</v>
      </c>
      <c r="B398" s="1" t="s">
        <v>64</v>
      </c>
      <c r="C398">
        <v>2023</v>
      </c>
      <c r="D398" s="1" t="s">
        <v>78</v>
      </c>
      <c r="E398" s="6" t="s">
        <v>453</v>
      </c>
    </row>
    <row r="399" spans="1:5" x14ac:dyDescent="0.2">
      <c r="A399" s="5">
        <v>45049.36932150463</v>
      </c>
      <c r="B399" s="1" t="s">
        <v>20</v>
      </c>
      <c r="C399">
        <v>2023</v>
      </c>
      <c r="D399" s="1" t="s">
        <v>78</v>
      </c>
      <c r="E399" s="6" t="s">
        <v>454</v>
      </c>
    </row>
    <row r="400" spans="1:5" x14ac:dyDescent="0.2">
      <c r="A400" s="5">
        <v>45049.387793611109</v>
      </c>
      <c r="B400" s="1" t="s">
        <v>47</v>
      </c>
      <c r="C400">
        <v>2023</v>
      </c>
      <c r="D400" s="1" t="s">
        <v>78</v>
      </c>
      <c r="E400" s="6" t="s">
        <v>455</v>
      </c>
    </row>
    <row r="401" spans="1:5" x14ac:dyDescent="0.2">
      <c r="A401" s="5">
        <v>45049.45729298611</v>
      </c>
      <c r="B401" s="1" t="s">
        <v>31</v>
      </c>
      <c r="C401">
        <v>2023</v>
      </c>
      <c r="D401" s="1" t="s">
        <v>78</v>
      </c>
      <c r="E401" s="6" t="s">
        <v>456</v>
      </c>
    </row>
    <row r="402" spans="1:5" x14ac:dyDescent="0.2">
      <c r="A402" s="5">
        <v>45049.464134861111</v>
      </c>
      <c r="B402" s="1" t="s">
        <v>39</v>
      </c>
      <c r="C402">
        <v>2023</v>
      </c>
      <c r="D402" s="1" t="s">
        <v>78</v>
      </c>
      <c r="E402" s="6" t="s">
        <v>457</v>
      </c>
    </row>
    <row r="403" spans="1:5" x14ac:dyDescent="0.2">
      <c r="A403" s="5">
        <v>45049.744956724535</v>
      </c>
      <c r="B403" s="1" t="s">
        <v>29</v>
      </c>
      <c r="C403">
        <v>2023</v>
      </c>
      <c r="D403" s="1" t="s">
        <v>78</v>
      </c>
      <c r="E403" s="6" t="s">
        <v>458</v>
      </c>
    </row>
    <row r="404" spans="1:5" x14ac:dyDescent="0.2">
      <c r="A404" s="5">
        <v>45049.745646249998</v>
      </c>
      <c r="B404" s="1" t="s">
        <v>8</v>
      </c>
      <c r="C404">
        <v>2023</v>
      </c>
      <c r="D404" s="1" t="s">
        <v>78</v>
      </c>
      <c r="E404" s="6" t="s">
        <v>459</v>
      </c>
    </row>
    <row r="405" spans="1:5" x14ac:dyDescent="0.2">
      <c r="A405" s="5">
        <v>45049.848351736116</v>
      </c>
      <c r="B405" s="1" t="s">
        <v>70</v>
      </c>
      <c r="C405">
        <v>2023</v>
      </c>
      <c r="D405" s="1" t="s">
        <v>78</v>
      </c>
      <c r="E405" s="6" t="s">
        <v>460</v>
      </c>
    </row>
    <row r="406" spans="1:5" x14ac:dyDescent="0.2">
      <c r="A406" s="5">
        <v>45050.180504386575</v>
      </c>
      <c r="B406" s="1" t="s">
        <v>76</v>
      </c>
      <c r="C406">
        <v>2023</v>
      </c>
      <c r="D406" s="1" t="s">
        <v>78</v>
      </c>
      <c r="E406" s="6" t="s">
        <v>461</v>
      </c>
    </row>
    <row r="407" spans="1:5" x14ac:dyDescent="0.2">
      <c r="A407" s="5">
        <v>45050.283395983795</v>
      </c>
      <c r="B407" s="1" t="s">
        <v>348</v>
      </c>
      <c r="C407">
        <v>2023</v>
      </c>
      <c r="D407" s="1" t="s">
        <v>78</v>
      </c>
      <c r="E407" s="6" t="s">
        <v>462</v>
      </c>
    </row>
    <row r="408" spans="1:5" x14ac:dyDescent="0.2">
      <c r="A408" s="5">
        <v>45050.372874791668</v>
      </c>
      <c r="B408" s="1" t="s">
        <v>62</v>
      </c>
      <c r="C408">
        <v>2023</v>
      </c>
      <c r="D408" s="1" t="s">
        <v>78</v>
      </c>
      <c r="E408" s="6" t="s">
        <v>463</v>
      </c>
    </row>
    <row r="409" spans="1:5" x14ac:dyDescent="0.2">
      <c r="A409" s="5">
        <v>45051.502774895838</v>
      </c>
      <c r="B409" s="1" t="s">
        <v>464</v>
      </c>
      <c r="C409">
        <v>2023</v>
      </c>
      <c r="D409" s="1" t="s">
        <v>78</v>
      </c>
      <c r="E409" s="6" t="s">
        <v>465</v>
      </c>
    </row>
    <row r="410" spans="1:5" x14ac:dyDescent="0.2">
      <c r="A410" s="5">
        <v>45075.725526331022</v>
      </c>
      <c r="B410" s="1" t="s">
        <v>112</v>
      </c>
      <c r="C410">
        <v>2023</v>
      </c>
      <c r="D410" s="1" t="s">
        <v>110</v>
      </c>
      <c r="E410" s="6" t="s">
        <v>466</v>
      </c>
    </row>
    <row r="411" spans="1:5" x14ac:dyDescent="0.2">
      <c r="A411" s="5">
        <v>45077.639007106482</v>
      </c>
      <c r="B411" s="1" t="s">
        <v>11</v>
      </c>
      <c r="C411">
        <v>2023</v>
      </c>
      <c r="D411" s="1" t="s">
        <v>110</v>
      </c>
      <c r="E411" s="6" t="s">
        <v>467</v>
      </c>
    </row>
    <row r="412" spans="1:5" x14ac:dyDescent="0.2">
      <c r="A412" s="5">
        <v>45078.382296828699</v>
      </c>
      <c r="B412" s="1" t="s">
        <v>68</v>
      </c>
      <c r="C412">
        <v>2023</v>
      </c>
      <c r="D412" s="1" t="s">
        <v>110</v>
      </c>
      <c r="E412" s="6" t="s">
        <v>468</v>
      </c>
    </row>
    <row r="413" spans="1:5" x14ac:dyDescent="0.2">
      <c r="A413" s="5">
        <v>45078.387276273148</v>
      </c>
      <c r="B413" s="1" t="s">
        <v>20</v>
      </c>
      <c r="C413">
        <v>2023</v>
      </c>
      <c r="D413" s="1" t="s">
        <v>110</v>
      </c>
      <c r="E413" s="6" t="s">
        <v>469</v>
      </c>
    </row>
    <row r="414" spans="1:5" x14ac:dyDescent="0.2">
      <c r="A414" s="5">
        <v>45078.39142576389</v>
      </c>
      <c r="B414" s="1" t="s">
        <v>56</v>
      </c>
      <c r="C414">
        <v>2023</v>
      </c>
      <c r="D414" s="1" t="s">
        <v>110</v>
      </c>
      <c r="E414" s="6" t="s">
        <v>470</v>
      </c>
    </row>
    <row r="415" spans="1:5" x14ac:dyDescent="0.2">
      <c r="A415" s="5">
        <v>45078.42561204861</v>
      </c>
      <c r="B415" s="1" t="s">
        <v>45</v>
      </c>
      <c r="C415">
        <v>2023</v>
      </c>
      <c r="D415" s="1" t="s">
        <v>110</v>
      </c>
      <c r="E415" s="6" t="s">
        <v>471</v>
      </c>
    </row>
    <row r="416" spans="1:5" x14ac:dyDescent="0.2">
      <c r="A416" s="5">
        <v>45078.435043368052</v>
      </c>
      <c r="B416" s="1" t="s">
        <v>47</v>
      </c>
      <c r="C416">
        <v>2023</v>
      </c>
      <c r="D416" s="1" t="s">
        <v>110</v>
      </c>
      <c r="E416" s="6" t="s">
        <v>472</v>
      </c>
    </row>
    <row r="417" spans="1:5" x14ac:dyDescent="0.2">
      <c r="A417" s="5">
        <v>45078.436254340282</v>
      </c>
      <c r="B417" s="1" t="s">
        <v>39</v>
      </c>
      <c r="C417">
        <v>2023</v>
      </c>
      <c r="D417" s="1" t="s">
        <v>110</v>
      </c>
      <c r="E417" s="6" t="s">
        <v>473</v>
      </c>
    </row>
    <row r="418" spans="1:5" x14ac:dyDescent="0.2">
      <c r="A418" s="5">
        <v>45078.615697546295</v>
      </c>
      <c r="B418" s="1" t="s">
        <v>24</v>
      </c>
      <c r="C418">
        <v>2023</v>
      </c>
      <c r="D418" s="1" t="s">
        <v>110</v>
      </c>
      <c r="E418" s="6" t="s">
        <v>474</v>
      </c>
    </row>
    <row r="419" spans="1:5" x14ac:dyDescent="0.2">
      <c r="A419" s="5">
        <v>45079.417748321765</v>
      </c>
      <c r="B419" s="1" t="s">
        <v>13</v>
      </c>
      <c r="C419">
        <v>2023</v>
      </c>
      <c r="D419" s="1" t="s">
        <v>110</v>
      </c>
      <c r="E419" s="6" t="s">
        <v>475</v>
      </c>
    </row>
    <row r="420" spans="1:5" x14ac:dyDescent="0.2">
      <c r="A420" s="5">
        <v>45080.816773865736</v>
      </c>
      <c r="B420" s="1" t="s">
        <v>62</v>
      </c>
      <c r="C420">
        <v>2023</v>
      </c>
      <c r="D420" s="1" t="s">
        <v>110</v>
      </c>
      <c r="E420" s="6" t="s">
        <v>476</v>
      </c>
    </row>
    <row r="421" spans="1:5" x14ac:dyDescent="0.2">
      <c r="A421" s="5">
        <v>45080.96416398148</v>
      </c>
      <c r="B421" s="1" t="s">
        <v>70</v>
      </c>
      <c r="C421">
        <v>2023</v>
      </c>
      <c r="D421" s="1" t="s">
        <v>110</v>
      </c>
      <c r="E421" s="6" t="s">
        <v>477</v>
      </c>
    </row>
    <row r="422" spans="1:5" x14ac:dyDescent="0.2">
      <c r="A422" s="5">
        <v>45081.187669409723</v>
      </c>
      <c r="B422" s="1" t="s">
        <v>76</v>
      </c>
      <c r="C422">
        <v>2023</v>
      </c>
      <c r="D422" s="1" t="s">
        <v>110</v>
      </c>
      <c r="E422" s="6" t="s">
        <v>478</v>
      </c>
    </row>
    <row r="423" spans="1:5" x14ac:dyDescent="0.2">
      <c r="A423" s="5">
        <v>45081.518627800921</v>
      </c>
      <c r="B423" s="1" t="s">
        <v>43</v>
      </c>
      <c r="C423">
        <v>2023</v>
      </c>
      <c r="D423" s="1" t="s">
        <v>110</v>
      </c>
      <c r="E423" s="6" t="s">
        <v>479</v>
      </c>
    </row>
    <row r="424" spans="1:5" x14ac:dyDescent="0.2">
      <c r="A424" s="5">
        <v>45081.559951331015</v>
      </c>
      <c r="B424" s="1" t="s">
        <v>378</v>
      </c>
      <c r="C424">
        <v>2023</v>
      </c>
      <c r="D424" s="1" t="s">
        <v>110</v>
      </c>
      <c r="E424" s="6" t="s">
        <v>480</v>
      </c>
    </row>
    <row r="425" spans="1:5" x14ac:dyDescent="0.2">
      <c r="A425" s="5">
        <v>45081.622509837965</v>
      </c>
      <c r="B425" s="1" t="s">
        <v>22</v>
      </c>
      <c r="C425">
        <v>2023</v>
      </c>
      <c r="D425" s="1" t="s">
        <v>110</v>
      </c>
      <c r="E425" s="6" t="s">
        <v>481</v>
      </c>
    </row>
    <row r="426" spans="1:5" x14ac:dyDescent="0.2">
      <c r="A426" s="5">
        <v>45081.683535775461</v>
      </c>
      <c r="B426" s="1" t="s">
        <v>58</v>
      </c>
      <c r="C426">
        <v>2023</v>
      </c>
      <c r="D426" s="1" t="s">
        <v>110</v>
      </c>
      <c r="E426" s="6" t="s">
        <v>482</v>
      </c>
    </row>
    <row r="427" spans="1:5" x14ac:dyDescent="0.2">
      <c r="A427" s="5">
        <v>45081.815321678238</v>
      </c>
      <c r="B427" s="1" t="s">
        <v>66</v>
      </c>
      <c r="C427">
        <v>2023</v>
      </c>
      <c r="D427" s="1" t="s">
        <v>110</v>
      </c>
      <c r="E427" s="6" t="s">
        <v>483</v>
      </c>
    </row>
    <row r="428" spans="1:5" x14ac:dyDescent="0.2">
      <c r="A428" s="5">
        <v>45081.81970018518</v>
      </c>
      <c r="B428" s="1" t="s">
        <v>49</v>
      </c>
      <c r="C428">
        <v>2023</v>
      </c>
      <c r="D428" s="1" t="s">
        <v>110</v>
      </c>
      <c r="E428" s="6" t="s">
        <v>484</v>
      </c>
    </row>
    <row r="429" spans="1:5" x14ac:dyDescent="0.2">
      <c r="A429" s="5">
        <v>45081.849877314817</v>
      </c>
      <c r="B429" s="1" t="s">
        <v>397</v>
      </c>
      <c r="C429">
        <v>2023</v>
      </c>
      <c r="D429" s="1" t="s">
        <v>110</v>
      </c>
      <c r="E429" s="6" t="s">
        <v>485</v>
      </c>
    </row>
    <row r="430" spans="1:5" x14ac:dyDescent="0.2">
      <c r="A430" s="5">
        <v>45081.863523090273</v>
      </c>
      <c r="B430" s="1" t="s">
        <v>348</v>
      </c>
      <c r="C430">
        <v>2023</v>
      </c>
      <c r="D430" s="1" t="s">
        <v>110</v>
      </c>
      <c r="E430" s="6" t="s">
        <v>486</v>
      </c>
    </row>
    <row r="431" spans="1:5" x14ac:dyDescent="0.2">
      <c r="A431" s="5">
        <v>45082.324332812495</v>
      </c>
      <c r="B431" s="1" t="s">
        <v>464</v>
      </c>
      <c r="C431">
        <v>2023</v>
      </c>
      <c r="D431" s="1" t="s">
        <v>110</v>
      </c>
      <c r="E431" s="6" t="s">
        <v>487</v>
      </c>
    </row>
    <row r="432" spans="1:5" x14ac:dyDescent="0.2">
      <c r="A432" s="5">
        <v>45082.369473888888</v>
      </c>
      <c r="B432" s="1" t="s">
        <v>451</v>
      </c>
      <c r="C432">
        <v>2023</v>
      </c>
      <c r="D432" s="1" t="s">
        <v>110</v>
      </c>
      <c r="E432" s="6" t="s">
        <v>488</v>
      </c>
    </row>
    <row r="433" spans="1:5" x14ac:dyDescent="0.2">
      <c r="A433" s="5">
        <v>45082.386685821759</v>
      </c>
      <c r="B433" s="1" t="s">
        <v>330</v>
      </c>
      <c r="C433">
        <v>2023</v>
      </c>
      <c r="D433" s="1" t="s">
        <v>110</v>
      </c>
      <c r="E433" s="6" t="s">
        <v>489</v>
      </c>
    </row>
    <row r="434" spans="1:5" x14ac:dyDescent="0.2">
      <c r="A434" s="5">
        <v>45082.440989768518</v>
      </c>
      <c r="B434" s="1" t="s">
        <v>35</v>
      </c>
      <c r="C434">
        <v>2023</v>
      </c>
      <c r="D434" s="1" t="s">
        <v>110</v>
      </c>
      <c r="E434" s="6" t="s">
        <v>490</v>
      </c>
    </row>
    <row r="435" spans="1:5" x14ac:dyDescent="0.2">
      <c r="A435" s="5">
        <v>45082.530684814818</v>
      </c>
      <c r="B435" s="1" t="s">
        <v>18</v>
      </c>
      <c r="C435">
        <v>2023</v>
      </c>
      <c r="D435" s="1" t="s">
        <v>110</v>
      </c>
      <c r="E435" s="6" t="s">
        <v>491</v>
      </c>
    </row>
    <row r="436" spans="1:5" x14ac:dyDescent="0.2">
      <c r="A436" s="5">
        <v>45082.579110358798</v>
      </c>
      <c r="B436" s="1" t="s">
        <v>27</v>
      </c>
      <c r="C436">
        <v>2023</v>
      </c>
      <c r="D436" s="1" t="s">
        <v>110</v>
      </c>
      <c r="E436" s="6" t="s">
        <v>492</v>
      </c>
    </row>
    <row r="437" spans="1:5" x14ac:dyDescent="0.2">
      <c r="A437" s="5">
        <v>45082.595370555558</v>
      </c>
      <c r="B437" s="1" t="s">
        <v>18</v>
      </c>
      <c r="C437">
        <v>2023</v>
      </c>
      <c r="D437" s="1" t="s">
        <v>110</v>
      </c>
      <c r="E437" s="6" t="s">
        <v>493</v>
      </c>
    </row>
    <row r="438" spans="1:5" x14ac:dyDescent="0.2">
      <c r="A438" s="5">
        <v>45082.626402685186</v>
      </c>
      <c r="B438" s="1" t="s">
        <v>53</v>
      </c>
      <c r="C438">
        <v>2023</v>
      </c>
      <c r="D438" s="1" t="s">
        <v>110</v>
      </c>
      <c r="E438" s="6" t="s">
        <v>494</v>
      </c>
    </row>
    <row r="439" spans="1:5" x14ac:dyDescent="0.2">
      <c r="A439" s="5">
        <v>45082.887029872683</v>
      </c>
      <c r="B439" s="1" t="s">
        <v>37</v>
      </c>
      <c r="C439">
        <v>2023</v>
      </c>
      <c r="D439" s="1" t="s">
        <v>110</v>
      </c>
      <c r="E439" s="6" t="s">
        <v>495</v>
      </c>
    </row>
    <row r="440" spans="1:5" x14ac:dyDescent="0.2">
      <c r="A440" s="5">
        <v>45083.329668101855</v>
      </c>
      <c r="B440" s="1" t="s">
        <v>29</v>
      </c>
      <c r="C440">
        <v>2023</v>
      </c>
      <c r="D440" s="1" t="s">
        <v>110</v>
      </c>
      <c r="E440" s="6" t="s">
        <v>496</v>
      </c>
    </row>
    <row r="441" spans="1:5" x14ac:dyDescent="0.2">
      <c r="A441" s="5">
        <v>45083.330311284721</v>
      </c>
      <c r="B441" s="1" t="s">
        <v>8</v>
      </c>
      <c r="C441">
        <v>2023</v>
      </c>
      <c r="D441" s="1" t="s">
        <v>110</v>
      </c>
      <c r="E441" s="6" t="s">
        <v>497</v>
      </c>
    </row>
    <row r="442" spans="1:5" x14ac:dyDescent="0.2">
      <c r="A442" s="5">
        <v>45083.339270520832</v>
      </c>
      <c r="B442" s="1" t="s">
        <v>31</v>
      </c>
      <c r="C442">
        <v>2023</v>
      </c>
      <c r="D442" s="1" t="s">
        <v>139</v>
      </c>
      <c r="E442" s="6" t="s">
        <v>498</v>
      </c>
    </row>
    <row r="443" spans="1:5" x14ac:dyDescent="0.2">
      <c r="A443" s="5">
        <v>45083.383095231482</v>
      </c>
      <c r="B443" s="1" t="s">
        <v>64</v>
      </c>
      <c r="C443">
        <v>2023</v>
      </c>
      <c r="D443" s="1" t="s">
        <v>110</v>
      </c>
      <c r="E443" s="6" t="s">
        <v>499</v>
      </c>
    </row>
    <row r="444" spans="1:5" x14ac:dyDescent="0.2">
      <c r="A444" s="5">
        <v>45084.369775613421</v>
      </c>
      <c r="B444" s="1" t="s">
        <v>8</v>
      </c>
      <c r="C444">
        <v>2023</v>
      </c>
      <c r="D444" s="1" t="s">
        <v>78</v>
      </c>
      <c r="E444" s="6" t="s">
        <v>500</v>
      </c>
    </row>
    <row r="445" spans="1:5" x14ac:dyDescent="0.2">
      <c r="A445" s="5">
        <v>45084.376751180556</v>
      </c>
      <c r="B445" s="1" t="s">
        <v>8</v>
      </c>
      <c r="C445">
        <v>2023</v>
      </c>
      <c r="D445" s="1" t="s">
        <v>110</v>
      </c>
      <c r="E445" s="6" t="s">
        <v>501</v>
      </c>
    </row>
    <row r="446" spans="1:5" x14ac:dyDescent="0.2">
      <c r="A446" s="5">
        <v>45104.543871655093</v>
      </c>
      <c r="B446" s="1" t="s">
        <v>20</v>
      </c>
      <c r="C446">
        <v>2023</v>
      </c>
      <c r="D446" s="1" t="s">
        <v>139</v>
      </c>
      <c r="E446" s="6" t="s">
        <v>502</v>
      </c>
    </row>
    <row r="447" spans="1:5" x14ac:dyDescent="0.2">
      <c r="A447" s="5">
        <v>45107.633331157413</v>
      </c>
      <c r="B447" s="1" t="s">
        <v>11</v>
      </c>
      <c r="C447">
        <v>2023</v>
      </c>
      <c r="D447" s="1" t="s">
        <v>139</v>
      </c>
      <c r="E447" s="6" t="s">
        <v>503</v>
      </c>
    </row>
    <row r="448" spans="1:5" x14ac:dyDescent="0.2">
      <c r="A448" s="5">
        <v>45108.893570995366</v>
      </c>
      <c r="B448" s="1" t="s">
        <v>49</v>
      </c>
      <c r="C448">
        <v>2023</v>
      </c>
      <c r="D448" s="1" t="s">
        <v>139</v>
      </c>
      <c r="E448" s="6" t="s">
        <v>504</v>
      </c>
    </row>
    <row r="449" spans="1:5" x14ac:dyDescent="0.2">
      <c r="A449" s="5">
        <v>45109.703870347221</v>
      </c>
      <c r="B449" s="1" t="s">
        <v>68</v>
      </c>
      <c r="C449">
        <v>2023</v>
      </c>
      <c r="D449" s="1" t="s">
        <v>139</v>
      </c>
      <c r="E449" s="6" t="s">
        <v>505</v>
      </c>
    </row>
    <row r="450" spans="1:5" x14ac:dyDescent="0.2">
      <c r="A450" s="5">
        <v>45109.847906655094</v>
      </c>
      <c r="B450" s="1" t="s">
        <v>58</v>
      </c>
      <c r="C450">
        <v>2023</v>
      </c>
      <c r="D450" s="1" t="s">
        <v>139</v>
      </c>
      <c r="E450" s="6" t="s">
        <v>506</v>
      </c>
    </row>
    <row r="451" spans="1:5" x14ac:dyDescent="0.2">
      <c r="A451" s="5">
        <v>45110.386122685188</v>
      </c>
      <c r="B451" s="1" t="s">
        <v>451</v>
      </c>
      <c r="C451">
        <v>2023</v>
      </c>
      <c r="D451" s="1" t="s">
        <v>139</v>
      </c>
      <c r="E451" s="6" t="s">
        <v>507</v>
      </c>
    </row>
    <row r="452" spans="1:5" x14ac:dyDescent="0.2">
      <c r="A452" s="5">
        <v>45110.401436122687</v>
      </c>
      <c r="B452" s="1" t="s">
        <v>27</v>
      </c>
      <c r="C452">
        <v>2023</v>
      </c>
      <c r="D452" s="1" t="s">
        <v>139</v>
      </c>
      <c r="E452" s="6" t="s">
        <v>508</v>
      </c>
    </row>
    <row r="453" spans="1:5" x14ac:dyDescent="0.2">
      <c r="A453" s="5">
        <v>45110.406069837962</v>
      </c>
      <c r="B453" s="1" t="s">
        <v>18</v>
      </c>
      <c r="C453">
        <v>2023</v>
      </c>
      <c r="D453" s="1" t="s">
        <v>139</v>
      </c>
      <c r="E453" s="6" t="s">
        <v>509</v>
      </c>
    </row>
    <row r="454" spans="1:5" x14ac:dyDescent="0.2">
      <c r="A454" s="5">
        <v>45110.435558333338</v>
      </c>
      <c r="B454" s="1" t="s">
        <v>45</v>
      </c>
      <c r="C454">
        <v>2023</v>
      </c>
      <c r="D454" s="1" t="s">
        <v>139</v>
      </c>
      <c r="E454" s="6" t="s">
        <v>510</v>
      </c>
    </row>
    <row r="455" spans="1:5" x14ac:dyDescent="0.2">
      <c r="A455" s="5">
        <v>45110.480668263888</v>
      </c>
      <c r="B455" s="1" t="s">
        <v>37</v>
      </c>
      <c r="C455">
        <v>2023</v>
      </c>
      <c r="D455" s="1" t="s">
        <v>139</v>
      </c>
      <c r="E455" s="6" t="s">
        <v>511</v>
      </c>
    </row>
    <row r="456" spans="1:5" x14ac:dyDescent="0.2">
      <c r="A456" s="5">
        <v>45110.498821400462</v>
      </c>
      <c r="B456" s="1" t="s">
        <v>39</v>
      </c>
      <c r="C456">
        <v>2023</v>
      </c>
      <c r="D456" s="1" t="s">
        <v>139</v>
      </c>
      <c r="E456" s="6" t="s">
        <v>512</v>
      </c>
    </row>
    <row r="457" spans="1:5" x14ac:dyDescent="0.2">
      <c r="A457" s="5">
        <v>45110.502898761573</v>
      </c>
      <c r="B457" s="1" t="s">
        <v>29</v>
      </c>
      <c r="C457">
        <v>2023</v>
      </c>
      <c r="D457" s="1" t="s">
        <v>139</v>
      </c>
      <c r="E457" s="6" t="s">
        <v>513</v>
      </c>
    </row>
    <row r="458" spans="1:5" x14ac:dyDescent="0.2">
      <c r="A458" s="5">
        <v>45110.654897337961</v>
      </c>
      <c r="B458" s="1" t="s">
        <v>70</v>
      </c>
      <c r="C458">
        <v>2023</v>
      </c>
      <c r="D458" s="1" t="s">
        <v>139</v>
      </c>
      <c r="E458" s="6" t="s">
        <v>514</v>
      </c>
    </row>
    <row r="459" spans="1:5" x14ac:dyDescent="0.2">
      <c r="A459" s="5">
        <v>45110.655911099537</v>
      </c>
      <c r="B459" s="1" t="s">
        <v>43</v>
      </c>
      <c r="C459">
        <v>2023</v>
      </c>
      <c r="D459" s="1" t="s">
        <v>139</v>
      </c>
      <c r="E459" s="6" t="s">
        <v>515</v>
      </c>
    </row>
    <row r="460" spans="1:5" x14ac:dyDescent="0.2">
      <c r="A460" s="5">
        <v>45110.662014421294</v>
      </c>
      <c r="B460" s="1" t="s">
        <v>53</v>
      </c>
      <c r="C460">
        <v>2023</v>
      </c>
      <c r="D460" s="1" t="s">
        <v>166</v>
      </c>
      <c r="E460" s="6" t="s">
        <v>516</v>
      </c>
    </row>
    <row r="461" spans="1:5" x14ac:dyDescent="0.2">
      <c r="A461" s="5">
        <v>45111.336856620372</v>
      </c>
      <c r="B461" s="1" t="s">
        <v>22</v>
      </c>
      <c r="C461">
        <v>2023</v>
      </c>
      <c r="D461" s="1" t="s">
        <v>139</v>
      </c>
      <c r="E461" s="6" t="s">
        <v>517</v>
      </c>
    </row>
    <row r="462" spans="1:5" x14ac:dyDescent="0.2">
      <c r="A462" s="5">
        <v>45111.569866388891</v>
      </c>
      <c r="B462" s="1" t="s">
        <v>13</v>
      </c>
      <c r="C462">
        <v>2023</v>
      </c>
      <c r="D462" s="1" t="s">
        <v>139</v>
      </c>
      <c r="E462" s="6" t="s">
        <v>518</v>
      </c>
    </row>
    <row r="463" spans="1:5" x14ac:dyDescent="0.2">
      <c r="A463" s="5">
        <v>45111.572521944443</v>
      </c>
      <c r="B463" s="1" t="s">
        <v>56</v>
      </c>
      <c r="C463">
        <v>2023</v>
      </c>
      <c r="D463" s="1" t="s">
        <v>139</v>
      </c>
      <c r="E463" s="6" t="s">
        <v>519</v>
      </c>
    </row>
    <row r="464" spans="1:5" x14ac:dyDescent="0.2">
      <c r="A464" s="5">
        <v>45112.264341921298</v>
      </c>
      <c r="B464" s="1" t="s">
        <v>62</v>
      </c>
      <c r="C464">
        <v>2023</v>
      </c>
      <c r="D464" s="1" t="s">
        <v>139</v>
      </c>
      <c r="E464" s="6" t="s">
        <v>520</v>
      </c>
    </row>
    <row r="465" spans="1:5" x14ac:dyDescent="0.2">
      <c r="A465" s="5">
        <v>45112.367834606484</v>
      </c>
      <c r="B465" s="1" t="s">
        <v>348</v>
      </c>
      <c r="C465">
        <v>2023</v>
      </c>
      <c r="D465" s="1" t="s">
        <v>139</v>
      </c>
      <c r="E465" s="6" t="s">
        <v>521</v>
      </c>
    </row>
    <row r="466" spans="1:5" x14ac:dyDescent="0.2">
      <c r="A466" s="5">
        <v>45112.397945717588</v>
      </c>
      <c r="B466" s="1" t="s">
        <v>378</v>
      </c>
      <c r="C466">
        <v>2023</v>
      </c>
      <c r="D466" s="1" t="s">
        <v>139</v>
      </c>
      <c r="E466" s="6" t="s">
        <v>522</v>
      </c>
    </row>
    <row r="467" spans="1:5" x14ac:dyDescent="0.2">
      <c r="A467" s="5">
        <v>45112.428542708338</v>
      </c>
      <c r="B467" s="1" t="s">
        <v>35</v>
      </c>
      <c r="C467">
        <v>2023</v>
      </c>
      <c r="D467" s="1" t="s">
        <v>139</v>
      </c>
      <c r="E467" s="6" t="s">
        <v>523</v>
      </c>
    </row>
    <row r="468" spans="1:5" x14ac:dyDescent="0.2">
      <c r="A468" s="5">
        <v>45112.482922361116</v>
      </c>
      <c r="B468" s="1" t="s">
        <v>47</v>
      </c>
      <c r="C468">
        <v>2023</v>
      </c>
      <c r="D468" s="1" t="s">
        <v>139</v>
      </c>
      <c r="E468" s="6" t="s">
        <v>524</v>
      </c>
    </row>
    <row r="469" spans="1:5" x14ac:dyDescent="0.2">
      <c r="A469" s="5">
        <v>45112.536766898149</v>
      </c>
      <c r="B469" s="1" t="s">
        <v>31</v>
      </c>
      <c r="C469">
        <v>2023</v>
      </c>
      <c r="D469" s="1" t="s">
        <v>166</v>
      </c>
      <c r="E469" s="6" t="s">
        <v>525</v>
      </c>
    </row>
    <row r="470" spans="1:5" x14ac:dyDescent="0.2">
      <c r="A470" s="5">
        <v>45112.847177615738</v>
      </c>
      <c r="B470" s="1" t="s">
        <v>76</v>
      </c>
      <c r="C470">
        <v>2023</v>
      </c>
      <c r="D470" s="1" t="s">
        <v>139</v>
      </c>
      <c r="E470" s="6" t="s">
        <v>526</v>
      </c>
    </row>
    <row r="471" spans="1:5" x14ac:dyDescent="0.2">
      <c r="A471" s="5">
        <v>45112.878272256945</v>
      </c>
      <c r="B471" s="1" t="s">
        <v>464</v>
      </c>
      <c r="C471">
        <v>2023</v>
      </c>
      <c r="D471" s="1" t="s">
        <v>139</v>
      </c>
      <c r="E471" s="6" t="s">
        <v>527</v>
      </c>
    </row>
    <row r="472" spans="1:5" x14ac:dyDescent="0.2">
      <c r="A472" s="5">
        <v>45114.644681909718</v>
      </c>
      <c r="B472" s="1" t="s">
        <v>8</v>
      </c>
      <c r="C472">
        <v>2023</v>
      </c>
      <c r="D472" s="1" t="s">
        <v>139</v>
      </c>
      <c r="E472" s="6" t="s">
        <v>528</v>
      </c>
    </row>
    <row r="473" spans="1:5" x14ac:dyDescent="0.2">
      <c r="A473" s="5">
        <v>45138.624299201387</v>
      </c>
      <c r="B473" s="1" t="s">
        <v>13</v>
      </c>
      <c r="C473">
        <v>2023</v>
      </c>
      <c r="D473" s="1" t="s">
        <v>166</v>
      </c>
      <c r="E473" s="6" t="s">
        <v>529</v>
      </c>
    </row>
    <row r="474" spans="1:5" x14ac:dyDescent="0.2">
      <c r="A474" s="5">
        <v>45139.451020034721</v>
      </c>
      <c r="B474" s="1" t="s">
        <v>451</v>
      </c>
      <c r="C474">
        <v>2023</v>
      </c>
      <c r="D474" s="1" t="s">
        <v>166</v>
      </c>
      <c r="E474" s="6" t="s">
        <v>530</v>
      </c>
    </row>
    <row r="475" spans="1:5" x14ac:dyDescent="0.2">
      <c r="A475" s="5">
        <v>45139.454607407402</v>
      </c>
      <c r="B475" s="1" t="s">
        <v>11</v>
      </c>
      <c r="C475">
        <v>2023</v>
      </c>
      <c r="D475" s="1" t="s">
        <v>166</v>
      </c>
      <c r="E475" s="6" t="s">
        <v>531</v>
      </c>
    </row>
    <row r="476" spans="1:5" x14ac:dyDescent="0.2">
      <c r="A476" s="5">
        <v>45139.463657372689</v>
      </c>
      <c r="B476" s="1" t="s">
        <v>58</v>
      </c>
      <c r="C476">
        <v>2023</v>
      </c>
      <c r="D476" s="1" t="s">
        <v>166</v>
      </c>
      <c r="E476" s="6" t="s">
        <v>532</v>
      </c>
    </row>
    <row r="477" spans="1:5" x14ac:dyDescent="0.2">
      <c r="A477" s="5">
        <v>45139.478556145834</v>
      </c>
      <c r="B477" s="1" t="s">
        <v>24</v>
      </c>
      <c r="C477">
        <v>2023</v>
      </c>
      <c r="D477" s="1" t="s">
        <v>166</v>
      </c>
      <c r="E477" s="6" t="s">
        <v>533</v>
      </c>
    </row>
    <row r="478" spans="1:5" x14ac:dyDescent="0.2">
      <c r="A478" s="5">
        <v>45139.49240289352</v>
      </c>
      <c r="B478" s="1" t="s">
        <v>35</v>
      </c>
      <c r="C478">
        <v>2023</v>
      </c>
      <c r="D478" s="1" t="s">
        <v>166</v>
      </c>
      <c r="E478" s="6" t="s">
        <v>534</v>
      </c>
    </row>
    <row r="479" spans="1:5" x14ac:dyDescent="0.2">
      <c r="A479" s="5">
        <v>45139.541985312499</v>
      </c>
      <c r="B479" s="1" t="s">
        <v>18</v>
      </c>
      <c r="C479">
        <v>2023</v>
      </c>
      <c r="D479" s="1" t="s">
        <v>166</v>
      </c>
      <c r="E479" s="6" t="s">
        <v>535</v>
      </c>
    </row>
    <row r="480" spans="1:5" x14ac:dyDescent="0.2">
      <c r="A480" s="5">
        <v>45139.786406666666</v>
      </c>
      <c r="B480" s="1" t="s">
        <v>68</v>
      </c>
      <c r="C480">
        <v>2023</v>
      </c>
      <c r="D480" s="1" t="s">
        <v>166</v>
      </c>
      <c r="E480" s="6" t="s">
        <v>536</v>
      </c>
    </row>
    <row r="481" spans="1:5" x14ac:dyDescent="0.2">
      <c r="A481" s="5">
        <v>45140.342490925927</v>
      </c>
      <c r="B481" s="1" t="s">
        <v>45</v>
      </c>
      <c r="C481">
        <v>2023</v>
      </c>
      <c r="D481" s="1" t="s">
        <v>166</v>
      </c>
      <c r="E481" s="6" t="s">
        <v>537</v>
      </c>
    </row>
    <row r="482" spans="1:5" x14ac:dyDescent="0.2">
      <c r="A482" s="5">
        <v>45140.345712523151</v>
      </c>
      <c r="B482" s="1" t="s">
        <v>53</v>
      </c>
      <c r="C482">
        <v>2023</v>
      </c>
      <c r="D482" s="1" t="s">
        <v>166</v>
      </c>
      <c r="E482" s="6" t="s">
        <v>538</v>
      </c>
    </row>
    <row r="483" spans="1:5" x14ac:dyDescent="0.2">
      <c r="A483" s="5">
        <v>45140.445367233799</v>
      </c>
      <c r="B483" s="1" t="s">
        <v>47</v>
      </c>
      <c r="C483">
        <v>2023</v>
      </c>
      <c r="D483" s="1" t="s">
        <v>166</v>
      </c>
      <c r="E483" s="6" t="s">
        <v>539</v>
      </c>
    </row>
    <row r="484" spans="1:5" x14ac:dyDescent="0.2">
      <c r="A484" s="5">
        <v>45140.490813229168</v>
      </c>
      <c r="B484" s="1" t="s">
        <v>29</v>
      </c>
      <c r="C484">
        <v>2023</v>
      </c>
      <c r="D484" s="1" t="s">
        <v>166</v>
      </c>
      <c r="E484" s="6" t="s">
        <v>540</v>
      </c>
    </row>
    <row r="485" spans="1:5" x14ac:dyDescent="0.2">
      <c r="A485" s="5">
        <v>45141.337426377315</v>
      </c>
      <c r="B485" s="1" t="s">
        <v>330</v>
      </c>
      <c r="C485">
        <v>2023</v>
      </c>
      <c r="D485" s="1" t="s">
        <v>166</v>
      </c>
      <c r="E485" s="6" t="s">
        <v>541</v>
      </c>
    </row>
    <row r="486" spans="1:5" x14ac:dyDescent="0.2">
      <c r="A486" s="5">
        <v>45141.362493715278</v>
      </c>
      <c r="B486" s="1" t="s">
        <v>56</v>
      </c>
      <c r="C486">
        <v>2023</v>
      </c>
      <c r="D486" s="1" t="s">
        <v>166</v>
      </c>
      <c r="E486" s="6" t="s">
        <v>542</v>
      </c>
    </row>
    <row r="487" spans="1:5" x14ac:dyDescent="0.2">
      <c r="A487" s="5">
        <v>45141.363517905091</v>
      </c>
      <c r="B487" s="1" t="s">
        <v>11</v>
      </c>
      <c r="C487">
        <v>2023</v>
      </c>
      <c r="D487" s="1" t="s">
        <v>166</v>
      </c>
      <c r="E487" s="6" t="s">
        <v>543</v>
      </c>
    </row>
    <row r="488" spans="1:5" x14ac:dyDescent="0.2">
      <c r="A488" s="5">
        <v>45141.517996111113</v>
      </c>
      <c r="B488" s="1" t="s">
        <v>37</v>
      </c>
      <c r="C488">
        <v>2023</v>
      </c>
      <c r="D488" s="1" t="s">
        <v>166</v>
      </c>
      <c r="E488" s="6" t="s">
        <v>544</v>
      </c>
    </row>
    <row r="489" spans="1:5" x14ac:dyDescent="0.2">
      <c r="A489" s="5">
        <v>45142.66681278935</v>
      </c>
      <c r="B489" s="1" t="s">
        <v>70</v>
      </c>
      <c r="C489">
        <v>2023</v>
      </c>
      <c r="D489" s="1" t="s">
        <v>166</v>
      </c>
      <c r="E489" s="6" t="s">
        <v>545</v>
      </c>
    </row>
    <row r="490" spans="1:5" x14ac:dyDescent="0.2">
      <c r="A490" s="5">
        <v>45142.68692177083</v>
      </c>
      <c r="B490" s="1" t="s">
        <v>8</v>
      </c>
      <c r="C490">
        <v>2023</v>
      </c>
      <c r="D490" s="1" t="s">
        <v>166</v>
      </c>
      <c r="E490" s="6" t="s">
        <v>546</v>
      </c>
    </row>
    <row r="491" spans="1:5" x14ac:dyDescent="0.2">
      <c r="A491" s="5">
        <v>45142.687881203703</v>
      </c>
      <c r="B491" s="1" t="s">
        <v>39</v>
      </c>
      <c r="C491">
        <v>2023</v>
      </c>
      <c r="D491" s="1" t="s">
        <v>166</v>
      </c>
      <c r="E491" s="6" t="s">
        <v>547</v>
      </c>
    </row>
    <row r="492" spans="1:5" x14ac:dyDescent="0.2">
      <c r="A492" s="5">
        <v>45145.274132592589</v>
      </c>
      <c r="B492" s="1" t="s">
        <v>348</v>
      </c>
      <c r="C492">
        <v>2023</v>
      </c>
      <c r="D492" s="1" t="s">
        <v>166</v>
      </c>
      <c r="E492" s="6" t="s">
        <v>548</v>
      </c>
    </row>
    <row r="493" spans="1:5" x14ac:dyDescent="0.2">
      <c r="A493" s="5">
        <v>45145.306001608798</v>
      </c>
      <c r="B493" s="1" t="s">
        <v>22</v>
      </c>
      <c r="C493">
        <v>2023</v>
      </c>
      <c r="D493" s="1" t="s">
        <v>166</v>
      </c>
      <c r="E493" s="6" t="s">
        <v>549</v>
      </c>
    </row>
    <row r="494" spans="1:5" x14ac:dyDescent="0.2">
      <c r="A494" s="5">
        <v>45145.332790046297</v>
      </c>
      <c r="B494" s="1" t="s">
        <v>76</v>
      </c>
      <c r="C494">
        <v>2023</v>
      </c>
      <c r="D494" s="1" t="s">
        <v>166</v>
      </c>
      <c r="E494" s="6" t="s">
        <v>550</v>
      </c>
    </row>
    <row r="495" spans="1:5" x14ac:dyDescent="0.2">
      <c r="A495" s="5">
        <v>45145.45777119213</v>
      </c>
      <c r="B495" s="1" t="s">
        <v>62</v>
      </c>
      <c r="C495">
        <v>2023</v>
      </c>
      <c r="D495" s="1" t="s">
        <v>166</v>
      </c>
      <c r="E495" s="6" t="s">
        <v>551</v>
      </c>
    </row>
    <row r="496" spans="1:5" x14ac:dyDescent="0.2">
      <c r="A496" s="5">
        <v>45145.532279837964</v>
      </c>
      <c r="B496" s="1" t="s">
        <v>378</v>
      </c>
      <c r="C496">
        <v>2023</v>
      </c>
      <c r="D496" s="1" t="s">
        <v>166</v>
      </c>
      <c r="E496" s="6" t="s">
        <v>552</v>
      </c>
    </row>
    <row r="497" spans="1:5" x14ac:dyDescent="0.2">
      <c r="A497" s="5">
        <v>45145.54199002315</v>
      </c>
      <c r="B497" s="1" t="s">
        <v>27</v>
      </c>
      <c r="C497">
        <v>2023</v>
      </c>
      <c r="D497" s="1" t="s">
        <v>166</v>
      </c>
      <c r="E497" s="6" t="s">
        <v>553</v>
      </c>
    </row>
    <row r="498" spans="1:5" x14ac:dyDescent="0.2">
      <c r="A498" s="5">
        <v>45145.568927766202</v>
      </c>
      <c r="B498" s="1" t="s">
        <v>464</v>
      </c>
      <c r="C498">
        <v>2023</v>
      </c>
      <c r="D498" s="1" t="s">
        <v>166</v>
      </c>
      <c r="E498" s="6" t="s">
        <v>554</v>
      </c>
    </row>
    <row r="499" spans="1:5" x14ac:dyDescent="0.2">
      <c r="A499" s="5">
        <v>45147.408342314811</v>
      </c>
      <c r="B499" s="1" t="s">
        <v>43</v>
      </c>
      <c r="C499">
        <v>2023</v>
      </c>
      <c r="D499" s="1" t="s">
        <v>166</v>
      </c>
      <c r="E499" s="6" t="s">
        <v>555</v>
      </c>
    </row>
    <row r="500" spans="1:5" x14ac:dyDescent="0.2">
      <c r="A500" s="5">
        <v>45169.430305694448</v>
      </c>
      <c r="B500" s="1" t="s">
        <v>53</v>
      </c>
      <c r="C500">
        <v>2023</v>
      </c>
      <c r="D500" s="1" t="s">
        <v>196</v>
      </c>
      <c r="E500" s="6" t="s">
        <v>556</v>
      </c>
    </row>
    <row r="501" spans="1:5" x14ac:dyDescent="0.2">
      <c r="A501" s="5">
        <v>45170.421219606476</v>
      </c>
      <c r="B501" s="1" t="s">
        <v>22</v>
      </c>
      <c r="C501">
        <v>2023</v>
      </c>
      <c r="D501" s="1" t="s">
        <v>196</v>
      </c>
      <c r="E501" s="6" t="s">
        <v>557</v>
      </c>
    </row>
    <row r="502" spans="1:5" x14ac:dyDescent="0.2">
      <c r="A502" s="5">
        <v>45170.425330462967</v>
      </c>
      <c r="B502" s="1" t="s">
        <v>13</v>
      </c>
      <c r="C502">
        <v>2023</v>
      </c>
      <c r="D502" s="1" t="s">
        <v>196</v>
      </c>
      <c r="E502" s="6" t="s">
        <v>558</v>
      </c>
    </row>
    <row r="503" spans="1:5" x14ac:dyDescent="0.2">
      <c r="A503" s="5">
        <v>45170.429101064816</v>
      </c>
      <c r="B503" s="1" t="s">
        <v>451</v>
      </c>
      <c r="C503">
        <v>2023</v>
      </c>
      <c r="D503" s="1" t="s">
        <v>196</v>
      </c>
      <c r="E503" s="6" t="s">
        <v>559</v>
      </c>
    </row>
    <row r="504" spans="1:5" x14ac:dyDescent="0.2">
      <c r="A504" s="5">
        <v>45170.430861342596</v>
      </c>
      <c r="B504" s="1" t="s">
        <v>464</v>
      </c>
      <c r="C504">
        <v>2023</v>
      </c>
      <c r="D504" s="1" t="s">
        <v>196</v>
      </c>
      <c r="E504" s="6" t="s">
        <v>560</v>
      </c>
    </row>
    <row r="505" spans="1:5" x14ac:dyDescent="0.2">
      <c r="A505" s="5">
        <v>45170.441824305555</v>
      </c>
      <c r="B505" s="1" t="s">
        <v>330</v>
      </c>
      <c r="C505">
        <v>2023</v>
      </c>
      <c r="D505" s="1" t="s">
        <v>196</v>
      </c>
      <c r="E505" s="6" t="s">
        <v>561</v>
      </c>
    </row>
    <row r="506" spans="1:5" x14ac:dyDescent="0.2">
      <c r="A506" s="5">
        <v>45170.466658032412</v>
      </c>
      <c r="B506" s="1" t="s">
        <v>11</v>
      </c>
      <c r="C506">
        <v>2023</v>
      </c>
      <c r="D506" s="1" t="s">
        <v>196</v>
      </c>
      <c r="E506" s="6" t="s">
        <v>562</v>
      </c>
    </row>
    <row r="507" spans="1:5" x14ac:dyDescent="0.2">
      <c r="A507" s="5">
        <v>45170.471976354165</v>
      </c>
      <c r="B507" s="1" t="s">
        <v>56</v>
      </c>
      <c r="C507">
        <v>2023</v>
      </c>
      <c r="D507" s="1" t="s">
        <v>196</v>
      </c>
      <c r="E507" s="6" t="s">
        <v>563</v>
      </c>
    </row>
    <row r="508" spans="1:5" x14ac:dyDescent="0.2">
      <c r="A508" s="5">
        <v>45170.539158206018</v>
      </c>
      <c r="B508" s="1" t="s">
        <v>24</v>
      </c>
      <c r="C508">
        <v>2023</v>
      </c>
      <c r="D508" s="1" t="s">
        <v>196</v>
      </c>
      <c r="E508" s="6" t="s">
        <v>564</v>
      </c>
    </row>
    <row r="509" spans="1:5" x14ac:dyDescent="0.2">
      <c r="A509" s="5">
        <v>45170.593361828709</v>
      </c>
      <c r="B509" s="1" t="s">
        <v>8</v>
      </c>
      <c r="C509">
        <v>2023</v>
      </c>
      <c r="D509" s="1" t="s">
        <v>196</v>
      </c>
      <c r="E509" s="6" t="s">
        <v>565</v>
      </c>
    </row>
    <row r="510" spans="1:5" x14ac:dyDescent="0.2">
      <c r="A510" s="5">
        <v>45170.606311944444</v>
      </c>
      <c r="B510" s="1" t="s">
        <v>37</v>
      </c>
      <c r="C510">
        <v>2023</v>
      </c>
      <c r="D510" s="1" t="s">
        <v>196</v>
      </c>
      <c r="E510" s="6" t="s">
        <v>566</v>
      </c>
    </row>
    <row r="511" spans="1:5" x14ac:dyDescent="0.2">
      <c r="A511" s="5">
        <v>45170.619101307871</v>
      </c>
      <c r="B511" s="1" t="s">
        <v>70</v>
      </c>
      <c r="C511">
        <v>2023</v>
      </c>
      <c r="D511" s="1" t="s">
        <v>196</v>
      </c>
      <c r="E511" s="6" t="s">
        <v>567</v>
      </c>
    </row>
    <row r="512" spans="1:5" x14ac:dyDescent="0.2">
      <c r="A512" s="5">
        <v>45173.277781076387</v>
      </c>
      <c r="B512" s="1" t="s">
        <v>58</v>
      </c>
      <c r="C512">
        <v>2023</v>
      </c>
      <c r="D512" s="1" t="s">
        <v>196</v>
      </c>
      <c r="E512" s="6" t="s">
        <v>568</v>
      </c>
    </row>
    <row r="513" spans="1:5" x14ac:dyDescent="0.2">
      <c r="A513" s="5">
        <v>45173.299788113422</v>
      </c>
      <c r="B513" s="1" t="s">
        <v>68</v>
      </c>
      <c r="C513">
        <v>2023</v>
      </c>
      <c r="D513" s="1" t="s">
        <v>196</v>
      </c>
      <c r="E513" s="6" t="s">
        <v>569</v>
      </c>
    </row>
    <row r="514" spans="1:5" x14ac:dyDescent="0.2">
      <c r="A514" s="5">
        <v>45173.301624490741</v>
      </c>
      <c r="B514" s="1" t="s">
        <v>39</v>
      </c>
      <c r="C514">
        <v>2023</v>
      </c>
      <c r="D514" s="1" t="s">
        <v>196</v>
      </c>
      <c r="E514" s="6" t="s">
        <v>570</v>
      </c>
    </row>
    <row r="515" spans="1:5" x14ac:dyDescent="0.2">
      <c r="A515" s="5">
        <v>45173.302031944448</v>
      </c>
      <c r="B515" s="1" t="s">
        <v>29</v>
      </c>
      <c r="C515">
        <v>2023</v>
      </c>
      <c r="D515" s="1" t="s">
        <v>196</v>
      </c>
      <c r="E515" s="6" t="s">
        <v>571</v>
      </c>
    </row>
    <row r="516" spans="1:5" x14ac:dyDescent="0.2">
      <c r="A516" s="5">
        <v>45173.368320856476</v>
      </c>
      <c r="B516" s="1" t="s">
        <v>27</v>
      </c>
      <c r="C516">
        <v>2023</v>
      </c>
      <c r="D516" s="1" t="s">
        <v>196</v>
      </c>
      <c r="E516" s="6" t="s">
        <v>572</v>
      </c>
    </row>
    <row r="517" spans="1:5" x14ac:dyDescent="0.2">
      <c r="A517" s="5">
        <v>45173.403432384264</v>
      </c>
      <c r="B517" s="1" t="s">
        <v>47</v>
      </c>
      <c r="C517">
        <v>2023</v>
      </c>
      <c r="D517" s="1" t="s">
        <v>196</v>
      </c>
      <c r="E517" s="6" t="s">
        <v>573</v>
      </c>
    </row>
    <row r="518" spans="1:5" x14ac:dyDescent="0.2">
      <c r="A518" s="5">
        <v>45173.457939166663</v>
      </c>
      <c r="B518" s="1" t="s">
        <v>45</v>
      </c>
      <c r="C518">
        <v>2023</v>
      </c>
      <c r="D518" s="1" t="s">
        <v>196</v>
      </c>
      <c r="E518" s="6" t="s">
        <v>574</v>
      </c>
    </row>
    <row r="519" spans="1:5" x14ac:dyDescent="0.2">
      <c r="A519" s="5">
        <v>45173.468543344905</v>
      </c>
      <c r="B519" s="1" t="s">
        <v>35</v>
      </c>
      <c r="C519">
        <v>2023</v>
      </c>
      <c r="D519" s="1" t="s">
        <v>196</v>
      </c>
      <c r="E519" s="6" t="s">
        <v>575</v>
      </c>
    </row>
    <row r="520" spans="1:5" x14ac:dyDescent="0.2">
      <c r="A520" s="5">
        <v>45173.470206168982</v>
      </c>
      <c r="B520" s="1" t="s">
        <v>43</v>
      </c>
      <c r="C520">
        <v>2023</v>
      </c>
      <c r="D520" s="1" t="s">
        <v>196</v>
      </c>
      <c r="E520" s="6" t="s">
        <v>576</v>
      </c>
    </row>
    <row r="521" spans="1:5" x14ac:dyDescent="0.2">
      <c r="A521" s="5">
        <v>45173.525766886574</v>
      </c>
      <c r="B521" s="1" t="s">
        <v>62</v>
      </c>
      <c r="C521">
        <v>2023</v>
      </c>
      <c r="D521" s="1" t="s">
        <v>196</v>
      </c>
      <c r="E521" s="6" t="s">
        <v>577</v>
      </c>
    </row>
    <row r="522" spans="1:5" x14ac:dyDescent="0.2">
      <c r="A522" s="5">
        <v>45173.581244699075</v>
      </c>
      <c r="B522" s="1" t="s">
        <v>76</v>
      </c>
      <c r="C522">
        <v>2023</v>
      </c>
      <c r="D522" s="1" t="s">
        <v>196</v>
      </c>
      <c r="E522" s="6" t="s">
        <v>578</v>
      </c>
    </row>
    <row r="523" spans="1:5" x14ac:dyDescent="0.2">
      <c r="A523" s="5">
        <v>45173.599456840282</v>
      </c>
      <c r="B523" s="1" t="s">
        <v>18</v>
      </c>
      <c r="C523">
        <v>2023</v>
      </c>
      <c r="D523" s="1" t="s">
        <v>196</v>
      </c>
      <c r="E523" s="6" t="s">
        <v>579</v>
      </c>
    </row>
    <row r="524" spans="1:5" x14ac:dyDescent="0.2">
      <c r="A524" s="5">
        <v>45174.416235474535</v>
      </c>
      <c r="B524" s="1" t="s">
        <v>378</v>
      </c>
      <c r="C524">
        <v>2023</v>
      </c>
      <c r="D524" s="1" t="s">
        <v>196</v>
      </c>
      <c r="E524" s="6" t="s">
        <v>580</v>
      </c>
    </row>
    <row r="525" spans="1:5" x14ac:dyDescent="0.2">
      <c r="A525" s="5">
        <v>45174.542530011575</v>
      </c>
      <c r="B525" s="1" t="s">
        <v>33</v>
      </c>
      <c r="C525">
        <v>2023</v>
      </c>
      <c r="D525" s="1" t="s">
        <v>196</v>
      </c>
      <c r="E525" s="6" t="s">
        <v>581</v>
      </c>
    </row>
    <row r="526" spans="1:5" x14ac:dyDescent="0.2">
      <c r="A526" s="5">
        <v>45201.397872777779</v>
      </c>
      <c r="B526" s="1" t="s">
        <v>11</v>
      </c>
      <c r="C526">
        <v>2023</v>
      </c>
      <c r="D526" s="1" t="s">
        <v>228</v>
      </c>
      <c r="E526" s="6" t="s">
        <v>582</v>
      </c>
    </row>
    <row r="527" spans="1:5" x14ac:dyDescent="0.2">
      <c r="A527" s="5">
        <v>45201.399466481482</v>
      </c>
      <c r="B527" s="1" t="s">
        <v>24</v>
      </c>
      <c r="C527">
        <v>2023</v>
      </c>
      <c r="D527" s="1" t="s">
        <v>228</v>
      </c>
      <c r="E527" s="6" t="s">
        <v>583</v>
      </c>
    </row>
    <row r="528" spans="1:5" x14ac:dyDescent="0.2">
      <c r="A528" s="5">
        <v>45201.401044085651</v>
      </c>
      <c r="B528" s="1" t="s">
        <v>56</v>
      </c>
      <c r="C528">
        <v>2023</v>
      </c>
      <c r="D528" s="1" t="s">
        <v>228</v>
      </c>
      <c r="E528" s="6" t="s">
        <v>584</v>
      </c>
    </row>
    <row r="529" spans="1:5" x14ac:dyDescent="0.2">
      <c r="A529" s="5">
        <v>45201.405496585649</v>
      </c>
      <c r="B529" s="1" t="s">
        <v>8</v>
      </c>
      <c r="C529">
        <v>2023</v>
      </c>
      <c r="D529" s="1" t="s">
        <v>228</v>
      </c>
      <c r="E529" s="6" t="s">
        <v>585</v>
      </c>
    </row>
    <row r="530" spans="1:5" x14ac:dyDescent="0.2">
      <c r="A530" s="5">
        <v>45201.464527453703</v>
      </c>
      <c r="B530" s="1" t="s">
        <v>378</v>
      </c>
      <c r="C530" s="1">
        <v>2023</v>
      </c>
      <c r="D530" s="1" t="s">
        <v>228</v>
      </c>
      <c r="E530" s="6" t="s">
        <v>586</v>
      </c>
    </row>
    <row r="531" spans="1:5" x14ac:dyDescent="0.2">
      <c r="A531" s="5">
        <v>45201.468653969903</v>
      </c>
      <c r="B531" s="1" t="s">
        <v>378</v>
      </c>
      <c r="C531" s="1">
        <v>2023</v>
      </c>
      <c r="D531" s="1" t="s">
        <v>228</v>
      </c>
      <c r="E531" s="6" t="s">
        <v>587</v>
      </c>
    </row>
    <row r="532" spans="1:5" x14ac:dyDescent="0.2">
      <c r="A532" s="5">
        <v>45201.469325972226</v>
      </c>
      <c r="B532" s="1" t="s">
        <v>13</v>
      </c>
      <c r="C532" s="1">
        <v>2023</v>
      </c>
      <c r="D532" s="1" t="s">
        <v>228</v>
      </c>
      <c r="E532" s="6" t="s">
        <v>588</v>
      </c>
    </row>
    <row r="533" spans="1:5" x14ac:dyDescent="0.2">
      <c r="A533" s="5">
        <v>45201.473321041667</v>
      </c>
      <c r="B533" s="1" t="s">
        <v>27</v>
      </c>
      <c r="C533" s="1">
        <v>2023</v>
      </c>
      <c r="D533" s="1" t="s">
        <v>228</v>
      </c>
      <c r="E533" s="6" t="s">
        <v>589</v>
      </c>
    </row>
    <row r="534" spans="1:5" x14ac:dyDescent="0.2">
      <c r="A534" s="5">
        <v>45201.473415509259</v>
      </c>
      <c r="B534" s="1" t="s">
        <v>464</v>
      </c>
      <c r="C534" s="1">
        <v>2023</v>
      </c>
      <c r="D534" s="1" t="s">
        <v>228</v>
      </c>
      <c r="E534" s="6" t="s">
        <v>590</v>
      </c>
    </row>
    <row r="535" spans="1:5" x14ac:dyDescent="0.2">
      <c r="A535" s="5">
        <v>45201.475798715277</v>
      </c>
      <c r="B535" s="1" t="s">
        <v>58</v>
      </c>
      <c r="C535" s="1">
        <v>2023</v>
      </c>
      <c r="D535" s="1" t="s">
        <v>228</v>
      </c>
      <c r="E535" s="6" t="s">
        <v>591</v>
      </c>
    </row>
    <row r="536" spans="1:5" x14ac:dyDescent="0.2">
      <c r="A536" s="5">
        <v>45201.486098738431</v>
      </c>
      <c r="B536" s="1" t="s">
        <v>62</v>
      </c>
      <c r="C536" s="1">
        <v>2023</v>
      </c>
      <c r="D536" s="1" t="s">
        <v>228</v>
      </c>
      <c r="E536" s="6" t="s">
        <v>592</v>
      </c>
    </row>
    <row r="537" spans="1:5" x14ac:dyDescent="0.2">
      <c r="A537" s="5">
        <v>45201.492173298611</v>
      </c>
      <c r="B537" s="1" t="s">
        <v>53</v>
      </c>
      <c r="C537" s="1">
        <v>2023</v>
      </c>
      <c r="D537" s="1" t="s">
        <v>228</v>
      </c>
      <c r="E537" s="6" t="s">
        <v>593</v>
      </c>
    </row>
    <row r="538" spans="1:5" x14ac:dyDescent="0.2">
      <c r="A538" s="5">
        <v>45201.547418969909</v>
      </c>
      <c r="B538" s="1" t="s">
        <v>37</v>
      </c>
      <c r="C538" s="1">
        <v>2023</v>
      </c>
      <c r="D538" s="1" t="s">
        <v>228</v>
      </c>
      <c r="E538" s="6" t="s">
        <v>594</v>
      </c>
    </row>
    <row r="539" spans="1:5" x14ac:dyDescent="0.2">
      <c r="A539" s="5">
        <v>45201.691881342587</v>
      </c>
      <c r="B539" s="1" t="s">
        <v>47</v>
      </c>
      <c r="C539" s="1">
        <v>2023</v>
      </c>
      <c r="D539" s="1" t="s">
        <v>228</v>
      </c>
      <c r="E539" s="6" t="s">
        <v>595</v>
      </c>
    </row>
    <row r="540" spans="1:5" x14ac:dyDescent="0.2">
      <c r="A540" s="5">
        <v>45202.335149594903</v>
      </c>
      <c r="B540" s="1" t="s">
        <v>451</v>
      </c>
      <c r="C540" s="1">
        <v>2023</v>
      </c>
      <c r="D540" s="1" t="s">
        <v>228</v>
      </c>
      <c r="E540" s="6" t="s">
        <v>596</v>
      </c>
    </row>
    <row r="541" spans="1:5" x14ac:dyDescent="0.2">
      <c r="A541" s="5">
        <v>45202.37770045139</v>
      </c>
      <c r="B541" s="1" t="s">
        <v>22</v>
      </c>
      <c r="C541" s="1">
        <v>2023</v>
      </c>
      <c r="D541" s="1" t="s">
        <v>228</v>
      </c>
      <c r="E541" s="6" t="s">
        <v>597</v>
      </c>
    </row>
    <row r="542" spans="1:5" x14ac:dyDescent="0.2">
      <c r="A542" s="5">
        <v>45202.530547118055</v>
      </c>
      <c r="B542" s="1" t="s">
        <v>39</v>
      </c>
      <c r="C542" s="1">
        <v>2023</v>
      </c>
      <c r="D542" s="1" t="s">
        <v>228</v>
      </c>
      <c r="E542" s="6" t="s">
        <v>598</v>
      </c>
    </row>
    <row r="543" spans="1:5" x14ac:dyDescent="0.2">
      <c r="A543" s="5">
        <v>45202.530991006948</v>
      </c>
      <c r="B543" s="1" t="s">
        <v>29</v>
      </c>
      <c r="C543" s="1">
        <v>2023</v>
      </c>
      <c r="D543" s="1" t="s">
        <v>228</v>
      </c>
      <c r="E543" s="6" t="s">
        <v>599</v>
      </c>
    </row>
    <row r="544" spans="1:5" x14ac:dyDescent="0.2">
      <c r="A544" s="5">
        <v>45202.562988356483</v>
      </c>
      <c r="B544" s="1" t="s">
        <v>76</v>
      </c>
      <c r="C544" s="1">
        <v>2023</v>
      </c>
      <c r="D544" s="1" t="s">
        <v>228</v>
      </c>
      <c r="E544" s="6" t="s">
        <v>600</v>
      </c>
    </row>
    <row r="545" spans="1:5" x14ac:dyDescent="0.2">
      <c r="A545" s="5">
        <v>45204.311158009259</v>
      </c>
      <c r="B545" s="1" t="s">
        <v>43</v>
      </c>
      <c r="C545" s="1">
        <v>2023</v>
      </c>
      <c r="D545" s="1" t="s">
        <v>228</v>
      </c>
      <c r="E545" s="6" t="s">
        <v>601</v>
      </c>
    </row>
    <row r="546" spans="1:5" x14ac:dyDescent="0.2">
      <c r="A546" s="5">
        <v>45217.470898437503</v>
      </c>
      <c r="B546" s="1" t="s">
        <v>70</v>
      </c>
      <c r="C546" s="1">
        <v>2023</v>
      </c>
      <c r="D546" s="1" t="s">
        <v>228</v>
      </c>
      <c r="E546" s="6" t="s">
        <v>602</v>
      </c>
    </row>
    <row r="547" spans="1:5" x14ac:dyDescent="0.2">
      <c r="A547" s="5">
        <v>45230.679869629632</v>
      </c>
      <c r="B547" s="1" t="s">
        <v>53</v>
      </c>
      <c r="C547" s="1">
        <v>2023</v>
      </c>
      <c r="D547" s="1" t="s">
        <v>255</v>
      </c>
      <c r="E547" s="6" t="s">
        <v>603</v>
      </c>
    </row>
    <row r="548" spans="1:5" x14ac:dyDescent="0.2">
      <c r="A548" s="5">
        <v>45231.357920509261</v>
      </c>
      <c r="B548" s="1" t="s">
        <v>62</v>
      </c>
      <c r="C548" s="1">
        <v>2023</v>
      </c>
      <c r="D548" s="1" t="s">
        <v>255</v>
      </c>
      <c r="E548" s="6" t="s">
        <v>604</v>
      </c>
    </row>
    <row r="549" spans="1:5" x14ac:dyDescent="0.2">
      <c r="A549" s="5">
        <v>45231.372070543977</v>
      </c>
      <c r="B549" s="1" t="s">
        <v>27</v>
      </c>
      <c r="C549" s="1">
        <v>2023</v>
      </c>
      <c r="D549" s="1" t="s">
        <v>255</v>
      </c>
      <c r="E549" s="6" t="s">
        <v>605</v>
      </c>
    </row>
    <row r="550" spans="1:5" x14ac:dyDescent="0.2">
      <c r="A550" s="5">
        <v>45231.380700567126</v>
      </c>
      <c r="B550" s="1" t="s">
        <v>11</v>
      </c>
      <c r="C550" s="1">
        <v>2023</v>
      </c>
      <c r="D550" s="1" t="s">
        <v>255</v>
      </c>
      <c r="E550" s="6" t="s">
        <v>606</v>
      </c>
    </row>
    <row r="551" spans="1:5" x14ac:dyDescent="0.2">
      <c r="A551" s="5">
        <v>45231.390443946759</v>
      </c>
      <c r="B551" s="1" t="s">
        <v>70</v>
      </c>
      <c r="C551" s="1">
        <v>2023</v>
      </c>
      <c r="D551" s="1" t="s">
        <v>255</v>
      </c>
      <c r="E551" s="6" t="s">
        <v>607</v>
      </c>
    </row>
    <row r="552" spans="1:5" x14ac:dyDescent="0.2">
      <c r="A552" s="5">
        <v>45231.397522175925</v>
      </c>
      <c r="B552" s="1" t="s">
        <v>29</v>
      </c>
      <c r="C552" s="1">
        <v>2023</v>
      </c>
      <c r="D552" s="1" t="s">
        <v>255</v>
      </c>
      <c r="E552" s="6" t="s">
        <v>608</v>
      </c>
    </row>
    <row r="553" spans="1:5" x14ac:dyDescent="0.2">
      <c r="A553" s="5">
        <v>45231.397810277776</v>
      </c>
      <c r="B553" s="1" t="s">
        <v>68</v>
      </c>
      <c r="C553" s="1">
        <v>2023</v>
      </c>
      <c r="D553" s="1" t="s">
        <v>255</v>
      </c>
      <c r="E553" s="6" t="s">
        <v>609</v>
      </c>
    </row>
    <row r="554" spans="1:5" x14ac:dyDescent="0.2">
      <c r="A554" s="5">
        <v>45231.398150185181</v>
      </c>
      <c r="B554" s="1" t="s">
        <v>39</v>
      </c>
      <c r="C554" s="1">
        <v>2023</v>
      </c>
      <c r="D554" s="1" t="s">
        <v>255</v>
      </c>
      <c r="E554" s="6" t="s">
        <v>610</v>
      </c>
    </row>
    <row r="555" spans="1:5" x14ac:dyDescent="0.2">
      <c r="A555" s="5">
        <v>45231.444898125003</v>
      </c>
      <c r="B555" s="1" t="s">
        <v>58</v>
      </c>
      <c r="C555" s="1">
        <v>2023</v>
      </c>
      <c r="D555" s="1" t="s">
        <v>255</v>
      </c>
      <c r="E555" s="6" t="s">
        <v>611</v>
      </c>
    </row>
    <row r="556" spans="1:5" x14ac:dyDescent="0.2">
      <c r="A556" s="5">
        <v>45231.608793252315</v>
      </c>
      <c r="B556" s="1" t="s">
        <v>43</v>
      </c>
      <c r="C556" s="1">
        <v>2023</v>
      </c>
      <c r="D556" s="1" t="s">
        <v>255</v>
      </c>
      <c r="E556" s="6" t="s">
        <v>612</v>
      </c>
    </row>
    <row r="557" spans="1:5" x14ac:dyDescent="0.2">
      <c r="A557" s="5">
        <v>45231.812042719903</v>
      </c>
      <c r="B557" s="1" t="s">
        <v>451</v>
      </c>
      <c r="C557" s="1">
        <v>2023</v>
      </c>
      <c r="D557" s="1" t="s">
        <v>255</v>
      </c>
      <c r="E557" s="6" t="s">
        <v>613</v>
      </c>
    </row>
    <row r="558" spans="1:5" x14ac:dyDescent="0.2">
      <c r="A558" s="5">
        <v>45232.460470219907</v>
      </c>
      <c r="B558" s="1" t="s">
        <v>13</v>
      </c>
      <c r="C558" s="1">
        <v>2023</v>
      </c>
      <c r="D558" s="1" t="s">
        <v>255</v>
      </c>
      <c r="E558" s="6" t="s">
        <v>614</v>
      </c>
    </row>
    <row r="559" spans="1:5" x14ac:dyDescent="0.2">
      <c r="A559" s="5">
        <v>45232.491142476851</v>
      </c>
      <c r="B559" s="1" t="s">
        <v>56</v>
      </c>
      <c r="C559" s="1">
        <v>2023</v>
      </c>
      <c r="D559" s="1" t="s">
        <v>255</v>
      </c>
      <c r="E559" s="6" t="s">
        <v>615</v>
      </c>
    </row>
    <row r="560" spans="1:5" x14ac:dyDescent="0.2">
      <c r="A560" s="5">
        <v>45232.570254467588</v>
      </c>
      <c r="B560" s="1" t="s">
        <v>378</v>
      </c>
      <c r="C560" s="1">
        <v>2023</v>
      </c>
      <c r="D560" s="1" t="s">
        <v>255</v>
      </c>
      <c r="E560" s="6" t="s">
        <v>616</v>
      </c>
    </row>
    <row r="561" spans="1:5" x14ac:dyDescent="0.2">
      <c r="A561" s="5">
        <v>45232.595080810184</v>
      </c>
      <c r="B561" s="1" t="s">
        <v>76</v>
      </c>
      <c r="C561" s="1">
        <v>2023</v>
      </c>
      <c r="D561" s="1" t="s">
        <v>255</v>
      </c>
      <c r="E561" s="6" t="s">
        <v>617</v>
      </c>
    </row>
    <row r="562" spans="1:5" x14ac:dyDescent="0.2">
      <c r="A562" s="5">
        <v>45233.300807210646</v>
      </c>
      <c r="B562" s="1" t="s">
        <v>22</v>
      </c>
      <c r="C562" s="1">
        <v>2023</v>
      </c>
      <c r="D562" s="1" t="s">
        <v>255</v>
      </c>
      <c r="E562" s="6" t="s">
        <v>618</v>
      </c>
    </row>
    <row r="563" spans="1:5" x14ac:dyDescent="0.2">
      <c r="A563" s="5">
        <v>45233.473112141204</v>
      </c>
      <c r="B563" s="1" t="s">
        <v>464</v>
      </c>
      <c r="C563" s="1">
        <v>2023</v>
      </c>
      <c r="D563" s="1" t="s">
        <v>255</v>
      </c>
      <c r="E563" s="6" t="s">
        <v>619</v>
      </c>
    </row>
    <row r="564" spans="1:5" x14ac:dyDescent="0.2">
      <c r="A564" s="5">
        <v>45236.369249872689</v>
      </c>
      <c r="B564" s="1" t="s">
        <v>47</v>
      </c>
      <c r="C564" s="1">
        <v>2023</v>
      </c>
      <c r="D564" s="1" t="s">
        <v>255</v>
      </c>
      <c r="E564" s="6" t="s">
        <v>620</v>
      </c>
    </row>
    <row r="565" spans="1:5" x14ac:dyDescent="0.2">
      <c r="A565" s="5">
        <v>45236.631544479169</v>
      </c>
      <c r="B565" s="1" t="s">
        <v>348</v>
      </c>
      <c r="C565" s="1">
        <v>2023</v>
      </c>
      <c r="D565" s="1" t="s">
        <v>255</v>
      </c>
      <c r="E565" s="6" t="s">
        <v>621</v>
      </c>
    </row>
    <row r="566" spans="1:5" x14ac:dyDescent="0.2">
      <c r="A566" s="5">
        <v>45250.599174062503</v>
      </c>
      <c r="B566" s="1" t="s">
        <v>37</v>
      </c>
      <c r="C566" s="1">
        <v>2023</v>
      </c>
      <c r="D566" s="1" t="s">
        <v>255</v>
      </c>
      <c r="E566" s="6" t="s">
        <v>622</v>
      </c>
    </row>
    <row r="567" spans="1:5" x14ac:dyDescent="0.2">
      <c r="A567" s="5">
        <v>45257.370811666668</v>
      </c>
      <c r="B567" s="1" t="s">
        <v>62</v>
      </c>
      <c r="C567" s="1">
        <v>2023</v>
      </c>
      <c r="D567" s="1" t="s">
        <v>277</v>
      </c>
      <c r="E567" s="6" t="s">
        <v>623</v>
      </c>
    </row>
    <row r="568" spans="1:5" x14ac:dyDescent="0.2">
      <c r="A568" s="5">
        <v>45257.393035902773</v>
      </c>
      <c r="B568" s="1" t="s">
        <v>27</v>
      </c>
      <c r="C568" s="1">
        <v>2023</v>
      </c>
      <c r="D568" s="1" t="s">
        <v>277</v>
      </c>
      <c r="E568" s="6" t="s">
        <v>624</v>
      </c>
    </row>
    <row r="569" spans="1:5" x14ac:dyDescent="0.2">
      <c r="A569" s="5">
        <v>45257.405087175925</v>
      </c>
      <c r="B569" s="1" t="s">
        <v>70</v>
      </c>
      <c r="C569" s="1">
        <v>2023</v>
      </c>
      <c r="D569" s="1" t="s">
        <v>277</v>
      </c>
      <c r="E569" s="6" t="s">
        <v>625</v>
      </c>
    </row>
    <row r="570" spans="1:5" x14ac:dyDescent="0.2">
      <c r="A570" s="5">
        <v>45257.487329444441</v>
      </c>
      <c r="B570" s="1" t="s">
        <v>53</v>
      </c>
      <c r="C570" s="1">
        <v>2023</v>
      </c>
      <c r="D570" s="1" t="s">
        <v>277</v>
      </c>
      <c r="E570" s="6" t="s">
        <v>626</v>
      </c>
    </row>
    <row r="571" spans="1:5" x14ac:dyDescent="0.2">
      <c r="A571" s="5">
        <v>45257.584138402774</v>
      </c>
      <c r="B571" s="1" t="s">
        <v>13</v>
      </c>
      <c r="C571" s="1">
        <v>2023</v>
      </c>
      <c r="D571" s="1" t="s">
        <v>277</v>
      </c>
      <c r="E571" s="6" t="s">
        <v>627</v>
      </c>
    </row>
    <row r="572" spans="1:5" x14ac:dyDescent="0.2">
      <c r="A572" s="5">
        <v>45257.632818067126</v>
      </c>
      <c r="B572" s="1" t="s">
        <v>47</v>
      </c>
      <c r="C572" s="1">
        <v>2023</v>
      </c>
      <c r="D572" s="1" t="s">
        <v>277</v>
      </c>
      <c r="E572" s="6" t="s">
        <v>628</v>
      </c>
    </row>
    <row r="573" spans="1:5" x14ac:dyDescent="0.2">
      <c r="A573" s="5">
        <v>45258.582466435182</v>
      </c>
      <c r="B573" s="1" t="s">
        <v>464</v>
      </c>
      <c r="C573" s="1">
        <v>2023</v>
      </c>
      <c r="D573" s="1" t="s">
        <v>277</v>
      </c>
      <c r="E573" s="6" t="s">
        <v>629</v>
      </c>
    </row>
    <row r="574" spans="1:5" x14ac:dyDescent="0.2">
      <c r="A574" s="5">
        <v>45260.358751655091</v>
      </c>
      <c r="B574" s="1" t="s">
        <v>39</v>
      </c>
      <c r="C574" s="1">
        <v>2023</v>
      </c>
      <c r="D574" s="1" t="s">
        <v>277</v>
      </c>
      <c r="E574" s="6" t="s">
        <v>630</v>
      </c>
    </row>
    <row r="575" spans="1:5" x14ac:dyDescent="0.2">
      <c r="A575" s="5">
        <v>45260.359113090279</v>
      </c>
      <c r="B575" s="1" t="s">
        <v>29</v>
      </c>
      <c r="C575" s="1">
        <v>2023</v>
      </c>
      <c r="D575" s="1" t="s">
        <v>277</v>
      </c>
      <c r="E575" s="6" t="s">
        <v>631</v>
      </c>
    </row>
    <row r="576" spans="1:5" x14ac:dyDescent="0.2">
      <c r="A576" s="5">
        <v>45260.400784351848</v>
      </c>
      <c r="B576" s="1" t="s">
        <v>11</v>
      </c>
      <c r="C576" s="1">
        <v>2023</v>
      </c>
      <c r="D576" s="1" t="s">
        <v>277</v>
      </c>
      <c r="E576" s="6" t="s">
        <v>632</v>
      </c>
    </row>
    <row r="577" spans="1:5" x14ac:dyDescent="0.2">
      <c r="A577" s="5">
        <v>45260.410780543985</v>
      </c>
      <c r="B577" s="1" t="s">
        <v>56</v>
      </c>
      <c r="C577" s="1">
        <v>2023</v>
      </c>
      <c r="D577" s="1" t="s">
        <v>277</v>
      </c>
      <c r="E577" s="6" t="s">
        <v>633</v>
      </c>
    </row>
    <row r="578" spans="1:5" x14ac:dyDescent="0.2">
      <c r="A578" s="5">
        <v>45260.425719606486</v>
      </c>
      <c r="B578" s="1" t="s">
        <v>37</v>
      </c>
      <c r="C578" s="1">
        <v>2023</v>
      </c>
      <c r="D578" s="1" t="s">
        <v>277</v>
      </c>
      <c r="E578" s="6" t="s">
        <v>634</v>
      </c>
    </row>
    <row r="579" spans="1:5" x14ac:dyDescent="0.2">
      <c r="A579" s="5">
        <v>45260.441712604166</v>
      </c>
      <c r="B579" s="1" t="s">
        <v>29</v>
      </c>
      <c r="C579" s="1">
        <v>2023</v>
      </c>
      <c r="D579" s="1" t="s">
        <v>277</v>
      </c>
      <c r="E579" s="6" t="s">
        <v>635</v>
      </c>
    </row>
    <row r="580" spans="1:5" x14ac:dyDescent="0.2">
      <c r="A580" s="5">
        <v>45260.444649699071</v>
      </c>
      <c r="B580" s="1" t="s">
        <v>43</v>
      </c>
      <c r="C580" s="1">
        <v>2023</v>
      </c>
      <c r="D580" s="1" t="s">
        <v>277</v>
      </c>
      <c r="E580" s="6" t="s">
        <v>636</v>
      </c>
    </row>
    <row r="581" spans="1:5" x14ac:dyDescent="0.2">
      <c r="A581" s="5">
        <v>45260.453246967591</v>
      </c>
      <c r="B581" s="1" t="s">
        <v>8</v>
      </c>
      <c r="C581" s="1">
        <v>2023</v>
      </c>
      <c r="D581" s="1" t="s">
        <v>277</v>
      </c>
      <c r="E581" s="6" t="s">
        <v>637</v>
      </c>
    </row>
    <row r="582" spans="1:5" x14ac:dyDescent="0.2">
      <c r="A582" s="5">
        <v>45260.457359849534</v>
      </c>
      <c r="B582" s="1" t="s">
        <v>8</v>
      </c>
      <c r="C582" s="1">
        <v>2023</v>
      </c>
      <c r="D582" s="1" t="s">
        <v>277</v>
      </c>
      <c r="E582" s="6" t="s">
        <v>638</v>
      </c>
    </row>
    <row r="583" spans="1:5" x14ac:dyDescent="0.2">
      <c r="A583" s="5">
        <v>45260.481774270833</v>
      </c>
      <c r="B583" s="1" t="s">
        <v>68</v>
      </c>
      <c r="C583" s="1">
        <v>2023</v>
      </c>
      <c r="D583" s="1" t="s">
        <v>277</v>
      </c>
      <c r="E583" s="6" t="s">
        <v>639</v>
      </c>
    </row>
    <row r="584" spans="1:5" x14ac:dyDescent="0.2">
      <c r="A584" s="5">
        <v>45260.661759363429</v>
      </c>
      <c r="B584" s="1" t="s">
        <v>24</v>
      </c>
      <c r="C584" s="1">
        <v>2023</v>
      </c>
      <c r="D584" s="1" t="s">
        <v>277</v>
      </c>
      <c r="E584" s="6" t="s">
        <v>640</v>
      </c>
    </row>
    <row r="585" spans="1:5" x14ac:dyDescent="0.2">
      <c r="A585" s="5">
        <v>45261.405146759258</v>
      </c>
      <c r="B585" s="1" t="s">
        <v>378</v>
      </c>
      <c r="C585" s="1">
        <v>2023</v>
      </c>
      <c r="D585" s="1" t="s">
        <v>277</v>
      </c>
      <c r="E585" s="6" t="s">
        <v>641</v>
      </c>
    </row>
    <row r="586" spans="1:5" x14ac:dyDescent="0.2">
      <c r="A586" s="5">
        <v>45264.536397083335</v>
      </c>
      <c r="B586" s="1" t="s">
        <v>451</v>
      </c>
      <c r="C586" s="1">
        <v>2023</v>
      </c>
      <c r="D586" s="1" t="s">
        <v>277</v>
      </c>
      <c r="E586" s="6" t="s">
        <v>642</v>
      </c>
    </row>
    <row r="587" spans="1:5" x14ac:dyDescent="0.2">
      <c r="A587" s="5">
        <v>45287.466085868058</v>
      </c>
      <c r="B587" s="1" t="s">
        <v>13</v>
      </c>
      <c r="C587" s="1">
        <v>2023</v>
      </c>
      <c r="D587" s="1" t="s">
        <v>302</v>
      </c>
      <c r="E587" s="6" t="s">
        <v>643</v>
      </c>
    </row>
    <row r="588" spans="1:5" x14ac:dyDescent="0.2">
      <c r="A588" s="5">
        <v>45288.454953761575</v>
      </c>
      <c r="B588" s="1" t="s">
        <v>27</v>
      </c>
      <c r="C588" s="1">
        <v>2023</v>
      </c>
      <c r="D588" s="1" t="s">
        <v>302</v>
      </c>
      <c r="E588" s="6" t="s">
        <v>644</v>
      </c>
    </row>
    <row r="589" spans="1:5" x14ac:dyDescent="0.2">
      <c r="A589" s="5">
        <v>45288.497232928239</v>
      </c>
      <c r="B589" s="1" t="s">
        <v>47</v>
      </c>
      <c r="C589" s="1">
        <v>2023</v>
      </c>
      <c r="D589" s="1" t="s">
        <v>302</v>
      </c>
      <c r="E589" s="6" t="s">
        <v>645</v>
      </c>
    </row>
    <row r="590" spans="1:5" x14ac:dyDescent="0.2">
      <c r="A590" s="5">
        <v>45288.578786435188</v>
      </c>
      <c r="B590" s="1" t="s">
        <v>70</v>
      </c>
      <c r="C590" s="1">
        <v>2023</v>
      </c>
      <c r="D590" s="1" t="s">
        <v>302</v>
      </c>
      <c r="E590" s="6" t="s">
        <v>646</v>
      </c>
    </row>
    <row r="591" spans="1:5" x14ac:dyDescent="0.2">
      <c r="A591" s="5">
        <v>45289.305611793985</v>
      </c>
      <c r="B591" s="1" t="s">
        <v>68</v>
      </c>
      <c r="C591" s="1">
        <v>2023</v>
      </c>
      <c r="D591" s="1" t="s">
        <v>302</v>
      </c>
      <c r="E591" s="6" t="s">
        <v>647</v>
      </c>
    </row>
    <row r="592" spans="1:5" x14ac:dyDescent="0.2">
      <c r="A592" s="5">
        <v>45289.410536215277</v>
      </c>
      <c r="B592" s="1" t="s">
        <v>39</v>
      </c>
      <c r="C592" s="1">
        <v>2023</v>
      </c>
      <c r="D592" s="1" t="s">
        <v>302</v>
      </c>
      <c r="E592" s="6" t="s">
        <v>648</v>
      </c>
    </row>
    <row r="593" spans="1:6" x14ac:dyDescent="0.2">
      <c r="A593" s="5">
        <v>45289.410902766205</v>
      </c>
      <c r="B593" s="1" t="s">
        <v>29</v>
      </c>
      <c r="C593" s="1">
        <v>2023</v>
      </c>
      <c r="D593" s="1" t="s">
        <v>302</v>
      </c>
      <c r="E593" s="6" t="s">
        <v>649</v>
      </c>
    </row>
    <row r="594" spans="1:6" x14ac:dyDescent="0.2">
      <c r="A594" s="5">
        <v>45293.363194421298</v>
      </c>
      <c r="B594" s="1" t="s">
        <v>43</v>
      </c>
      <c r="C594" s="1">
        <v>2023</v>
      </c>
      <c r="D594" s="1" t="s">
        <v>302</v>
      </c>
      <c r="E594" s="6" t="s">
        <v>650</v>
      </c>
      <c r="F594" s="7" t="str">
        <f>HYPERLINK("https://drive.google.com/open?id=1V4TGvz085_QBAvEUyDaeNyMolr93zOZK","1 files moved")</f>
        <v>1 files moved</v>
      </c>
    </row>
    <row r="595" spans="1:6" x14ac:dyDescent="0.2">
      <c r="A595" s="5">
        <v>45293.439323506944</v>
      </c>
      <c r="B595" s="1" t="s">
        <v>464</v>
      </c>
      <c r="C595" s="1">
        <v>2023</v>
      </c>
      <c r="D595" s="1" t="s">
        <v>302</v>
      </c>
      <c r="E595" s="6" t="s">
        <v>651</v>
      </c>
      <c r="F595" s="7" t="str">
        <f>HYPERLINK("https://drive.google.com/open?id=1sNh5fA93l5peYz5IJKZGEClKmxdv9dcX","1 files moved")</f>
        <v>1 files moved</v>
      </c>
    </row>
    <row r="596" spans="1:6" x14ac:dyDescent="0.2">
      <c r="A596" s="5">
        <v>45420.399365185185</v>
      </c>
      <c r="B596" s="1" t="s">
        <v>56</v>
      </c>
      <c r="C596" s="1">
        <v>2024</v>
      </c>
      <c r="D596" s="1" t="s">
        <v>78</v>
      </c>
      <c r="E596" s="6" t="s">
        <v>652</v>
      </c>
      <c r="F596" s="7" t="str">
        <f>HYPERLINK("https://drive.google.com/open?id=1YZIPSo9PodNGWCjC1zK15cW1JEByXJ7w","1 files moved")</f>
        <v>1 files moved</v>
      </c>
    </row>
    <row r="597" spans="1:6" x14ac:dyDescent="0.2">
      <c r="A597" s="5">
        <v>45420.406963449073</v>
      </c>
      <c r="B597" s="1" t="s">
        <v>22</v>
      </c>
      <c r="C597" s="1">
        <v>2024</v>
      </c>
      <c r="D597" s="1" t="s">
        <v>78</v>
      </c>
      <c r="E597" s="6" t="s">
        <v>653</v>
      </c>
      <c r="F597" s="7" t="str">
        <f>HYPERLINK("https://drive.google.com/open?id=1WAbmR1kP-K3GSrnpnC5igzsk9XdBZPD_","1 files moved")</f>
        <v>1 files moved</v>
      </c>
    </row>
    <row r="598" spans="1:6" x14ac:dyDescent="0.2">
      <c r="A598" s="5">
        <v>45420.408922407412</v>
      </c>
      <c r="B598" s="1" t="s">
        <v>13</v>
      </c>
      <c r="C598" s="1">
        <v>2024</v>
      </c>
      <c r="D598" s="1" t="s">
        <v>78</v>
      </c>
      <c r="E598" s="6" t="s">
        <v>654</v>
      </c>
      <c r="F598" s="7" t="str">
        <f>HYPERLINK("https://drive.google.com/open?id=1Zryv8yNLErRzmBqkGZTRY6f8oQgaib5M","1 files moved")</f>
        <v>1 files moved</v>
      </c>
    </row>
    <row r="599" spans="1:6" x14ac:dyDescent="0.2">
      <c r="A599" s="5">
        <v>45420.409092592592</v>
      </c>
      <c r="B599" s="1" t="s">
        <v>53</v>
      </c>
      <c r="C599" s="1">
        <v>2024</v>
      </c>
      <c r="D599" s="1" t="s">
        <v>78</v>
      </c>
      <c r="E599" s="6" t="s">
        <v>655</v>
      </c>
      <c r="F599" s="7" t="str">
        <f>HYPERLINK("https://drive.google.com/open?id=1mgwi5IYuDSmdes063EGgEET4VIkt5Ge6","1 files moved")</f>
        <v>1 files moved</v>
      </c>
    </row>
    <row r="600" spans="1:6" x14ac:dyDescent="0.2">
      <c r="A600" s="5">
        <v>45420.413027187504</v>
      </c>
      <c r="B600" s="1" t="s">
        <v>37</v>
      </c>
      <c r="C600" s="1">
        <v>2024</v>
      </c>
      <c r="D600" s="1" t="s">
        <v>78</v>
      </c>
      <c r="E600" s="6" t="s">
        <v>656</v>
      </c>
      <c r="F600" s="7" t="str">
        <f>HYPERLINK("https://drive.google.com/open?id=1qa1mLZHOuZIAKZUnYIblWo1lTS9NuBTm","1 files moved")</f>
        <v>1 files moved</v>
      </c>
    </row>
    <row r="601" spans="1:6" x14ac:dyDescent="0.2">
      <c r="A601" s="5">
        <v>45420.429705960647</v>
      </c>
      <c r="B601" s="1" t="s">
        <v>27</v>
      </c>
      <c r="C601" s="1">
        <v>2024</v>
      </c>
      <c r="D601" s="1" t="s">
        <v>78</v>
      </c>
      <c r="E601" s="6" t="s">
        <v>657</v>
      </c>
      <c r="F601" s="7" t="str">
        <f>HYPERLINK("https://drive.google.com/open?id=1bGJWCN7-bZQSl3cMCCd4KJRrHz1r1jve","1 files moved")</f>
        <v>1 files moved</v>
      </c>
    </row>
    <row r="602" spans="1:6" x14ac:dyDescent="0.2">
      <c r="A602" s="5">
        <v>45420.430401585647</v>
      </c>
      <c r="B602" s="1" t="s">
        <v>47</v>
      </c>
      <c r="C602" s="1">
        <v>2024</v>
      </c>
      <c r="D602" s="1" t="s">
        <v>78</v>
      </c>
      <c r="E602" s="6" t="s">
        <v>658</v>
      </c>
      <c r="F602" s="7" t="str">
        <f>HYPERLINK("https://drive.google.com/open?id=1pM9D8l1ep_C4D6kUFxAGlSX58S2gNWw7","1 files moved")</f>
        <v>1 files moved</v>
      </c>
    </row>
    <row r="603" spans="1:6" x14ac:dyDescent="0.2">
      <c r="A603" s="5">
        <v>45420.433780416672</v>
      </c>
      <c r="B603" s="1" t="s">
        <v>43</v>
      </c>
      <c r="C603" s="1">
        <v>2024</v>
      </c>
      <c r="D603" s="1" t="s">
        <v>78</v>
      </c>
      <c r="E603" s="6" t="s">
        <v>659</v>
      </c>
      <c r="F603" s="7" t="str">
        <f>HYPERLINK("https://drive.google.com/open?id=1V4TGvz085_QBAvEUyDaeNyMolr93zOZK","1 files moved")</f>
        <v>1 files moved</v>
      </c>
    </row>
    <row r="604" spans="1:6" x14ac:dyDescent="0.2">
      <c r="A604" s="5">
        <v>45420.450075173612</v>
      </c>
      <c r="B604" s="1" t="s">
        <v>33</v>
      </c>
      <c r="C604" s="1">
        <v>2024</v>
      </c>
      <c r="D604" s="1" t="s">
        <v>78</v>
      </c>
      <c r="E604" s="6" t="s">
        <v>660</v>
      </c>
      <c r="F604" s="7" t="str">
        <f>HYPERLINK("https://drive.google.com/open?id=1vt-BVSJOLHBIrsp9094dDz7aTxUYbXOd","1 files moved")</f>
        <v>1 files moved</v>
      </c>
    </row>
    <row r="605" spans="1:6" x14ac:dyDescent="0.2">
      <c r="A605" s="5">
        <v>45420.45299395833</v>
      </c>
      <c r="B605" s="1" t="s">
        <v>39</v>
      </c>
      <c r="C605" s="1">
        <v>2024</v>
      </c>
      <c r="D605" s="1" t="s">
        <v>78</v>
      </c>
      <c r="E605" s="6" t="s">
        <v>661</v>
      </c>
      <c r="F605" s="7" t="str">
        <f>HYPERLINK("https://drive.google.com/open?id=1BZohlpYH-tCf-m6ifXipKqyT42Gbzhkv","1 files moved")</f>
        <v>1 files moved</v>
      </c>
    </row>
    <row r="606" spans="1:6" x14ac:dyDescent="0.2">
      <c r="A606" s="5">
        <v>45420.453360069441</v>
      </c>
      <c r="B606" s="1" t="s">
        <v>33</v>
      </c>
      <c r="C606" s="1">
        <v>2024</v>
      </c>
      <c r="D606" s="1" t="s">
        <v>78</v>
      </c>
      <c r="E606" s="6" t="s">
        <v>662</v>
      </c>
      <c r="F606" s="7" t="str">
        <f>HYPERLINK("https://drive.google.com/open?id=1vt-BVSJOLHBIrsp9094dDz7aTxUYbXOd","1 files moved")</f>
        <v>1 files moved</v>
      </c>
    </row>
    <row r="607" spans="1:6" x14ac:dyDescent="0.2">
      <c r="A607" s="5">
        <v>45420.480703900466</v>
      </c>
      <c r="B607" s="1" t="s">
        <v>35</v>
      </c>
      <c r="C607" s="1">
        <v>2024</v>
      </c>
      <c r="D607" s="1" t="s">
        <v>78</v>
      </c>
      <c r="E607" s="6" t="s">
        <v>663</v>
      </c>
      <c r="F607" s="7" t="str">
        <f>HYPERLINK("https://drive.google.com/open?id=1p9rKdY4QkNWIsmYys86EoZpuyIpPfpst","1 files moved")</f>
        <v>1 files moved</v>
      </c>
    </row>
    <row r="608" spans="1:6" x14ac:dyDescent="0.2">
      <c r="A608" s="5">
        <v>45420.5724175</v>
      </c>
      <c r="B608" s="1" t="s">
        <v>45</v>
      </c>
      <c r="C608" s="1">
        <v>2024</v>
      </c>
      <c r="D608" s="1" t="s">
        <v>78</v>
      </c>
      <c r="E608" s="6" t="s">
        <v>664</v>
      </c>
      <c r="F608" s="7" t="str">
        <f>HYPERLINK("https://drive.google.com/open?id=1WOu53emjYl9MgCM11eFHkgxwdHlBm2Xz","1 files moved")</f>
        <v>1 files moved</v>
      </c>
    </row>
    <row r="609" spans="1:8" x14ac:dyDescent="0.2">
      <c r="A609" s="5">
        <v>45420.572488518519</v>
      </c>
      <c r="B609" s="1" t="s">
        <v>70</v>
      </c>
      <c r="C609" s="1">
        <v>2024</v>
      </c>
      <c r="D609" s="1" t="s">
        <v>78</v>
      </c>
      <c r="E609" s="6" t="s">
        <v>665</v>
      </c>
      <c r="F609" s="7" t="str">
        <f>HYPERLINK("https://drive.google.com/open?id=1tJPwF2su0hso4TETThLNHI9_S0dJdbLl","1 files moved")</f>
        <v>1 files moved</v>
      </c>
    </row>
    <row r="610" spans="1:8" x14ac:dyDescent="0.2">
      <c r="A610" s="5">
        <v>45420.575595844908</v>
      </c>
      <c r="B610" s="1" t="s">
        <v>666</v>
      </c>
      <c r="C610" s="1">
        <v>2024</v>
      </c>
      <c r="D610" s="1" t="s">
        <v>78</v>
      </c>
      <c r="E610" s="6" t="s">
        <v>667</v>
      </c>
      <c r="F610" s="7" t="str">
        <f>HYPERLINK("https://drive.google.com/open?id=1V9JxAml7o3RDV4BK_aYYG2UrIwxiEXjP","1 files moved")</f>
        <v>1 files moved</v>
      </c>
    </row>
    <row r="611" spans="1:8" x14ac:dyDescent="0.2">
      <c r="A611" s="5">
        <v>45420.655487187498</v>
      </c>
      <c r="B611" s="1" t="s">
        <v>8</v>
      </c>
      <c r="C611" s="1">
        <v>2024</v>
      </c>
      <c r="D611" s="1" t="s">
        <v>78</v>
      </c>
      <c r="E611" s="6" t="s">
        <v>668</v>
      </c>
      <c r="F611" s="7" t="str">
        <f>HYPERLINK("https://drive.google.com/open?id=1RzBx4e3LIUFyXvV8TKxHGhvZPq7MCFk3","1 files moved")</f>
        <v>1 files moved</v>
      </c>
      <c r="G611" s="6" t="s">
        <v>669</v>
      </c>
      <c r="H611" s="1" t="s">
        <v>670</v>
      </c>
    </row>
    <row r="612" spans="1:8" x14ac:dyDescent="0.2">
      <c r="A612" s="5">
        <v>45425.382052719906</v>
      </c>
      <c r="B612" s="1" t="s">
        <v>62</v>
      </c>
      <c r="C612" s="1">
        <v>2024</v>
      </c>
      <c r="D612" s="1" t="s">
        <v>78</v>
      </c>
      <c r="E612" s="6" t="s">
        <v>671</v>
      </c>
      <c r="F612" s="7" t="str">
        <f>HYPERLINK("https://drive.google.com/open?id=1CSWuwAcjfOUkpFz17anJSHXpLD9oH9ta","1 files moved")</f>
        <v>1 files moved</v>
      </c>
      <c r="G612" s="6" t="s">
        <v>672</v>
      </c>
      <c r="H612" s="1" t="s">
        <v>673</v>
      </c>
    </row>
    <row r="613" spans="1:8" x14ac:dyDescent="0.2">
      <c r="A613" s="5">
        <v>45425.388261145832</v>
      </c>
      <c r="B613" s="1" t="s">
        <v>76</v>
      </c>
      <c r="C613" s="1">
        <v>2024</v>
      </c>
      <c r="D613" s="1" t="s">
        <v>78</v>
      </c>
      <c r="E613" s="6" t="s">
        <v>674</v>
      </c>
      <c r="F613" s="7" t="str">
        <f>HYPERLINK("https://drive.google.com/open?id=1YKXc634Hd6ivOmY-kuk_dNKkhypgkHlR","1 files moved")</f>
        <v>1 files moved</v>
      </c>
      <c r="G613" s="6" t="s">
        <v>675</v>
      </c>
      <c r="H613" s="1" t="s">
        <v>676</v>
      </c>
    </row>
    <row r="614" spans="1:8" x14ac:dyDescent="0.2">
      <c r="A614" s="5">
        <v>45426.380478032406</v>
      </c>
      <c r="B614" s="1" t="s">
        <v>397</v>
      </c>
      <c r="C614" s="1">
        <v>2024</v>
      </c>
      <c r="D614" s="1" t="s">
        <v>78</v>
      </c>
      <c r="E614" s="6" t="s">
        <v>677</v>
      </c>
      <c r="F614" s="7" t="str">
        <f>HYPERLINK("https://drive.google.com/open?id=11skWmlW9bg1I5Y0qbtAwiD9dgHdxhUYl","1 files moved")</f>
        <v>1 files moved</v>
      </c>
      <c r="G614" s="6" t="s">
        <v>678</v>
      </c>
      <c r="H614" s="1" t="s">
        <v>679</v>
      </c>
    </row>
    <row r="615" spans="1:8" x14ac:dyDescent="0.2">
      <c r="A615" s="5">
        <v>45426.44643387731</v>
      </c>
      <c r="B615" s="1" t="s">
        <v>348</v>
      </c>
      <c r="C615" s="1">
        <v>2024</v>
      </c>
      <c r="D615" s="1" t="s">
        <v>78</v>
      </c>
      <c r="E615" s="6" t="s">
        <v>680</v>
      </c>
      <c r="F615" s="7" t="str">
        <f>HYPERLINK("https://drive.google.com/open?id=17WOaAXl5jFgeySypAmjW1SMD0z4Hcu1k","1 files moved")</f>
        <v>1 files moved</v>
      </c>
      <c r="G615" s="6" t="s">
        <v>681</v>
      </c>
      <c r="H615" s="1" t="s">
        <v>682</v>
      </c>
    </row>
    <row r="616" spans="1:8" x14ac:dyDescent="0.2">
      <c r="A616" s="5">
        <v>45426.447678969911</v>
      </c>
      <c r="B616" s="1" t="s">
        <v>16</v>
      </c>
      <c r="C616" s="1">
        <v>2024</v>
      </c>
      <c r="D616" s="1" t="s">
        <v>78</v>
      </c>
      <c r="E616" s="6" t="s">
        <v>683</v>
      </c>
      <c r="F616" s="7" t="str">
        <f>HYPERLINK("https://drive.google.com/open?id=1YNQBM17-ejVScp5nWkNR2hYKrlehzOCe","1 files moved")</f>
        <v>1 files moved</v>
      </c>
      <c r="G616" s="6" t="s">
        <v>684</v>
      </c>
      <c r="H616" s="1" t="s">
        <v>685</v>
      </c>
    </row>
    <row r="617" spans="1:8" x14ac:dyDescent="0.2">
      <c r="A617" s="5">
        <v>45427.594019895834</v>
      </c>
      <c r="B617" s="1" t="s">
        <v>686</v>
      </c>
      <c r="C617" s="1">
        <v>2024</v>
      </c>
      <c r="D617" s="1" t="s">
        <v>78</v>
      </c>
      <c r="E617" s="6" t="s">
        <v>687</v>
      </c>
      <c r="F617" s="7" t="str">
        <f>HYPERLINK("https://drive.google.com/open?id=1raKDx-uNeIvhNP7U_Rt7B4uGTAH17pUT","1 files moved")</f>
        <v>1 files moved</v>
      </c>
      <c r="G617" s="6" t="s">
        <v>688</v>
      </c>
      <c r="H617" s="1" t="s">
        <v>689</v>
      </c>
    </row>
    <row r="618" spans="1:8" x14ac:dyDescent="0.2">
      <c r="A618" s="5">
        <v>45427.624382789349</v>
      </c>
      <c r="B618" s="1" t="s">
        <v>24</v>
      </c>
      <c r="C618" s="1">
        <v>2024</v>
      </c>
      <c r="D618" s="1" t="s">
        <v>78</v>
      </c>
      <c r="E618" s="6" t="s">
        <v>690</v>
      </c>
      <c r="F618" s="7" t="str">
        <f>HYPERLINK("https://drive.google.com/open?id=1lAkCTSJDqjfWsuZxvLL2COI53gbRENb_","1 files moved")</f>
        <v>1 files moved</v>
      </c>
      <c r="G618" s="6" t="s">
        <v>691</v>
      </c>
      <c r="H618" s="1" t="s">
        <v>692</v>
      </c>
    </row>
    <row r="619" spans="1:8" x14ac:dyDescent="0.2">
      <c r="A619" s="5">
        <v>45429.303067199071</v>
      </c>
      <c r="B619" s="1" t="s">
        <v>68</v>
      </c>
      <c r="C619" s="1">
        <v>2024</v>
      </c>
      <c r="D619" s="1" t="s">
        <v>78</v>
      </c>
      <c r="E619" s="6" t="s">
        <v>693</v>
      </c>
      <c r="F619" s="7" t="str">
        <f>HYPERLINK("https://drive.google.com/open?id=1OV29wdO4ju235Dn_RfWfQvZfv8o_gJRA","1 files moved")</f>
        <v>1 files moved</v>
      </c>
      <c r="G619" s="6" t="s">
        <v>694</v>
      </c>
      <c r="H619" s="1" t="s">
        <v>695</v>
      </c>
    </row>
    <row r="620" spans="1:8" x14ac:dyDescent="0.2">
      <c r="A620" s="5">
        <v>45429.699831597223</v>
      </c>
      <c r="B620" s="1" t="s">
        <v>696</v>
      </c>
      <c r="C620" s="1">
        <v>2024</v>
      </c>
      <c r="D620" s="1" t="s">
        <v>78</v>
      </c>
      <c r="E620" s="6" t="s">
        <v>697</v>
      </c>
      <c r="F620" s="7" t="str">
        <f>HYPERLINK("https://drive.google.com/open?id=1zihvmzb__nyKiReWO6jFdOUQyMof2Z5F","1 files moved")</f>
        <v>1 files moved</v>
      </c>
      <c r="G620" s="6" t="s">
        <v>698</v>
      </c>
      <c r="H620" s="1" t="s">
        <v>699</v>
      </c>
    </row>
    <row r="621" spans="1:8" x14ac:dyDescent="0.2">
      <c r="A621" s="5">
        <v>45440.41342866898</v>
      </c>
      <c r="B621" s="1" t="s">
        <v>451</v>
      </c>
      <c r="C621" s="1">
        <v>2024</v>
      </c>
      <c r="D621" s="1" t="s">
        <v>78</v>
      </c>
      <c r="E621" s="6" t="s">
        <v>700</v>
      </c>
      <c r="F621" s="7" t="str">
        <f>HYPERLINK("https://drive.google.com/open?id=1KIx1m7meHb5nobC5pXq7RhJanL49Yo2o","1 files moved")</f>
        <v>1 files moved</v>
      </c>
      <c r="G621" s="6" t="s">
        <v>701</v>
      </c>
      <c r="H621" s="1" t="s">
        <v>702</v>
      </c>
    </row>
    <row r="622" spans="1:8" x14ac:dyDescent="0.2">
      <c r="A622" s="5">
        <v>45446.417246736106</v>
      </c>
      <c r="B622" s="1" t="s">
        <v>13</v>
      </c>
      <c r="C622" s="1">
        <v>2024</v>
      </c>
      <c r="D622" s="1" t="s">
        <v>9</v>
      </c>
      <c r="E622" s="6" t="s">
        <v>703</v>
      </c>
      <c r="F622" s="7" t="str">
        <f>HYPERLINK("https://drive.google.com/open?id=1Zryv8yNLErRzmBqkGZTRY6f8oQgaib5M","1 files moved")</f>
        <v>1 files moved</v>
      </c>
      <c r="G622" s="6" t="s">
        <v>704</v>
      </c>
      <c r="H622" s="1" t="s">
        <v>705</v>
      </c>
    </row>
    <row r="623" spans="1:8" x14ac:dyDescent="0.2">
      <c r="A623" s="5">
        <v>45446.420294791664</v>
      </c>
      <c r="B623" s="1" t="s">
        <v>686</v>
      </c>
      <c r="C623" s="1">
        <v>2024</v>
      </c>
      <c r="D623" s="1" t="s">
        <v>9</v>
      </c>
      <c r="E623" s="6" t="s">
        <v>706</v>
      </c>
      <c r="F623" s="7" t="str">
        <f>HYPERLINK("https://drive.google.com/open?id=1raKDx-uNeIvhNP7U_Rt7B4uGTAH17pUT","1 files moved")</f>
        <v>1 files moved</v>
      </c>
      <c r="G623" s="6" t="s">
        <v>707</v>
      </c>
      <c r="H623" s="1" t="s">
        <v>708</v>
      </c>
    </row>
    <row r="624" spans="1:8" x14ac:dyDescent="0.2">
      <c r="A624" s="5">
        <v>45446.421128055561</v>
      </c>
      <c r="B624" s="1" t="s">
        <v>76</v>
      </c>
      <c r="C624" s="1">
        <v>2024</v>
      </c>
      <c r="D624" s="1" t="s">
        <v>9</v>
      </c>
      <c r="E624" s="6" t="s">
        <v>709</v>
      </c>
      <c r="F624" s="7" t="str">
        <f>HYPERLINK("https://drive.google.com/open?id=1YKXc634Hd6ivOmY-kuk_dNKkhypgkHlR","1 files moved")</f>
        <v>1 files moved</v>
      </c>
      <c r="G624" s="6" t="s">
        <v>710</v>
      </c>
      <c r="H624" s="1" t="s">
        <v>711</v>
      </c>
    </row>
    <row r="625" spans="1:8" x14ac:dyDescent="0.2">
      <c r="A625" s="5">
        <v>45446.423161365739</v>
      </c>
      <c r="B625" s="1" t="s">
        <v>43</v>
      </c>
      <c r="C625" s="1">
        <v>2024</v>
      </c>
      <c r="D625" s="1" t="s">
        <v>9</v>
      </c>
      <c r="E625" s="6" t="s">
        <v>712</v>
      </c>
      <c r="F625" s="7" t="str">
        <f>HYPERLINK("https://drive.google.com/open?id=1V4TGvz085_QBAvEUyDaeNyMolr93zOZK","1 files moved")</f>
        <v>1 files moved</v>
      </c>
      <c r="G625" s="6" t="s">
        <v>713</v>
      </c>
      <c r="H625" s="1" t="s">
        <v>714</v>
      </c>
    </row>
    <row r="626" spans="1:8" x14ac:dyDescent="0.2">
      <c r="A626" s="5">
        <v>45446.427148692128</v>
      </c>
      <c r="B626" s="1" t="s">
        <v>47</v>
      </c>
      <c r="C626" s="1">
        <v>2024</v>
      </c>
      <c r="D626" s="1" t="s">
        <v>9</v>
      </c>
      <c r="E626" s="6" t="s">
        <v>715</v>
      </c>
      <c r="F626" s="7" t="str">
        <f>HYPERLINK("https://drive.google.com/open?id=1pM9D8l1ep_C4D6kUFxAGlSX58S2gNWw7","1 files moved")</f>
        <v>1 files moved</v>
      </c>
      <c r="G626" s="6" t="s">
        <v>716</v>
      </c>
      <c r="H626" s="1" t="s">
        <v>717</v>
      </c>
    </row>
    <row r="627" spans="1:8" x14ac:dyDescent="0.2">
      <c r="A627" s="5">
        <v>45446.427159618055</v>
      </c>
      <c r="B627" s="1" t="s">
        <v>666</v>
      </c>
      <c r="C627" s="1">
        <v>2024</v>
      </c>
      <c r="D627" s="1" t="s">
        <v>9</v>
      </c>
      <c r="E627" s="6" t="s">
        <v>718</v>
      </c>
      <c r="F627" s="7" t="str">
        <f>HYPERLINK("https://drive.google.com/open?id=1V9JxAml7o3RDV4BK_aYYG2UrIwxiEXjP","1 files moved")</f>
        <v>1 files moved</v>
      </c>
      <c r="G627" s="6" t="s">
        <v>719</v>
      </c>
      <c r="H627" s="1" t="s">
        <v>720</v>
      </c>
    </row>
    <row r="628" spans="1:8" x14ac:dyDescent="0.2">
      <c r="A628" s="5">
        <v>45446.428200775466</v>
      </c>
      <c r="B628" s="1" t="s">
        <v>378</v>
      </c>
      <c r="C628" s="1">
        <v>2024</v>
      </c>
      <c r="D628" s="1" t="s">
        <v>9</v>
      </c>
      <c r="E628" s="6" t="s">
        <v>721</v>
      </c>
      <c r="F628" s="7" t="str">
        <f>HYPERLINK("https://drive.google.com/open?id=1UaOhVLC8EU7AZLMQiErwZkrTRt0YZt3o","1 files moved")</f>
        <v>1 files moved</v>
      </c>
      <c r="G628" s="6" t="s">
        <v>722</v>
      </c>
      <c r="H628" s="1" t="s">
        <v>723</v>
      </c>
    </row>
    <row r="629" spans="1:8" x14ac:dyDescent="0.2">
      <c r="A629" s="5">
        <v>45446.431568055559</v>
      </c>
      <c r="B629" s="1" t="s">
        <v>22</v>
      </c>
      <c r="C629" s="1">
        <v>2024</v>
      </c>
      <c r="D629" s="1" t="s">
        <v>9</v>
      </c>
      <c r="E629" s="6" t="s">
        <v>724</v>
      </c>
      <c r="F629" s="7" t="str">
        <f>HYPERLINK("https://drive.google.com/open?id=1WAbmR1kP-K3GSrnpnC5igzsk9XdBZPD_","1 files moved")</f>
        <v>1 files moved</v>
      </c>
      <c r="G629" s="6" t="s">
        <v>725</v>
      </c>
      <c r="H629" s="1" t="s">
        <v>726</v>
      </c>
    </row>
    <row r="630" spans="1:8" x14ac:dyDescent="0.2">
      <c r="A630" s="5">
        <v>45446.436269791666</v>
      </c>
      <c r="B630" s="1" t="s">
        <v>696</v>
      </c>
      <c r="C630" s="1">
        <v>2024</v>
      </c>
      <c r="D630" s="1" t="s">
        <v>9</v>
      </c>
      <c r="E630" s="6" t="s">
        <v>727</v>
      </c>
      <c r="F630" s="7" t="str">
        <f>HYPERLINK("https://drive.google.com/open?id=1zihvmzb__nyKiReWO6jFdOUQyMof2Z5F","1 files moved")</f>
        <v>1 files moved</v>
      </c>
      <c r="G630" s="6" t="s">
        <v>728</v>
      </c>
      <c r="H630" s="1" t="s">
        <v>729</v>
      </c>
    </row>
    <row r="631" spans="1:8" x14ac:dyDescent="0.2">
      <c r="A631" s="5">
        <v>45446.43737399306</v>
      </c>
      <c r="B631" s="1" t="s">
        <v>62</v>
      </c>
      <c r="C631" s="1">
        <v>2024</v>
      </c>
      <c r="D631" s="1" t="s">
        <v>9</v>
      </c>
      <c r="E631" s="6" t="s">
        <v>730</v>
      </c>
      <c r="F631" s="7" t="str">
        <f>HYPERLINK("https://drive.google.com/open?id=1CSWuwAcjfOUkpFz17anJSHXpLD9oH9ta","1 files moved")</f>
        <v>1 files moved</v>
      </c>
      <c r="G631" s="6" t="s">
        <v>731</v>
      </c>
      <c r="H631" s="1" t="s">
        <v>732</v>
      </c>
    </row>
    <row r="632" spans="1:8" x14ac:dyDescent="0.2">
      <c r="A632" s="5">
        <v>45446.437459849534</v>
      </c>
      <c r="B632" s="1" t="s">
        <v>33</v>
      </c>
      <c r="C632" s="1">
        <v>2024</v>
      </c>
      <c r="D632" s="1" t="s">
        <v>110</v>
      </c>
      <c r="E632" s="6" t="s">
        <v>733</v>
      </c>
      <c r="F632" s="7" t="str">
        <f>HYPERLINK("https://drive.google.com/open?id=1vt-BVSJOLHBIrsp9094dDz7aTxUYbXOd","1 files moved")</f>
        <v>1 files moved</v>
      </c>
      <c r="G632" s="6" t="s">
        <v>734</v>
      </c>
      <c r="H632" s="1" t="s">
        <v>735</v>
      </c>
    </row>
    <row r="633" spans="1:8" x14ac:dyDescent="0.2">
      <c r="A633" s="5">
        <v>45446.43748015046</v>
      </c>
      <c r="B633" s="1" t="s">
        <v>696</v>
      </c>
      <c r="C633" s="1">
        <v>2024</v>
      </c>
      <c r="D633" s="1" t="s">
        <v>78</v>
      </c>
      <c r="E633" s="6" t="s">
        <v>736</v>
      </c>
      <c r="F633" s="7" t="str">
        <f>HYPERLINK("https://drive.google.com/open?id=1zihvmzb__nyKiReWO6jFdOUQyMof2Z5F","1 files moved")</f>
        <v>1 files moved</v>
      </c>
      <c r="G633" s="6" t="s">
        <v>737</v>
      </c>
      <c r="H633" s="1" t="s">
        <v>738</v>
      </c>
    </row>
    <row r="634" spans="1:8" x14ac:dyDescent="0.2">
      <c r="A634" s="5">
        <v>45446.442684953705</v>
      </c>
      <c r="B634" s="1" t="s">
        <v>62</v>
      </c>
      <c r="C634" s="1">
        <v>2024</v>
      </c>
      <c r="D634" s="1" t="s">
        <v>110</v>
      </c>
      <c r="E634" s="6" t="s">
        <v>739</v>
      </c>
      <c r="F634" s="7" t="str">
        <f>HYPERLINK("https://drive.google.com/open?id=1CSWuwAcjfOUkpFz17anJSHXpLD9oH9ta","1 files moved")</f>
        <v>1 files moved</v>
      </c>
      <c r="G634" s="6" t="s">
        <v>740</v>
      </c>
      <c r="H634" s="1" t="s">
        <v>741</v>
      </c>
    </row>
    <row r="635" spans="1:8" x14ac:dyDescent="0.2">
      <c r="A635" s="5">
        <v>45446.480162349537</v>
      </c>
      <c r="B635" s="1" t="s">
        <v>696</v>
      </c>
      <c r="C635" s="1">
        <v>2024</v>
      </c>
      <c r="D635" s="1" t="s">
        <v>352</v>
      </c>
      <c r="E635" s="6" t="s">
        <v>742</v>
      </c>
      <c r="F635" s="7" t="str">
        <f t="shared" ref="F635:F636" si="0">HYPERLINK("https://drive.google.com/open?id=1zihvmzb__nyKiReWO6jFdOUQyMof2Z5F","1 files moved")</f>
        <v>1 files moved</v>
      </c>
      <c r="G635" s="6" t="s">
        <v>743</v>
      </c>
      <c r="H635" s="1" t="s">
        <v>744</v>
      </c>
    </row>
    <row r="636" spans="1:8" x14ac:dyDescent="0.2">
      <c r="A636" s="5">
        <v>45446.480514502313</v>
      </c>
      <c r="B636" s="1" t="s">
        <v>696</v>
      </c>
      <c r="C636" s="1">
        <v>2024</v>
      </c>
      <c r="D636" s="1" t="s">
        <v>318</v>
      </c>
      <c r="E636" s="6" t="s">
        <v>745</v>
      </c>
      <c r="F636" s="7" t="str">
        <f t="shared" si="0"/>
        <v>1 files moved</v>
      </c>
      <c r="G636" s="6" t="s">
        <v>746</v>
      </c>
      <c r="H636" s="1" t="s">
        <v>747</v>
      </c>
    </row>
    <row r="637" spans="1:8" x14ac:dyDescent="0.2">
      <c r="A637" s="5">
        <v>45446.481047893518</v>
      </c>
      <c r="B637" s="1" t="s">
        <v>666</v>
      </c>
      <c r="C637" s="1">
        <v>2024</v>
      </c>
      <c r="D637" s="1" t="s">
        <v>352</v>
      </c>
      <c r="E637" s="6" t="s">
        <v>748</v>
      </c>
      <c r="F637" s="7" t="str">
        <f>HYPERLINK("https://drive.google.com/open?id=1V9JxAml7o3RDV4BK_aYYG2UrIwxiEXjP","1 files moved")</f>
        <v>1 files moved</v>
      </c>
      <c r="G637" s="6" t="s">
        <v>749</v>
      </c>
      <c r="H637" s="1" t="s">
        <v>750</v>
      </c>
    </row>
    <row r="638" spans="1:8" x14ac:dyDescent="0.2">
      <c r="A638" s="5">
        <v>45446.481257685184</v>
      </c>
      <c r="B638" s="1" t="s">
        <v>378</v>
      </c>
      <c r="C638" s="1">
        <v>2024</v>
      </c>
      <c r="D638" s="1" t="s">
        <v>352</v>
      </c>
      <c r="E638" s="6" t="s">
        <v>751</v>
      </c>
      <c r="F638" s="7" t="str">
        <f>HYPERLINK("https://drive.google.com/open?id=1UaOhVLC8EU7AZLMQiErwZkrTRt0YZt3o","1 files moved")</f>
        <v>1 files moved</v>
      </c>
      <c r="G638" s="6" t="s">
        <v>752</v>
      </c>
      <c r="H638" s="1" t="s">
        <v>753</v>
      </c>
    </row>
    <row r="639" spans="1:8" x14ac:dyDescent="0.2">
      <c r="A639" s="5">
        <v>45446.483441886579</v>
      </c>
      <c r="B639" s="1" t="s">
        <v>397</v>
      </c>
      <c r="C639" s="1">
        <v>2024</v>
      </c>
      <c r="D639" s="1" t="s">
        <v>352</v>
      </c>
      <c r="E639" s="6" t="s">
        <v>754</v>
      </c>
      <c r="F639" s="7" t="str">
        <f>HYPERLINK("https://drive.google.com/open?id=11skWmlW9bg1I5Y0qbtAwiD9dgHdxhUYl","1 files moved")</f>
        <v>1 files moved</v>
      </c>
      <c r="G639" s="6" t="s">
        <v>755</v>
      </c>
      <c r="H639" s="1" t="s">
        <v>756</v>
      </c>
    </row>
    <row r="640" spans="1:8" x14ac:dyDescent="0.2">
      <c r="A640" s="5">
        <v>45446.483792141204</v>
      </c>
      <c r="B640" s="1" t="s">
        <v>62</v>
      </c>
      <c r="C640" s="1">
        <v>2024</v>
      </c>
      <c r="D640" s="1" t="s">
        <v>352</v>
      </c>
      <c r="E640" s="6" t="s">
        <v>757</v>
      </c>
      <c r="F640" s="7" t="str">
        <f t="shared" ref="F640:F641" si="1">HYPERLINK("https://drive.google.com/open?id=1CSWuwAcjfOUkpFz17anJSHXpLD9oH9ta","1 files moved")</f>
        <v>1 files moved</v>
      </c>
      <c r="G640" s="6" t="s">
        <v>758</v>
      </c>
      <c r="H640" s="1" t="s">
        <v>759</v>
      </c>
    </row>
    <row r="641" spans="1:8" x14ac:dyDescent="0.2">
      <c r="A641" s="5">
        <v>45446.486159629625</v>
      </c>
      <c r="B641" s="1" t="s">
        <v>62</v>
      </c>
      <c r="C641" s="1">
        <v>2024</v>
      </c>
      <c r="D641" s="1" t="s">
        <v>318</v>
      </c>
      <c r="E641" s="6" t="s">
        <v>760</v>
      </c>
      <c r="F641" s="7" t="str">
        <f t="shared" si="1"/>
        <v>1 files moved</v>
      </c>
      <c r="G641" s="6" t="s">
        <v>761</v>
      </c>
      <c r="H641" s="1" t="s">
        <v>762</v>
      </c>
    </row>
    <row r="642" spans="1:8" x14ac:dyDescent="0.2">
      <c r="A642" s="5">
        <v>45446.48800834491</v>
      </c>
      <c r="B642" s="1" t="s">
        <v>397</v>
      </c>
      <c r="C642" s="1">
        <v>2024</v>
      </c>
      <c r="D642" s="1" t="s">
        <v>9</v>
      </c>
      <c r="E642" s="6" t="s">
        <v>763</v>
      </c>
      <c r="F642" s="7" t="str">
        <f>HYPERLINK("https://drive.google.com/open?id=11skWmlW9bg1I5Y0qbtAwiD9dgHdxhUYl","1 files moved")</f>
        <v>1 files moved</v>
      </c>
      <c r="G642" s="6" t="s">
        <v>764</v>
      </c>
      <c r="H642" s="1" t="s">
        <v>765</v>
      </c>
    </row>
    <row r="643" spans="1:8" x14ac:dyDescent="0.2">
      <c r="A643" s="5">
        <v>45446.488784016205</v>
      </c>
      <c r="B643" s="1" t="s">
        <v>62</v>
      </c>
      <c r="C643" s="1">
        <v>2024</v>
      </c>
      <c r="D643" s="1" t="s">
        <v>78</v>
      </c>
      <c r="E643" s="6" t="s">
        <v>766</v>
      </c>
      <c r="F643" s="7" t="str">
        <f>HYPERLINK("https://drive.google.com/open?id=1CSWuwAcjfOUkpFz17anJSHXpLD9oH9ta","1 files moved")</f>
        <v>1 files moved</v>
      </c>
      <c r="G643" s="6" t="s">
        <v>767</v>
      </c>
      <c r="H643" s="1" t="s">
        <v>768</v>
      </c>
    </row>
    <row r="644" spans="1:8" x14ac:dyDescent="0.2">
      <c r="A644" s="5">
        <v>45446.490254409728</v>
      </c>
      <c r="B644" s="1" t="s">
        <v>43</v>
      </c>
      <c r="C644" s="1">
        <v>2024</v>
      </c>
      <c r="D644" s="1" t="s">
        <v>352</v>
      </c>
      <c r="E644" s="6" t="s">
        <v>769</v>
      </c>
      <c r="F644" s="7" t="str">
        <f>HYPERLINK("https://drive.google.com/open?id=1V4TGvz085_QBAvEUyDaeNyMolr93zOZK","1 files moved")</f>
        <v>1 files moved</v>
      </c>
      <c r="G644" s="6" t="s">
        <v>770</v>
      </c>
      <c r="H644" s="1" t="s">
        <v>771</v>
      </c>
    </row>
    <row r="645" spans="1:8" x14ac:dyDescent="0.2">
      <c r="A645" s="5">
        <v>45446.546631909718</v>
      </c>
      <c r="B645" s="1" t="s">
        <v>22</v>
      </c>
      <c r="C645" s="1">
        <v>2024</v>
      </c>
      <c r="D645" s="1" t="s">
        <v>318</v>
      </c>
      <c r="E645" s="6" t="s">
        <v>772</v>
      </c>
      <c r="F645" s="7" t="str">
        <f t="shared" ref="F645:F646" si="2">HYPERLINK("https://drive.google.com/open?id=1WAbmR1kP-K3GSrnpnC5igzsk9XdBZPD_","1 files moved")</f>
        <v>1 files moved</v>
      </c>
      <c r="G645" s="6" t="s">
        <v>773</v>
      </c>
      <c r="H645" s="1" t="s">
        <v>774</v>
      </c>
    </row>
    <row r="646" spans="1:8" x14ac:dyDescent="0.2">
      <c r="A646" s="5">
        <v>45446.547063715276</v>
      </c>
      <c r="B646" s="1" t="s">
        <v>22</v>
      </c>
      <c r="C646" s="1">
        <v>2024</v>
      </c>
      <c r="D646" s="1" t="s">
        <v>352</v>
      </c>
      <c r="E646" s="6" t="s">
        <v>775</v>
      </c>
      <c r="F646" s="7" t="str">
        <f t="shared" si="2"/>
        <v>1 files moved</v>
      </c>
      <c r="G646" s="6" t="s">
        <v>776</v>
      </c>
      <c r="H646" s="1" t="s">
        <v>777</v>
      </c>
    </row>
    <row r="647" spans="1:8" x14ac:dyDescent="0.2">
      <c r="A647" s="5">
        <v>45446.626206076384</v>
      </c>
      <c r="B647" s="1" t="s">
        <v>39</v>
      </c>
      <c r="C647" s="1">
        <v>2024</v>
      </c>
      <c r="D647" s="1" t="s">
        <v>110</v>
      </c>
      <c r="E647" s="6" t="s">
        <v>778</v>
      </c>
      <c r="F647" s="7" t="str">
        <f>HYPERLINK("https://drive.google.com/open?id=1BZohlpYH-tCf-m6ifXipKqyT42Gbzhkv","1 files moved")</f>
        <v>1 files moved</v>
      </c>
      <c r="G647" s="6" t="s">
        <v>779</v>
      </c>
      <c r="H647" s="1" t="s">
        <v>780</v>
      </c>
    </row>
    <row r="648" spans="1:8" x14ac:dyDescent="0.2">
      <c r="A648" s="5">
        <v>45446.629435902782</v>
      </c>
      <c r="B648" s="1" t="s">
        <v>29</v>
      </c>
      <c r="C648" s="1">
        <v>2024</v>
      </c>
      <c r="D648" s="1" t="s">
        <v>110</v>
      </c>
      <c r="E648" s="6" t="s">
        <v>781</v>
      </c>
      <c r="F648" s="7" t="str">
        <f>HYPERLINK("https://drive.google.com/open?id=1jO7SQkOk_xjZHSX78M31VKgg3Vt_d9Aw","1 files moved")</f>
        <v>1 files moved</v>
      </c>
      <c r="G648" s="6" t="s">
        <v>782</v>
      </c>
      <c r="H648" s="1" t="s">
        <v>783</v>
      </c>
    </row>
    <row r="649" spans="1:8" x14ac:dyDescent="0.2">
      <c r="A649" s="5">
        <v>45447.351507511572</v>
      </c>
      <c r="B649" s="1" t="s">
        <v>11</v>
      </c>
      <c r="C649" s="1">
        <v>2024</v>
      </c>
      <c r="D649" s="1" t="s">
        <v>110</v>
      </c>
      <c r="E649" s="6" t="s">
        <v>784</v>
      </c>
      <c r="F649" s="7" t="str">
        <f t="shared" ref="F649:F653" si="3">HYPERLINK("https://drive.google.com/open?id=1Sf2WFhvsAzn8iNZqg-22yhfTdBuFAvJ9","1 files moved")</f>
        <v>1 files moved</v>
      </c>
      <c r="G649" s="6" t="s">
        <v>785</v>
      </c>
      <c r="H649" s="1" t="s">
        <v>786</v>
      </c>
    </row>
    <row r="650" spans="1:8" x14ac:dyDescent="0.2">
      <c r="A650" s="5">
        <v>45447.35155201389</v>
      </c>
      <c r="B650" s="1" t="s">
        <v>56</v>
      </c>
      <c r="C650" s="1">
        <v>2024</v>
      </c>
      <c r="D650" s="1" t="s">
        <v>110</v>
      </c>
      <c r="E650" s="6" t="s">
        <v>787</v>
      </c>
      <c r="F650" s="7" t="str">
        <f t="shared" si="3"/>
        <v>1 files moved</v>
      </c>
      <c r="G650" s="6" t="s">
        <v>788</v>
      </c>
      <c r="H650" s="1" t="s">
        <v>789</v>
      </c>
    </row>
    <row r="651" spans="1:8" x14ac:dyDescent="0.2">
      <c r="A651" s="5">
        <v>45447.366930393517</v>
      </c>
      <c r="B651" s="1" t="s">
        <v>37</v>
      </c>
      <c r="C651" s="1">
        <v>2024</v>
      </c>
      <c r="D651" s="1" t="s">
        <v>110</v>
      </c>
      <c r="E651" s="6" t="s">
        <v>790</v>
      </c>
      <c r="F651" s="7" t="str">
        <f t="shared" si="3"/>
        <v>1 files moved</v>
      </c>
      <c r="G651" s="6" t="s">
        <v>791</v>
      </c>
      <c r="H651" s="1" t="s">
        <v>792</v>
      </c>
    </row>
    <row r="652" spans="1:8" x14ac:dyDescent="0.2">
      <c r="A652" s="5">
        <v>45447.380114178246</v>
      </c>
      <c r="B652" s="1" t="s">
        <v>397</v>
      </c>
      <c r="C652" s="1">
        <v>2024</v>
      </c>
      <c r="D652" s="1" t="s">
        <v>110</v>
      </c>
      <c r="E652" s="6" t="s">
        <v>793</v>
      </c>
      <c r="F652" s="7" t="str">
        <f t="shared" si="3"/>
        <v>1 files moved</v>
      </c>
      <c r="G652" s="6" t="s">
        <v>794</v>
      </c>
      <c r="H652" s="1" t="s">
        <v>795</v>
      </c>
    </row>
    <row r="653" spans="1:8" x14ac:dyDescent="0.2">
      <c r="A653" s="5">
        <v>45447.395084722222</v>
      </c>
      <c r="B653" s="1" t="s">
        <v>8</v>
      </c>
      <c r="C653" s="1">
        <v>2024</v>
      </c>
      <c r="D653" s="1" t="s">
        <v>110</v>
      </c>
      <c r="E653" s="6" t="s">
        <v>796</v>
      </c>
      <c r="F653" s="7" t="str">
        <f t="shared" si="3"/>
        <v>1 files moved</v>
      </c>
      <c r="G653" s="6" t="s">
        <v>797</v>
      </c>
      <c r="H653" s="1" t="s">
        <v>798</v>
      </c>
    </row>
    <row r="654" spans="1:8" x14ac:dyDescent="0.2">
      <c r="A654" s="5">
        <v>45447.399254050921</v>
      </c>
      <c r="B654" s="1" t="s">
        <v>76</v>
      </c>
      <c r="C654" s="1">
        <v>2024</v>
      </c>
      <c r="D654" s="1" t="s">
        <v>352</v>
      </c>
      <c r="E654" s="6" t="s">
        <v>799</v>
      </c>
      <c r="F654" s="7" t="str">
        <f>HYPERLINK("https://drive.google.com/open?id=1LFqhTM1vITN5h90kh-Ytu1NTjLMIhv00","1 files moved")</f>
        <v>1 files moved</v>
      </c>
      <c r="G654" s="6" t="s">
        <v>800</v>
      </c>
      <c r="H654" s="1" t="s">
        <v>801</v>
      </c>
    </row>
    <row r="655" spans="1:8" x14ac:dyDescent="0.2">
      <c r="A655" s="5">
        <v>45448.326190833337</v>
      </c>
      <c r="B655" s="1" t="s">
        <v>16</v>
      </c>
      <c r="C655" s="1">
        <v>2024</v>
      </c>
      <c r="D655" s="1" t="s">
        <v>110</v>
      </c>
      <c r="E655" s="6" t="s">
        <v>802</v>
      </c>
      <c r="F655" s="7" t="str">
        <f t="shared" ref="F655:F660" si="4">HYPERLINK("https://drive.google.com/open?id=1Sf2WFhvsAzn8iNZqg-22yhfTdBuFAvJ9","1 files moved")</f>
        <v>1 files moved</v>
      </c>
      <c r="G655" s="6" t="s">
        <v>803</v>
      </c>
      <c r="H655" s="1" t="s">
        <v>804</v>
      </c>
    </row>
    <row r="656" spans="1:8" x14ac:dyDescent="0.2">
      <c r="A656" s="5">
        <v>45448.373705312501</v>
      </c>
      <c r="B656" s="1" t="s">
        <v>47</v>
      </c>
      <c r="C656" s="1">
        <v>2024</v>
      </c>
      <c r="D656" s="1" t="s">
        <v>110</v>
      </c>
      <c r="E656" s="6" t="s">
        <v>805</v>
      </c>
      <c r="F656" s="7" t="str">
        <f t="shared" si="4"/>
        <v>1 files moved</v>
      </c>
      <c r="G656" s="6" t="s">
        <v>806</v>
      </c>
      <c r="H656" s="1" t="s">
        <v>807</v>
      </c>
    </row>
    <row r="657" spans="1:8" x14ac:dyDescent="0.2">
      <c r="A657" s="5">
        <v>45448.377901793981</v>
      </c>
      <c r="B657" s="1" t="s">
        <v>43</v>
      </c>
      <c r="C657" s="1">
        <v>2024</v>
      </c>
      <c r="D657" s="1" t="s">
        <v>110</v>
      </c>
      <c r="E657" s="6" t="s">
        <v>808</v>
      </c>
      <c r="F657" s="7" t="str">
        <f t="shared" si="4"/>
        <v>1 files moved</v>
      </c>
      <c r="G657" s="6" t="s">
        <v>809</v>
      </c>
      <c r="H657" s="1" t="s">
        <v>810</v>
      </c>
    </row>
    <row r="658" spans="1:8" x14ac:dyDescent="0.2">
      <c r="A658" s="5">
        <v>45448.408563414356</v>
      </c>
      <c r="B658" s="1" t="s">
        <v>22</v>
      </c>
      <c r="C658" s="1">
        <v>2024</v>
      </c>
      <c r="D658" s="1" t="s">
        <v>110</v>
      </c>
      <c r="E658" s="6" t="s">
        <v>811</v>
      </c>
      <c r="F658" s="7" t="str">
        <f t="shared" si="4"/>
        <v>1 files moved</v>
      </c>
      <c r="G658" s="6" t="s">
        <v>812</v>
      </c>
      <c r="H658" s="1" t="s">
        <v>813</v>
      </c>
    </row>
    <row r="659" spans="1:8" x14ac:dyDescent="0.2">
      <c r="A659" s="5">
        <v>45448.44639646991</v>
      </c>
      <c r="B659" s="1" t="s">
        <v>378</v>
      </c>
      <c r="C659" s="1">
        <v>2024</v>
      </c>
      <c r="D659" s="1" t="s">
        <v>110</v>
      </c>
      <c r="E659" s="6" t="s">
        <v>814</v>
      </c>
      <c r="F659" s="7" t="str">
        <f t="shared" si="4"/>
        <v>1 files moved</v>
      </c>
      <c r="G659" s="6" t="s">
        <v>815</v>
      </c>
      <c r="H659" s="1" t="s">
        <v>816</v>
      </c>
    </row>
    <row r="660" spans="1:8" x14ac:dyDescent="0.2">
      <c r="A660" s="5">
        <v>45448.452953738422</v>
      </c>
      <c r="B660" s="1" t="s">
        <v>464</v>
      </c>
      <c r="C660" s="1">
        <v>2024</v>
      </c>
      <c r="D660" s="1" t="s">
        <v>110</v>
      </c>
      <c r="E660" s="6" t="s">
        <v>817</v>
      </c>
      <c r="F660" s="7" t="str">
        <f t="shared" si="4"/>
        <v>1 files moved</v>
      </c>
      <c r="G660" s="6" t="s">
        <v>818</v>
      </c>
      <c r="H660" s="1" t="s">
        <v>819</v>
      </c>
    </row>
    <row r="661" spans="1:8" x14ac:dyDescent="0.2">
      <c r="A661" s="5">
        <v>45448.45397732639</v>
      </c>
      <c r="B661" s="1" t="s">
        <v>43</v>
      </c>
      <c r="C661" s="1">
        <v>2024</v>
      </c>
      <c r="D661" s="1" t="s">
        <v>352</v>
      </c>
      <c r="E661" s="6" t="s">
        <v>820</v>
      </c>
      <c r="F661" s="7" t="str">
        <f>HYPERLINK("https://drive.google.com/open?id=1LFqhTM1vITN5h90kh-Ytu1NTjLMIhv00","1 files moved")</f>
        <v>1 files moved</v>
      </c>
      <c r="G661" s="6" t="s">
        <v>821</v>
      </c>
      <c r="H661" s="1" t="s">
        <v>822</v>
      </c>
    </row>
    <row r="662" spans="1:8" x14ac:dyDescent="0.2">
      <c r="A662" s="5">
        <v>45448.454485486116</v>
      </c>
      <c r="B662" s="1" t="s">
        <v>464</v>
      </c>
      <c r="C662" s="1">
        <v>2024</v>
      </c>
      <c r="D662" s="1" t="s">
        <v>78</v>
      </c>
      <c r="E662" s="6" t="s">
        <v>823</v>
      </c>
      <c r="F662" s="7" t="str">
        <f>HYPERLINK("https://drive.google.com/open?id=1z9lMODPeyxGcP0HzoFm6JQe_JHBsr6Is","1 files moved")</f>
        <v>1 files moved</v>
      </c>
      <c r="G662" s="6" t="s">
        <v>824</v>
      </c>
      <c r="H662" s="1" t="s">
        <v>825</v>
      </c>
    </row>
    <row r="663" spans="1:8" x14ac:dyDescent="0.2">
      <c r="A663" s="5">
        <v>45448.454503877314</v>
      </c>
      <c r="B663" s="1" t="s">
        <v>43</v>
      </c>
      <c r="C663" s="1">
        <v>2024</v>
      </c>
      <c r="D663" s="1" t="s">
        <v>9</v>
      </c>
      <c r="E663" s="6" t="s">
        <v>826</v>
      </c>
      <c r="F663" s="7" t="str">
        <f>HYPERLINK("https://drive.google.com/open?id=175ZXg4Nw-wRZV_OUo85-7sa4lMBqk-_Q","1 files moved")</f>
        <v>1 files moved</v>
      </c>
      <c r="G663" s="6" t="s">
        <v>827</v>
      </c>
      <c r="H663" s="1" t="s">
        <v>828</v>
      </c>
    </row>
    <row r="664" spans="1:8" x14ac:dyDescent="0.2">
      <c r="A664" s="5">
        <v>45448.557813807871</v>
      </c>
      <c r="B664" s="1" t="s">
        <v>666</v>
      </c>
      <c r="C664" s="1">
        <v>2024</v>
      </c>
      <c r="D664" s="1" t="s">
        <v>110</v>
      </c>
      <c r="E664" s="6" t="s">
        <v>829</v>
      </c>
      <c r="F664" s="7" t="str">
        <f t="shared" ref="F664:F667" si="5">HYPERLINK("https://drive.google.com/open?id=1Sf2WFhvsAzn8iNZqg-22yhfTdBuFAvJ9","1 files moved")</f>
        <v>1 files moved</v>
      </c>
      <c r="G664" s="6" t="s">
        <v>830</v>
      </c>
      <c r="H664" s="1" t="s">
        <v>831</v>
      </c>
    </row>
    <row r="665" spans="1:8" x14ac:dyDescent="0.2">
      <c r="A665" s="5">
        <v>45448.610793437503</v>
      </c>
      <c r="B665" s="1" t="s">
        <v>53</v>
      </c>
      <c r="C665" s="1">
        <v>2024</v>
      </c>
      <c r="D665" s="1" t="s">
        <v>110</v>
      </c>
      <c r="E665" s="6" t="s">
        <v>832</v>
      </c>
      <c r="F665" s="7" t="str">
        <f t="shared" si="5"/>
        <v>1 files moved</v>
      </c>
      <c r="G665" s="6" t="s">
        <v>833</v>
      </c>
      <c r="H665" s="1" t="s">
        <v>834</v>
      </c>
    </row>
    <row r="666" spans="1:8" x14ac:dyDescent="0.2">
      <c r="A666" s="5">
        <v>45449.375381666665</v>
      </c>
      <c r="B666" s="1" t="s">
        <v>68</v>
      </c>
      <c r="C666" s="1">
        <v>2024</v>
      </c>
      <c r="D666" s="1" t="s">
        <v>110</v>
      </c>
      <c r="E666" s="6" t="s">
        <v>835</v>
      </c>
      <c r="F666" s="7" t="str">
        <f t="shared" si="5"/>
        <v>1 files moved</v>
      </c>
      <c r="G666" s="6" t="s">
        <v>836</v>
      </c>
      <c r="H666" s="1" t="s">
        <v>837</v>
      </c>
    </row>
    <row r="667" spans="1:8" x14ac:dyDescent="0.2">
      <c r="A667" s="5">
        <v>45449.605901539355</v>
      </c>
      <c r="B667" s="1" t="s">
        <v>330</v>
      </c>
      <c r="C667" s="1">
        <v>2024</v>
      </c>
      <c r="D667" s="1" t="s">
        <v>110</v>
      </c>
      <c r="E667" s="6" t="s">
        <v>838</v>
      </c>
      <c r="F667" s="7" t="str">
        <f t="shared" si="5"/>
        <v>1 files moved</v>
      </c>
      <c r="G667" s="6" t="s">
        <v>839</v>
      </c>
      <c r="H667" s="1" t="s">
        <v>840</v>
      </c>
    </row>
    <row r="668" spans="1:8" x14ac:dyDescent="0.2">
      <c r="A668" s="5">
        <v>45453.364424583335</v>
      </c>
      <c r="B668" s="1" t="s">
        <v>27</v>
      </c>
      <c r="C668" s="1">
        <v>2024</v>
      </c>
      <c r="D668" s="1" t="s">
        <v>110</v>
      </c>
      <c r="E668" s="6" t="s">
        <v>841</v>
      </c>
      <c r="F668" s="7" t="str">
        <f>HYPERLINK("https://drive.google.com/open?id=1bGJWCN7-bZQSl3cMCCd4KJRrHz1r1jve","1 files moved")</f>
        <v>1 files moved</v>
      </c>
      <c r="G668" s="6" t="s">
        <v>842</v>
      </c>
      <c r="H668" s="1" t="s">
        <v>843</v>
      </c>
    </row>
    <row r="669" spans="1:8" x14ac:dyDescent="0.2">
      <c r="A669" s="5">
        <v>45453.378775266203</v>
      </c>
      <c r="B669" s="1" t="s">
        <v>13</v>
      </c>
      <c r="C669" s="1">
        <v>2024</v>
      </c>
      <c r="D669" s="1" t="s">
        <v>110</v>
      </c>
      <c r="E669" s="6" t="s">
        <v>844</v>
      </c>
      <c r="F669" s="7" t="str">
        <f>HYPERLINK("https://drive.google.com/open?id=1Zryv8yNLErRzmBqkGZTRY6f8oQgaib5M","1 files moved")</f>
        <v>1 files moved</v>
      </c>
      <c r="G669" s="6" t="s">
        <v>845</v>
      </c>
      <c r="H669" s="1" t="s">
        <v>846</v>
      </c>
    </row>
    <row r="670" spans="1:8" x14ac:dyDescent="0.2">
      <c r="A670" s="5">
        <v>45453.379735335649</v>
      </c>
      <c r="B670" s="1" t="s">
        <v>70</v>
      </c>
      <c r="C670" s="1">
        <v>2024</v>
      </c>
      <c r="D670" s="1" t="s">
        <v>110</v>
      </c>
      <c r="E670" s="6" t="s">
        <v>847</v>
      </c>
      <c r="F670" s="7" t="str">
        <f>HYPERLINK("https://drive.google.com/open?id=1tJPwF2su0hso4TETThLNHI9_S0dJdbLl","1 files moved")</f>
        <v>1 files moved</v>
      </c>
      <c r="G670" s="6" t="s">
        <v>848</v>
      </c>
      <c r="H670" s="1" t="s">
        <v>849</v>
      </c>
    </row>
    <row r="671" spans="1:8" x14ac:dyDescent="0.2">
      <c r="A671" s="5">
        <v>45453.404182662038</v>
      </c>
      <c r="B671" s="1" t="s">
        <v>666</v>
      </c>
      <c r="C671" s="1">
        <v>2024</v>
      </c>
      <c r="D671" s="1" t="s">
        <v>110</v>
      </c>
      <c r="E671" s="6" t="s">
        <v>850</v>
      </c>
      <c r="F671" s="7" t="str">
        <f>HYPERLINK("https://drive.google.com/open?id=1V9JxAml7o3RDV4BK_aYYG2UrIwxiEXjP","1 files moved")</f>
        <v>1 files moved</v>
      </c>
      <c r="G671" s="6" t="s">
        <v>851</v>
      </c>
      <c r="H671" s="1" t="s">
        <v>852</v>
      </c>
    </row>
    <row r="672" spans="1:8" x14ac:dyDescent="0.2">
      <c r="A672" s="5">
        <v>45453.415147291671</v>
      </c>
      <c r="B672" s="1" t="s">
        <v>35</v>
      </c>
      <c r="C672" s="1">
        <v>2024</v>
      </c>
      <c r="D672" s="1" t="s">
        <v>110</v>
      </c>
      <c r="E672" s="6" t="s">
        <v>853</v>
      </c>
      <c r="F672" s="7" t="str">
        <f>HYPERLINK("https://drive.google.com/open?id=1p9rKdY4QkNWIsmYys86EoZpuyIpPfpst","1 files moved")</f>
        <v>1 files moved</v>
      </c>
      <c r="G672" s="6" t="s">
        <v>854</v>
      </c>
      <c r="H672" s="1" t="s">
        <v>855</v>
      </c>
    </row>
    <row r="673" spans="1:8" x14ac:dyDescent="0.2">
      <c r="A673" s="5">
        <v>45453.496154236112</v>
      </c>
      <c r="B673" s="1" t="s">
        <v>348</v>
      </c>
      <c r="C673" s="1">
        <v>2024</v>
      </c>
      <c r="D673" s="1" t="s">
        <v>110</v>
      </c>
      <c r="E673" s="6" t="s">
        <v>856</v>
      </c>
      <c r="F673" s="7" t="str">
        <f>HYPERLINK("https://drive.google.com/open?id=17WOaAXl5jFgeySypAmjW1SMD0z4Hcu1k","1 files moved")</f>
        <v>1 files moved</v>
      </c>
      <c r="G673" s="6" t="s">
        <v>857</v>
      </c>
      <c r="H673" s="1" t="s">
        <v>858</v>
      </c>
    </row>
    <row r="674" spans="1:8" x14ac:dyDescent="0.2">
      <c r="A674" s="5">
        <v>45454.298108645831</v>
      </c>
      <c r="B674" s="1" t="s">
        <v>24</v>
      </c>
      <c r="C674" s="1">
        <v>2024</v>
      </c>
      <c r="D674" s="1" t="s">
        <v>110</v>
      </c>
      <c r="E674" s="6" t="s">
        <v>859</v>
      </c>
      <c r="F674" s="7" t="str">
        <f>HYPERLINK("https://drive.google.com/open?id=1lAkCTSJDqjfWsuZxvLL2COI53gbRENb_","1 files moved")</f>
        <v>1 files moved</v>
      </c>
      <c r="G674" s="6" t="s">
        <v>860</v>
      </c>
      <c r="H674" s="1" t="s">
        <v>861</v>
      </c>
    </row>
    <row r="675" spans="1:8" x14ac:dyDescent="0.2">
      <c r="A675" s="5">
        <v>45454.339361481485</v>
      </c>
      <c r="B675" s="1" t="s">
        <v>686</v>
      </c>
      <c r="C675" s="1">
        <v>2024</v>
      </c>
      <c r="D675" s="1" t="s">
        <v>110</v>
      </c>
      <c r="E675" s="6" t="s">
        <v>862</v>
      </c>
      <c r="F675" s="7" t="str">
        <f>HYPERLINK("https://drive.google.com/open?id=1raKDx-uNeIvhNP7U_Rt7B4uGTAH17pUT","1 files moved")</f>
        <v>1 files moved</v>
      </c>
      <c r="G675" s="6" t="s">
        <v>863</v>
      </c>
      <c r="H675" s="1" t="s">
        <v>864</v>
      </c>
    </row>
    <row r="676" spans="1:8" x14ac:dyDescent="0.2">
      <c r="A676" s="5">
        <v>45454.345704224535</v>
      </c>
      <c r="B676" s="1" t="s">
        <v>66</v>
      </c>
      <c r="C676" s="1">
        <v>2024</v>
      </c>
      <c r="D676" s="1" t="s">
        <v>110</v>
      </c>
      <c r="E676" s="6" t="s">
        <v>865</v>
      </c>
      <c r="F676" s="7" t="str">
        <f>HYPERLINK("https://drive.google.com/open?id=1km-qyuVgwan24VTfuBcnXv-a0gKCGit4","1 files moved")</f>
        <v>1 files moved</v>
      </c>
      <c r="G676" s="6" t="s">
        <v>866</v>
      </c>
      <c r="H676" s="1" t="s">
        <v>867</v>
      </c>
    </row>
    <row r="677" spans="1:8" x14ac:dyDescent="0.2">
      <c r="A677" s="5">
        <v>45454.348644548612</v>
      </c>
      <c r="B677" s="1" t="s">
        <v>45</v>
      </c>
      <c r="C677" s="1">
        <v>2024</v>
      </c>
      <c r="D677" s="1" t="s">
        <v>110</v>
      </c>
      <c r="E677" s="6" t="s">
        <v>868</v>
      </c>
      <c r="F677" s="7" t="str">
        <f>HYPERLINK("https://drive.google.com/open?id=1WOu53emjYl9MgCM11eFHkgxwdHlBm2Xz","1 files moved")</f>
        <v>1 files moved</v>
      </c>
      <c r="G677" s="6" t="s">
        <v>869</v>
      </c>
      <c r="H677" s="1" t="s">
        <v>870</v>
      </c>
    </row>
    <row r="678" spans="1:8" x14ac:dyDescent="0.2">
      <c r="A678" s="5">
        <v>45454.352474363426</v>
      </c>
      <c r="B678" s="1" t="s">
        <v>451</v>
      </c>
      <c r="C678" s="1">
        <v>2024</v>
      </c>
      <c r="D678" s="1" t="s">
        <v>110</v>
      </c>
      <c r="E678" s="6" t="s">
        <v>871</v>
      </c>
      <c r="F678" s="7" t="str">
        <f>HYPERLINK("https://drive.google.com/open?id=1KIx1m7meHb5nobC5pXq7RhJanL49Yo2o","1 files moved")</f>
        <v>1 files moved</v>
      </c>
      <c r="G678" s="6" t="s">
        <v>872</v>
      </c>
      <c r="H678" s="1" t="s">
        <v>873</v>
      </c>
    </row>
    <row r="679" spans="1:8" x14ac:dyDescent="0.2">
      <c r="A679" s="5">
        <v>45454.367925960643</v>
      </c>
      <c r="B679" s="1" t="s">
        <v>76</v>
      </c>
      <c r="C679" s="1">
        <v>2024</v>
      </c>
      <c r="D679" s="1" t="s">
        <v>110</v>
      </c>
      <c r="E679" s="6" t="s">
        <v>874</v>
      </c>
      <c r="F679" s="7" t="str">
        <f>HYPERLINK("https://drive.google.com/open?id=1YKXc634Hd6ivOmY-kuk_dNKkhypgkHlR","1 files moved")</f>
        <v>1 files moved</v>
      </c>
      <c r="G679" s="6" t="s">
        <v>875</v>
      </c>
      <c r="H679" s="1" t="s">
        <v>876</v>
      </c>
    </row>
    <row r="680" spans="1:8" x14ac:dyDescent="0.2">
      <c r="A680" s="5">
        <v>45454.418400451388</v>
      </c>
      <c r="B680" s="1" t="s">
        <v>696</v>
      </c>
      <c r="C680" s="1">
        <v>2024</v>
      </c>
      <c r="D680" s="1" t="s">
        <v>110</v>
      </c>
      <c r="E680" s="6" t="s">
        <v>877</v>
      </c>
      <c r="F680" s="7" t="str">
        <f>HYPERLINK("https://drive.google.com/open?id=1zihvmzb__nyKiReWO6jFdOUQyMof2Z5F","1 files moved")</f>
        <v>1 files moved</v>
      </c>
      <c r="G680" s="6" t="s">
        <v>878</v>
      </c>
      <c r="H680" s="1" t="s">
        <v>879</v>
      </c>
    </row>
    <row r="681" spans="1:8" x14ac:dyDescent="0.2">
      <c r="A681" s="5">
        <v>45454.652245833335</v>
      </c>
      <c r="B681" s="1" t="s">
        <v>112</v>
      </c>
      <c r="C681" s="1">
        <v>2024</v>
      </c>
      <c r="D681" s="1" t="s">
        <v>110</v>
      </c>
      <c r="E681" s="6" t="s">
        <v>880</v>
      </c>
      <c r="F681" s="7" t="str">
        <f>HYPERLINK("https://drive.google.com/open?id=1bgfFevr_vWoS1TUMY9H3d79cj9SEs5AT","1 files moved")</f>
        <v>1 files moved</v>
      </c>
      <c r="G681" s="6" t="s">
        <v>881</v>
      </c>
      <c r="H681" s="1" t="s">
        <v>882</v>
      </c>
    </row>
    <row r="682" spans="1:8" x14ac:dyDescent="0.2">
      <c r="A682" s="5">
        <v>45455.586484479165</v>
      </c>
      <c r="B682" s="1" t="s">
        <v>13</v>
      </c>
      <c r="C682" s="1">
        <v>2024</v>
      </c>
      <c r="D682" s="1" t="s">
        <v>883</v>
      </c>
      <c r="E682" s="6" t="s">
        <v>884</v>
      </c>
      <c r="F682" s="7" t="str">
        <f>HYPERLINK("https://drive.google.com/open?id=1Zryv8yNLErRzmBqkGZTRY6f8oQgaib5M","1 files moved")</f>
        <v>1 files moved</v>
      </c>
      <c r="G682" s="6" t="s">
        <v>885</v>
      </c>
      <c r="H682" s="1" t="s">
        <v>886</v>
      </c>
    </row>
    <row r="683" spans="1:8" x14ac:dyDescent="0.2">
      <c r="A683" s="5">
        <v>45455.590335115739</v>
      </c>
      <c r="B683" s="1" t="s">
        <v>66</v>
      </c>
      <c r="C683" s="1">
        <v>2024</v>
      </c>
      <c r="D683" s="1" t="s">
        <v>883</v>
      </c>
      <c r="E683" s="6" t="s">
        <v>887</v>
      </c>
      <c r="F683" s="7" t="str">
        <f>HYPERLINK("https://drive.google.com/open?id=1km-qyuVgwan24VTfuBcnXv-a0gKCGit4","1 files moved")</f>
        <v>1 files moved</v>
      </c>
      <c r="G683" s="6" t="s">
        <v>888</v>
      </c>
      <c r="H683" s="1" t="s">
        <v>889</v>
      </c>
    </row>
    <row r="684" spans="1:8" x14ac:dyDescent="0.2">
      <c r="A684" s="5">
        <v>45455.59080539352</v>
      </c>
      <c r="B684" s="1" t="s">
        <v>348</v>
      </c>
      <c r="C684" s="1">
        <v>2024</v>
      </c>
      <c r="D684" s="1" t="s">
        <v>883</v>
      </c>
      <c r="E684" s="6" t="s">
        <v>890</v>
      </c>
      <c r="F684" s="7" t="str">
        <f>HYPERLINK("https://drive.google.com/open?id=17WOaAXl5jFgeySypAmjW1SMD0z4Hcu1k","1 files moved")</f>
        <v>1 files moved</v>
      </c>
      <c r="G684" s="6" t="s">
        <v>891</v>
      </c>
      <c r="H684" s="1" t="s">
        <v>892</v>
      </c>
    </row>
    <row r="685" spans="1:8" x14ac:dyDescent="0.2">
      <c r="A685" s="5">
        <v>45455.590901261574</v>
      </c>
      <c r="B685" s="1" t="s">
        <v>66</v>
      </c>
      <c r="C685" s="1">
        <v>2024</v>
      </c>
      <c r="D685" s="1" t="s">
        <v>883</v>
      </c>
      <c r="E685" s="6" t="s">
        <v>893</v>
      </c>
      <c r="F685" s="7" t="str">
        <f>HYPERLINK("https://drive.google.com/open?id=1km-qyuVgwan24VTfuBcnXv-a0gKCGit4","1 files moved")</f>
        <v>1 files moved</v>
      </c>
      <c r="G685" s="6" t="s">
        <v>894</v>
      </c>
      <c r="H685" s="1" t="s">
        <v>895</v>
      </c>
    </row>
    <row r="686" spans="1:8" x14ac:dyDescent="0.2">
      <c r="A686" s="5">
        <v>45455.5911637963</v>
      </c>
      <c r="B686" s="1" t="s">
        <v>348</v>
      </c>
      <c r="C686" s="1">
        <v>2024</v>
      </c>
      <c r="D686" s="1" t="s">
        <v>883</v>
      </c>
      <c r="E686" s="6" t="s">
        <v>896</v>
      </c>
      <c r="F686" s="7" t="str">
        <f>HYPERLINK("https://drive.google.com/open?id=17WOaAXl5jFgeySypAmjW1SMD0z4Hcu1k","1 files moved")</f>
        <v>1 files moved</v>
      </c>
      <c r="G686" s="6" t="s">
        <v>897</v>
      </c>
      <c r="H686" s="1" t="s">
        <v>898</v>
      </c>
    </row>
    <row r="687" spans="1:8" x14ac:dyDescent="0.2">
      <c r="A687" s="5">
        <v>45455.591503194446</v>
      </c>
      <c r="B687" s="1" t="s">
        <v>56</v>
      </c>
      <c r="C687" s="1">
        <v>2024</v>
      </c>
      <c r="D687" s="1" t="s">
        <v>883</v>
      </c>
      <c r="E687" s="6" t="s">
        <v>899</v>
      </c>
      <c r="F687" s="7" t="str">
        <f>HYPERLINK("https://drive.google.com/open?id=1YZIPSo9PodNGWCjC1zK15cW1JEByXJ7w","1 files moved")</f>
        <v>1 files moved</v>
      </c>
      <c r="G687" s="6" t="s">
        <v>900</v>
      </c>
      <c r="H687" s="1" t="s">
        <v>901</v>
      </c>
    </row>
    <row r="688" spans="1:8" x14ac:dyDescent="0.2">
      <c r="A688" s="5">
        <v>45455.593515694447</v>
      </c>
      <c r="B688" s="1" t="s">
        <v>68</v>
      </c>
      <c r="C688" s="1">
        <v>2024</v>
      </c>
      <c r="D688" s="1" t="s">
        <v>883</v>
      </c>
      <c r="E688" s="6" t="s">
        <v>902</v>
      </c>
      <c r="F688" s="7" t="str">
        <f>HYPERLINK("https://drive.google.com/open?id=1OV29wdO4ju235Dn_RfWfQvZfv8o_gJRA","1 files moved")</f>
        <v>1 files moved</v>
      </c>
      <c r="G688" s="6" t="s">
        <v>903</v>
      </c>
      <c r="H688" s="1" t="s">
        <v>904</v>
      </c>
    </row>
    <row r="689" spans="1:8" x14ac:dyDescent="0.2">
      <c r="A689" s="5">
        <v>45455.593574178245</v>
      </c>
      <c r="B689" s="1" t="s">
        <v>39</v>
      </c>
      <c r="C689" s="1">
        <v>2024</v>
      </c>
      <c r="D689" s="1" t="s">
        <v>883</v>
      </c>
      <c r="E689" s="6" t="s">
        <v>905</v>
      </c>
      <c r="F689" s="7" t="str">
        <f>HYPERLINK("https://drive.google.com/open?id=1BZohlpYH-tCf-m6ifXipKqyT42Gbzhkv","1 files moved")</f>
        <v>1 files moved</v>
      </c>
      <c r="G689" s="6" t="s">
        <v>906</v>
      </c>
      <c r="H689" s="1" t="s">
        <v>907</v>
      </c>
    </row>
    <row r="690" spans="1:8" x14ac:dyDescent="0.2">
      <c r="A690" s="5">
        <v>45455.594181249995</v>
      </c>
      <c r="B690" s="1" t="s">
        <v>29</v>
      </c>
      <c r="C690" s="1">
        <v>2024</v>
      </c>
      <c r="D690" s="1" t="s">
        <v>883</v>
      </c>
      <c r="E690" s="6" t="s">
        <v>908</v>
      </c>
      <c r="F690" s="7" t="str">
        <f>HYPERLINK("https://drive.google.com/open?id=1jO7SQkOk_xjZHSX78M31VKgg3Vt_d9Aw","1 files moved")</f>
        <v>1 files moved</v>
      </c>
      <c r="G690" s="6" t="s">
        <v>909</v>
      </c>
      <c r="H690" s="1" t="s">
        <v>910</v>
      </c>
    </row>
    <row r="691" spans="1:8" x14ac:dyDescent="0.2">
      <c r="A691" s="5">
        <v>45455.594555092597</v>
      </c>
      <c r="B691" s="1" t="s">
        <v>33</v>
      </c>
      <c r="C691" s="1">
        <v>2024</v>
      </c>
      <c r="D691" s="1" t="s">
        <v>883</v>
      </c>
      <c r="E691" s="6" t="s">
        <v>911</v>
      </c>
      <c r="F691" s="7" t="str">
        <f>HYPERLINK("https://drive.google.com/open?id=1vt-BVSJOLHBIrsp9094dDz7aTxUYbXOd","1 files moved")</f>
        <v>1 files moved</v>
      </c>
      <c r="G691" s="6" t="s">
        <v>912</v>
      </c>
      <c r="H691" s="1" t="s">
        <v>913</v>
      </c>
    </row>
    <row r="692" spans="1:8" x14ac:dyDescent="0.2">
      <c r="A692" s="5">
        <v>45455.595889062504</v>
      </c>
      <c r="B692" s="1" t="s">
        <v>22</v>
      </c>
      <c r="C692" s="1">
        <v>2024</v>
      </c>
      <c r="D692" s="1" t="s">
        <v>883</v>
      </c>
      <c r="E692" s="6" t="s">
        <v>914</v>
      </c>
      <c r="F692" s="7" t="str">
        <f>HYPERLINK("https://drive.google.com/open?id=1WAbmR1kP-K3GSrnpnC5igzsk9XdBZPD_","1 files moved")</f>
        <v>1 files moved</v>
      </c>
      <c r="G692" s="6" t="s">
        <v>915</v>
      </c>
      <c r="H692" s="1" t="s">
        <v>916</v>
      </c>
    </row>
    <row r="693" spans="1:8" x14ac:dyDescent="0.2">
      <c r="A693" s="5">
        <v>45455.596492881945</v>
      </c>
      <c r="B693" s="1" t="s">
        <v>76</v>
      </c>
      <c r="C693" s="1">
        <v>2024</v>
      </c>
      <c r="D693" s="1" t="s">
        <v>883</v>
      </c>
      <c r="E693" s="6" t="s">
        <v>917</v>
      </c>
      <c r="F693" s="7" t="str">
        <f t="shared" ref="F693:F702" si="6">HYPERLINK("https://drive.google.com/open?id=13pz8ig7FZe8-9FyXdab-7-PAjKoCAKLq","1 files moved")</f>
        <v>1 files moved</v>
      </c>
      <c r="G693" s="6" t="s">
        <v>918</v>
      </c>
      <c r="H693" s="1" t="s">
        <v>919</v>
      </c>
    </row>
    <row r="694" spans="1:8" x14ac:dyDescent="0.2">
      <c r="A694" s="5">
        <v>45455.597000300928</v>
      </c>
      <c r="B694" s="1" t="s">
        <v>330</v>
      </c>
      <c r="C694" s="1">
        <v>2024</v>
      </c>
      <c r="D694" s="1" t="s">
        <v>883</v>
      </c>
      <c r="E694" s="6" t="s">
        <v>920</v>
      </c>
      <c r="F694" s="7" t="str">
        <f t="shared" si="6"/>
        <v>1 files moved</v>
      </c>
      <c r="G694" s="6" t="s">
        <v>921</v>
      </c>
      <c r="H694" s="1" t="s">
        <v>922</v>
      </c>
    </row>
    <row r="695" spans="1:8" x14ac:dyDescent="0.2">
      <c r="A695" s="5">
        <v>45455.599125370369</v>
      </c>
      <c r="B695" s="1" t="s">
        <v>35</v>
      </c>
      <c r="C695" s="1">
        <v>2024</v>
      </c>
      <c r="D695" s="1" t="s">
        <v>883</v>
      </c>
      <c r="E695" s="6" t="s">
        <v>923</v>
      </c>
      <c r="F695" s="7" t="str">
        <f t="shared" si="6"/>
        <v>1 files moved</v>
      </c>
      <c r="G695" s="6" t="s">
        <v>924</v>
      </c>
      <c r="H695" s="1" t="s">
        <v>925</v>
      </c>
    </row>
    <row r="696" spans="1:8" x14ac:dyDescent="0.2">
      <c r="A696" s="5">
        <v>45455.599896203705</v>
      </c>
      <c r="B696" s="1" t="s">
        <v>53</v>
      </c>
      <c r="C696" s="1">
        <v>2024</v>
      </c>
      <c r="D696" s="1" t="s">
        <v>883</v>
      </c>
      <c r="E696" s="6" t="s">
        <v>926</v>
      </c>
      <c r="F696" s="7" t="str">
        <f t="shared" si="6"/>
        <v>1 files moved</v>
      </c>
      <c r="G696" s="6" t="s">
        <v>927</v>
      </c>
      <c r="H696" s="1" t="s">
        <v>928</v>
      </c>
    </row>
    <row r="697" spans="1:8" x14ac:dyDescent="0.2">
      <c r="A697" s="5">
        <v>45455.608123333332</v>
      </c>
      <c r="B697" s="1" t="s">
        <v>62</v>
      </c>
      <c r="C697" s="1">
        <v>2024</v>
      </c>
      <c r="D697" s="1" t="s">
        <v>883</v>
      </c>
      <c r="E697" s="6" t="s">
        <v>929</v>
      </c>
      <c r="F697" s="7" t="str">
        <f t="shared" si="6"/>
        <v>1 files moved</v>
      </c>
      <c r="G697" s="6" t="s">
        <v>930</v>
      </c>
      <c r="H697" s="1" t="s">
        <v>931</v>
      </c>
    </row>
    <row r="698" spans="1:8" x14ac:dyDescent="0.2">
      <c r="A698" s="5">
        <v>45455.619251331023</v>
      </c>
      <c r="B698" s="1" t="s">
        <v>43</v>
      </c>
      <c r="C698" s="1">
        <v>2024</v>
      </c>
      <c r="D698" s="1" t="s">
        <v>883</v>
      </c>
      <c r="E698" s="6" t="s">
        <v>932</v>
      </c>
      <c r="F698" s="7" t="str">
        <f t="shared" si="6"/>
        <v>1 files moved</v>
      </c>
      <c r="G698" s="6" t="s">
        <v>933</v>
      </c>
      <c r="H698" s="1" t="s">
        <v>934</v>
      </c>
    </row>
    <row r="699" spans="1:8" x14ac:dyDescent="0.2">
      <c r="A699" s="5">
        <v>45455.638102488425</v>
      </c>
      <c r="B699" s="1" t="s">
        <v>24</v>
      </c>
      <c r="C699" s="1">
        <v>2024</v>
      </c>
      <c r="D699" s="1" t="s">
        <v>883</v>
      </c>
      <c r="E699" s="6" t="s">
        <v>935</v>
      </c>
      <c r="F699" s="7" t="str">
        <f t="shared" si="6"/>
        <v>1 files moved</v>
      </c>
      <c r="G699" s="6" t="s">
        <v>936</v>
      </c>
      <c r="H699" s="1" t="s">
        <v>937</v>
      </c>
    </row>
    <row r="700" spans="1:8" x14ac:dyDescent="0.2">
      <c r="A700" s="5">
        <v>45455.641964571754</v>
      </c>
      <c r="B700" s="1" t="s">
        <v>35</v>
      </c>
      <c r="C700" s="1">
        <v>2024</v>
      </c>
      <c r="D700" s="1" t="s">
        <v>883</v>
      </c>
      <c r="E700" s="6" t="s">
        <v>938</v>
      </c>
      <c r="F700" s="7" t="str">
        <f t="shared" si="6"/>
        <v>1 files moved</v>
      </c>
      <c r="G700" s="6" t="s">
        <v>939</v>
      </c>
      <c r="H700" s="1" t="s">
        <v>940</v>
      </c>
    </row>
    <row r="701" spans="1:8" x14ac:dyDescent="0.2">
      <c r="A701" s="5">
        <v>45455.648277824075</v>
      </c>
      <c r="B701" s="1" t="s">
        <v>686</v>
      </c>
      <c r="C701" s="1">
        <v>2024</v>
      </c>
      <c r="D701" s="1" t="s">
        <v>883</v>
      </c>
      <c r="E701" s="6" t="s">
        <v>941</v>
      </c>
      <c r="F701" s="7" t="str">
        <f t="shared" si="6"/>
        <v>1 files moved</v>
      </c>
      <c r="G701" s="6" t="s">
        <v>942</v>
      </c>
      <c r="H701" s="1" t="s">
        <v>943</v>
      </c>
    </row>
    <row r="702" spans="1:8" x14ac:dyDescent="0.2">
      <c r="A702" s="5">
        <v>45456.369889780093</v>
      </c>
      <c r="B702" s="1" t="s">
        <v>330</v>
      </c>
      <c r="C702" s="1">
        <v>2024</v>
      </c>
      <c r="D702" s="1" t="s">
        <v>883</v>
      </c>
      <c r="E702" s="6" t="s">
        <v>944</v>
      </c>
      <c r="F702" s="7" t="str">
        <f t="shared" si="6"/>
        <v>1 files moved</v>
      </c>
      <c r="G702" s="6" t="s">
        <v>945</v>
      </c>
      <c r="H702" s="1" t="s">
        <v>946</v>
      </c>
    </row>
    <row r="703" spans="1:8" x14ac:dyDescent="0.2">
      <c r="A703" s="5">
        <v>45476.329918969903</v>
      </c>
      <c r="B703" s="1" t="s">
        <v>39</v>
      </c>
      <c r="C703" s="1">
        <v>2024</v>
      </c>
      <c r="D703" s="1" t="s">
        <v>139</v>
      </c>
      <c r="E703" s="6" t="s">
        <v>947</v>
      </c>
      <c r="F703" s="7" t="str">
        <f>HYPERLINK("https://drive.google.com/open?id=1BZohlpYH-tCf-m6ifXipKqyT42Gbzhkv","1 files moved")</f>
        <v>1 files moved</v>
      </c>
      <c r="G703" s="6" t="s">
        <v>948</v>
      </c>
      <c r="H703" s="1" t="s">
        <v>949</v>
      </c>
    </row>
    <row r="704" spans="1:8" x14ac:dyDescent="0.2">
      <c r="A704" s="5">
        <v>45476.330276157409</v>
      </c>
      <c r="B704" s="1" t="s">
        <v>33</v>
      </c>
      <c r="C704" s="1">
        <v>2024</v>
      </c>
      <c r="D704" s="1" t="s">
        <v>139</v>
      </c>
      <c r="E704" s="6" t="s">
        <v>950</v>
      </c>
      <c r="F704" s="7" t="str">
        <f>HYPERLINK("https://drive.google.com/open?id=1vt-BVSJOLHBIrsp9094dDz7aTxUYbXOd","1 files moved")</f>
        <v>1 files moved</v>
      </c>
      <c r="G704" s="6" t="s">
        <v>951</v>
      </c>
      <c r="H704" s="1" t="s">
        <v>952</v>
      </c>
    </row>
    <row r="705" spans="1:8" x14ac:dyDescent="0.2">
      <c r="A705" s="5">
        <v>45476.330600127316</v>
      </c>
      <c r="B705" s="1" t="s">
        <v>29</v>
      </c>
      <c r="C705" s="1">
        <v>2024</v>
      </c>
      <c r="D705" s="1" t="s">
        <v>139</v>
      </c>
      <c r="E705" s="6" t="s">
        <v>953</v>
      </c>
      <c r="F705" s="7" t="str">
        <f>HYPERLINK("https://drive.google.com/open?id=1jO7SQkOk_xjZHSX78M31VKgg3Vt_d9Aw","1 files moved")</f>
        <v>1 files moved</v>
      </c>
      <c r="G705" s="6" t="s">
        <v>954</v>
      </c>
      <c r="H705" s="1" t="s">
        <v>955</v>
      </c>
    </row>
    <row r="706" spans="1:8" x14ac:dyDescent="0.2">
      <c r="A706" s="5">
        <v>45477.309346377311</v>
      </c>
      <c r="B706" s="1" t="s">
        <v>956</v>
      </c>
      <c r="C706" s="1">
        <v>2024</v>
      </c>
      <c r="D706" s="1" t="s">
        <v>139</v>
      </c>
      <c r="E706" s="6" t="s">
        <v>957</v>
      </c>
      <c r="F706" s="7" t="str">
        <f>HYPERLINK("https://drive.google.com/open?id=1UZh5dIb03-WOPd8G800Y_Y85mb0MdzIF","1 files moved")</f>
        <v>1 files moved</v>
      </c>
      <c r="G706" s="6" t="s">
        <v>958</v>
      </c>
      <c r="H706" s="1" t="s">
        <v>959</v>
      </c>
    </row>
    <row r="707" spans="1:8" x14ac:dyDescent="0.2">
      <c r="A707" s="5">
        <v>45481.349545937497</v>
      </c>
      <c r="B707" s="1" t="s">
        <v>16</v>
      </c>
      <c r="C707" s="1">
        <v>2024</v>
      </c>
      <c r="D707" s="1" t="s">
        <v>139</v>
      </c>
      <c r="E707" s="6" t="s">
        <v>960</v>
      </c>
      <c r="F707" s="7" t="str">
        <f>HYPERLINK("https://drive.google.com/open?id=1YNQBM17-ejVScp5nWkNR2hYKrlehzOCe","1 files moved")</f>
        <v>1 files moved</v>
      </c>
      <c r="G707" s="6" t="s">
        <v>961</v>
      </c>
      <c r="H707" s="1" t="s">
        <v>962</v>
      </c>
    </row>
    <row r="708" spans="1:8" x14ac:dyDescent="0.2">
      <c r="A708" s="5">
        <v>45481.405555914353</v>
      </c>
      <c r="B708" s="1" t="s">
        <v>451</v>
      </c>
      <c r="C708" s="1">
        <v>2024</v>
      </c>
      <c r="D708" s="1" t="s">
        <v>139</v>
      </c>
      <c r="E708" s="6" t="s">
        <v>963</v>
      </c>
      <c r="F708" s="7" t="str">
        <f>HYPERLINK("https://drive.google.com/open?id=1KIx1m7meHb5nobC5pXq7RhJanL49Yo2o","1 files moved")</f>
        <v>1 files moved</v>
      </c>
      <c r="G708" s="6" t="s">
        <v>964</v>
      </c>
      <c r="H708" s="1" t="s">
        <v>965</v>
      </c>
    </row>
    <row r="709" spans="1:8" x14ac:dyDescent="0.2">
      <c r="A709" s="5">
        <v>45481.40817678241</v>
      </c>
      <c r="B709" s="1" t="s">
        <v>35</v>
      </c>
      <c r="C709" s="1">
        <v>2024</v>
      </c>
      <c r="D709" s="1" t="s">
        <v>139</v>
      </c>
      <c r="E709" s="6" t="s">
        <v>966</v>
      </c>
      <c r="F709" s="7" t="str">
        <f>HYPERLINK("https://drive.google.com/open?id=1p9rKdY4QkNWIsmYys86EoZpuyIpPfpst","1 files moved")</f>
        <v>1 files moved</v>
      </c>
      <c r="G709" s="6" t="s">
        <v>967</v>
      </c>
      <c r="H709" s="1" t="s">
        <v>968</v>
      </c>
    </row>
    <row r="710" spans="1:8" x14ac:dyDescent="0.2">
      <c r="A710" s="5">
        <v>45481.422884699074</v>
      </c>
      <c r="B710" s="1" t="s">
        <v>969</v>
      </c>
      <c r="C710" s="1">
        <v>2024</v>
      </c>
      <c r="D710" s="1" t="s">
        <v>139</v>
      </c>
      <c r="E710" s="6" t="s">
        <v>970</v>
      </c>
      <c r="F710" s="7" t="str">
        <f>HYPERLINK("https://drive.google.com/open?id=1jjaZ6sBJ-rgFFoV-a9VrKbvqiPbqOcgX","1 files moved")</f>
        <v>1 files moved</v>
      </c>
      <c r="G710" s="6" t="s">
        <v>971</v>
      </c>
      <c r="H710" s="1" t="s">
        <v>972</v>
      </c>
    </row>
    <row r="711" spans="1:8" x14ac:dyDescent="0.2">
      <c r="A711" s="5">
        <v>45481.44631162037</v>
      </c>
      <c r="B711" s="1" t="s">
        <v>24</v>
      </c>
      <c r="C711" s="1">
        <v>2024</v>
      </c>
      <c r="D711" s="1" t="s">
        <v>139</v>
      </c>
      <c r="E711" s="6" t="s">
        <v>973</v>
      </c>
      <c r="F711" s="7" t="str">
        <f>HYPERLINK("https://drive.google.com/open?id=1lAkCTSJDqjfWsuZxvLL2COI53gbRENb_","1 files moved")</f>
        <v>1 files moved</v>
      </c>
      <c r="G711" s="6" t="s">
        <v>974</v>
      </c>
      <c r="H711" s="1" t="s">
        <v>975</v>
      </c>
    </row>
    <row r="712" spans="1:8" x14ac:dyDescent="0.2">
      <c r="A712" s="5">
        <v>45481.44682542824</v>
      </c>
      <c r="B712" s="1" t="s">
        <v>397</v>
      </c>
      <c r="C712" s="1">
        <v>2024</v>
      </c>
      <c r="D712" s="1" t="s">
        <v>139</v>
      </c>
      <c r="E712" s="6" t="s">
        <v>976</v>
      </c>
      <c r="F712" s="7" t="str">
        <f>HYPERLINK("https://drive.google.com/open?id=11skWmlW9bg1I5Y0qbtAwiD9dgHdxhUYl","1 files moved")</f>
        <v>1 files moved</v>
      </c>
      <c r="G712" s="6" t="s">
        <v>977</v>
      </c>
      <c r="H712" s="1" t="s">
        <v>978</v>
      </c>
    </row>
    <row r="713" spans="1:8" x14ac:dyDescent="0.2">
      <c r="A713" s="5">
        <v>45481.450038078707</v>
      </c>
      <c r="B713" s="1" t="s">
        <v>378</v>
      </c>
      <c r="C713" s="1">
        <v>2024</v>
      </c>
      <c r="D713" s="1" t="s">
        <v>139</v>
      </c>
      <c r="E713" s="6" t="s">
        <v>979</v>
      </c>
      <c r="F713" s="7" t="str">
        <f>HYPERLINK("https://drive.google.com/open?id=1UaOhVLC8EU7AZLMQiErwZkrTRt0YZt3o","1 files moved")</f>
        <v>1 files moved</v>
      </c>
      <c r="G713" s="6" t="s">
        <v>980</v>
      </c>
      <c r="H713" s="1" t="s">
        <v>981</v>
      </c>
    </row>
    <row r="714" spans="1:8" x14ac:dyDescent="0.2">
      <c r="A714" s="5">
        <v>45481.478428773145</v>
      </c>
      <c r="B714" s="1" t="s">
        <v>27</v>
      </c>
      <c r="C714" s="1">
        <v>2024</v>
      </c>
      <c r="D714" s="1" t="s">
        <v>139</v>
      </c>
      <c r="E714" s="6" t="s">
        <v>982</v>
      </c>
      <c r="F714" s="7" t="str">
        <f>HYPERLINK("https://drive.google.com/open?id=1bGJWCN7-bZQSl3cMCCd4KJRrHz1r1jve","1 files moved")</f>
        <v>1 files moved</v>
      </c>
      <c r="G714" s="6" t="s">
        <v>983</v>
      </c>
      <c r="H714" s="1" t="s">
        <v>984</v>
      </c>
    </row>
    <row r="715" spans="1:8" x14ac:dyDescent="0.2">
      <c r="A715" s="5">
        <v>45481.478681030094</v>
      </c>
      <c r="B715" s="1" t="s">
        <v>22</v>
      </c>
      <c r="C715" s="1">
        <v>2024</v>
      </c>
      <c r="D715" s="1" t="s">
        <v>139</v>
      </c>
      <c r="E715" s="6" t="s">
        <v>985</v>
      </c>
      <c r="F715" s="7" t="str">
        <f>HYPERLINK("https://drive.google.com/open?id=1WAbmR1kP-K3GSrnpnC5igzsk9XdBZPD_","1 files moved")</f>
        <v>1 files moved</v>
      </c>
      <c r="G715" s="6" t="s">
        <v>986</v>
      </c>
      <c r="H715" s="1" t="s">
        <v>987</v>
      </c>
    </row>
    <row r="716" spans="1:8" x14ac:dyDescent="0.2">
      <c r="A716" s="5">
        <v>45481.511331851856</v>
      </c>
      <c r="B716" s="1" t="s">
        <v>348</v>
      </c>
      <c r="C716" s="1">
        <v>2024</v>
      </c>
      <c r="D716" s="1" t="s">
        <v>139</v>
      </c>
      <c r="E716" s="6" t="s">
        <v>988</v>
      </c>
      <c r="F716" s="7" t="str">
        <f>HYPERLINK("https://drive.google.com/open?id=17WOaAXl5jFgeySypAmjW1SMD0z4Hcu1k","1 files moved")</f>
        <v>1 files moved</v>
      </c>
      <c r="G716" s="6" t="s">
        <v>989</v>
      </c>
      <c r="H716" s="1" t="s">
        <v>990</v>
      </c>
    </row>
    <row r="717" spans="1:8" x14ac:dyDescent="0.2">
      <c r="A717" s="5">
        <v>45481.512517673611</v>
      </c>
      <c r="B717" s="1" t="s">
        <v>37</v>
      </c>
      <c r="C717" s="1">
        <v>2024</v>
      </c>
      <c r="D717" s="1" t="s">
        <v>139</v>
      </c>
      <c r="E717" s="6" t="s">
        <v>991</v>
      </c>
      <c r="F717" s="7" t="str">
        <f>HYPERLINK("https://drive.google.com/open?id=1qa1mLZHOuZIAKZUnYIblWo1lTS9NuBTm","1 files moved")</f>
        <v>1 files moved</v>
      </c>
      <c r="G717" s="6" t="s">
        <v>992</v>
      </c>
      <c r="H717" s="1" t="s">
        <v>993</v>
      </c>
    </row>
    <row r="718" spans="1:8" x14ac:dyDescent="0.2">
      <c r="A718" s="5">
        <v>45481.607910289356</v>
      </c>
      <c r="B718" s="1" t="s">
        <v>68</v>
      </c>
      <c r="C718" s="1">
        <v>2024</v>
      </c>
      <c r="D718" s="1" t="s">
        <v>139</v>
      </c>
      <c r="E718" s="6" t="s">
        <v>994</v>
      </c>
      <c r="F718" s="7" t="str">
        <f>HYPERLINK("https://drive.google.com/open?id=1OV29wdO4ju235Dn_RfWfQvZfv8o_gJRA","1 files moved")</f>
        <v>1 files moved</v>
      </c>
      <c r="G718" s="6" t="s">
        <v>995</v>
      </c>
      <c r="H718" s="1" t="s">
        <v>996</v>
      </c>
    </row>
    <row r="719" spans="1:8" x14ac:dyDescent="0.2">
      <c r="A719" s="5">
        <v>45481.623182685187</v>
      </c>
      <c r="B719" s="1" t="s">
        <v>76</v>
      </c>
      <c r="C719" s="1">
        <v>2024</v>
      </c>
      <c r="D719" s="1" t="s">
        <v>139</v>
      </c>
      <c r="E719" s="6" t="s">
        <v>997</v>
      </c>
      <c r="F719" s="7" t="str">
        <f>HYPERLINK("https://drive.google.com/open?id=1YKXc634Hd6ivOmY-kuk_dNKkhypgkHlR","1 files moved")</f>
        <v>1 files moved</v>
      </c>
      <c r="G719" s="6" t="s">
        <v>998</v>
      </c>
      <c r="H719" s="1" t="s">
        <v>999</v>
      </c>
    </row>
    <row r="720" spans="1:8" x14ac:dyDescent="0.2">
      <c r="A720" s="5">
        <v>45481.655410960651</v>
      </c>
      <c r="B720" s="1" t="s">
        <v>66</v>
      </c>
      <c r="C720" s="1">
        <v>2024</v>
      </c>
      <c r="D720" s="1" t="s">
        <v>139</v>
      </c>
      <c r="E720" s="6" t="s">
        <v>1000</v>
      </c>
      <c r="F720" s="7" t="str">
        <f>HYPERLINK("https://drive.google.com/open?id=1km-qyuVgwan24VTfuBcnXv-a0gKCGit4","1 files moved")</f>
        <v>1 files moved</v>
      </c>
      <c r="G720" s="6" t="s">
        <v>1001</v>
      </c>
      <c r="H720" s="1" t="s">
        <v>1002</v>
      </c>
    </row>
    <row r="721" spans="1:8" x14ac:dyDescent="0.2">
      <c r="A721" s="5">
        <v>45481.655817094907</v>
      </c>
      <c r="B721" s="1" t="s">
        <v>45</v>
      </c>
      <c r="C721" s="1">
        <v>2024</v>
      </c>
      <c r="D721" s="1" t="s">
        <v>139</v>
      </c>
      <c r="E721" s="6" t="s">
        <v>1003</v>
      </c>
      <c r="F721" s="7" t="str">
        <f>HYPERLINK("https://drive.google.com/open?id=1WOu53emjYl9MgCM11eFHkgxwdHlBm2Xz","1 files moved")</f>
        <v>1 files moved</v>
      </c>
      <c r="G721" s="6" t="s">
        <v>1004</v>
      </c>
      <c r="H721" s="1" t="s">
        <v>1005</v>
      </c>
    </row>
    <row r="722" spans="1:8" x14ac:dyDescent="0.2">
      <c r="A722" s="5">
        <v>45482.292962789354</v>
      </c>
      <c r="B722" s="1" t="s">
        <v>43</v>
      </c>
      <c r="C722" s="1">
        <v>2024</v>
      </c>
      <c r="D722" s="1" t="s">
        <v>139</v>
      </c>
      <c r="E722" s="6" t="s">
        <v>1006</v>
      </c>
      <c r="F722" s="7" t="str">
        <f>HYPERLINK("https://drive.google.com/open?id=1V4TGvz085_QBAvEUyDaeNyMolr93zOZK","1 files moved")</f>
        <v>1 files moved</v>
      </c>
      <c r="G722" s="6" t="s">
        <v>1007</v>
      </c>
      <c r="H722" s="1" t="s">
        <v>1008</v>
      </c>
    </row>
    <row r="723" spans="1:8" x14ac:dyDescent="0.2">
      <c r="A723" s="5">
        <v>45482.331296782402</v>
      </c>
      <c r="B723" s="1" t="s">
        <v>8</v>
      </c>
      <c r="C723" s="1">
        <v>2024</v>
      </c>
      <c r="D723" s="1" t="s">
        <v>139</v>
      </c>
      <c r="E723" s="6" t="s">
        <v>1009</v>
      </c>
      <c r="F723" s="7" t="str">
        <f>HYPERLINK("https://drive.google.com/open?id=1RzBx4e3LIUFyXvV8TKxHGhvZPq7MCFk3","1 files moved")</f>
        <v>1 files moved</v>
      </c>
      <c r="G723" s="6" t="s">
        <v>1010</v>
      </c>
      <c r="H723" s="1" t="s">
        <v>1011</v>
      </c>
    </row>
    <row r="724" spans="1:8" x14ac:dyDescent="0.2">
      <c r="A724" s="5">
        <v>45482.337321018524</v>
      </c>
      <c r="B724" s="1" t="s">
        <v>11</v>
      </c>
      <c r="C724" s="1">
        <v>2024</v>
      </c>
      <c r="D724" s="1" t="s">
        <v>139</v>
      </c>
      <c r="E724" s="6" t="s">
        <v>1012</v>
      </c>
      <c r="F724" s="7" t="str">
        <f>HYPERLINK("https://drive.google.com/open?id=1YzDqbFE4H4BS5N9a8WbsE5FQL-HEPRMj","1 files moved")</f>
        <v>1 files moved</v>
      </c>
      <c r="G724" s="6" t="s">
        <v>1013</v>
      </c>
      <c r="H724" s="1" t="s">
        <v>1014</v>
      </c>
    </row>
    <row r="725" spans="1:8" x14ac:dyDescent="0.2">
      <c r="A725" s="5">
        <v>45482.341033113422</v>
      </c>
      <c r="B725" s="1" t="s">
        <v>56</v>
      </c>
      <c r="C725" s="1">
        <v>2024</v>
      </c>
      <c r="D725" s="1" t="s">
        <v>139</v>
      </c>
      <c r="E725" s="6" t="s">
        <v>1015</v>
      </c>
      <c r="F725" s="7" t="str">
        <f>HYPERLINK("https://drive.google.com/open?id=1YZIPSo9PodNGWCjC1zK15cW1JEByXJ7w","1 files moved")</f>
        <v>1 files moved</v>
      </c>
      <c r="G725" s="6" t="s">
        <v>1016</v>
      </c>
      <c r="H725" s="1" t="s">
        <v>1017</v>
      </c>
    </row>
    <row r="726" spans="1:8" x14ac:dyDescent="0.2">
      <c r="A726" s="5">
        <v>45482.341461689815</v>
      </c>
      <c r="B726" s="1" t="s">
        <v>11</v>
      </c>
      <c r="C726" s="1">
        <v>2024</v>
      </c>
      <c r="D726" s="1" t="s">
        <v>9</v>
      </c>
      <c r="E726" s="6" t="s">
        <v>1018</v>
      </c>
      <c r="F726" s="7" t="str">
        <f>HYPERLINK("https://drive.google.com/open?id=1YzDqbFE4H4BS5N9a8WbsE5FQL-HEPRMj","1 files moved")</f>
        <v>1 files moved</v>
      </c>
      <c r="G726" s="6" t="s">
        <v>1019</v>
      </c>
      <c r="H726" s="1" t="s">
        <v>1020</v>
      </c>
    </row>
    <row r="727" spans="1:8" x14ac:dyDescent="0.2">
      <c r="A727" s="5">
        <v>45482.341523923613</v>
      </c>
      <c r="B727" s="1" t="s">
        <v>13</v>
      </c>
      <c r="C727" s="1">
        <v>2024</v>
      </c>
      <c r="D727" s="1" t="s">
        <v>139</v>
      </c>
      <c r="E727" s="6" t="s">
        <v>1021</v>
      </c>
      <c r="F727" s="7" t="str">
        <f>HYPERLINK("https://drive.google.com/open?id=1Zryv8yNLErRzmBqkGZTRY6f8oQgaib5M","1 files moved")</f>
        <v>1 files moved</v>
      </c>
      <c r="G727" s="6" t="s">
        <v>1022</v>
      </c>
      <c r="H727" s="1" t="s">
        <v>1023</v>
      </c>
    </row>
    <row r="728" spans="1:8" x14ac:dyDescent="0.2">
      <c r="A728" s="5">
        <v>45482.342394409723</v>
      </c>
      <c r="B728" s="1" t="s">
        <v>11</v>
      </c>
      <c r="C728" s="1">
        <v>2024</v>
      </c>
      <c r="D728" s="1" t="s">
        <v>78</v>
      </c>
      <c r="E728" s="6" t="s">
        <v>1024</v>
      </c>
      <c r="F728" s="7" t="str">
        <f>HYPERLINK("https://drive.google.com/open?id=1YzDqbFE4H4BS5N9a8WbsE5FQL-HEPRMj","1 files moved")</f>
        <v>1 files moved</v>
      </c>
      <c r="G728" s="6" t="s">
        <v>1025</v>
      </c>
      <c r="H728" s="1" t="s">
        <v>1026</v>
      </c>
    </row>
    <row r="729" spans="1:8" x14ac:dyDescent="0.2">
      <c r="A729" s="5">
        <v>45482.344840138889</v>
      </c>
      <c r="B729" s="1" t="s">
        <v>112</v>
      </c>
      <c r="C729" s="1">
        <v>2024</v>
      </c>
      <c r="D729" s="1" t="s">
        <v>9</v>
      </c>
      <c r="E729" s="6" t="s">
        <v>1027</v>
      </c>
      <c r="F729" s="7" t="str">
        <f t="shared" ref="F729:F731" si="7">HYPERLINK("https://drive.google.com/open?id=1bgfFevr_vWoS1TUMY9H3d79cj9SEs5AT","1 files moved")</f>
        <v>1 files moved</v>
      </c>
      <c r="G729" s="6" t="s">
        <v>1028</v>
      </c>
      <c r="H729" s="1" t="s">
        <v>1029</v>
      </c>
    </row>
    <row r="730" spans="1:8" x14ac:dyDescent="0.2">
      <c r="A730" s="5">
        <v>45482.345116365745</v>
      </c>
      <c r="B730" s="1" t="s">
        <v>112</v>
      </c>
      <c r="C730" s="1">
        <v>2024</v>
      </c>
      <c r="D730" s="1" t="s">
        <v>78</v>
      </c>
      <c r="E730" s="6" t="s">
        <v>1030</v>
      </c>
      <c r="F730" s="7" t="str">
        <f t="shared" si="7"/>
        <v>1 files moved</v>
      </c>
      <c r="G730" s="6" t="s">
        <v>1031</v>
      </c>
      <c r="H730" s="1" t="s">
        <v>1032</v>
      </c>
    </row>
    <row r="731" spans="1:8" x14ac:dyDescent="0.2">
      <c r="A731" s="5">
        <v>45482.345364143519</v>
      </c>
      <c r="B731" s="1" t="s">
        <v>112</v>
      </c>
      <c r="C731" s="1">
        <v>2024</v>
      </c>
      <c r="D731" s="1" t="s">
        <v>139</v>
      </c>
      <c r="E731" s="6" t="s">
        <v>1033</v>
      </c>
      <c r="F731" s="7" t="str">
        <f t="shared" si="7"/>
        <v>1 files moved</v>
      </c>
      <c r="G731" s="6" t="s">
        <v>1034</v>
      </c>
      <c r="H731" s="1" t="s">
        <v>1035</v>
      </c>
    </row>
    <row r="732" spans="1:8" x14ac:dyDescent="0.2">
      <c r="A732" s="5">
        <v>45482.346913148147</v>
      </c>
      <c r="B732" s="1" t="s">
        <v>666</v>
      </c>
      <c r="C732" s="1">
        <v>2024</v>
      </c>
      <c r="D732" s="1" t="s">
        <v>139</v>
      </c>
      <c r="E732" s="6" t="s">
        <v>1036</v>
      </c>
      <c r="F732" s="7" t="str">
        <f>HYPERLINK("https://drive.google.com/open?id=1DF4VWmySApeDtvXFsLQTkcLWrl3L6Nmy","1 files moved")</f>
        <v>1 files moved</v>
      </c>
      <c r="G732" s="6" t="s">
        <v>1037</v>
      </c>
      <c r="H732" s="1" t="s">
        <v>1038</v>
      </c>
    </row>
    <row r="733" spans="1:8" x14ac:dyDescent="0.2">
      <c r="A733" s="5">
        <v>45482.347725532411</v>
      </c>
      <c r="B733" s="1" t="s">
        <v>16</v>
      </c>
      <c r="C733" s="1">
        <v>2024</v>
      </c>
      <c r="D733" s="1" t="s">
        <v>9</v>
      </c>
      <c r="E733" s="6" t="s">
        <v>1039</v>
      </c>
      <c r="F733" s="7" t="str">
        <f>HYPERLINK("https://drive.google.com/open?id=175ZXg4Nw-wRZV_OUo85-7sa4lMBqk-_Q","1 files moved")</f>
        <v>1 files moved</v>
      </c>
      <c r="G733" s="6" t="s">
        <v>1040</v>
      </c>
      <c r="H733" s="1" t="s">
        <v>1041</v>
      </c>
    </row>
    <row r="734" spans="1:8" x14ac:dyDescent="0.2">
      <c r="A734" s="5">
        <v>45482.34843701389</v>
      </c>
      <c r="B734" s="1" t="s">
        <v>464</v>
      </c>
      <c r="C734" s="1">
        <v>2024</v>
      </c>
      <c r="D734" s="1" t="s">
        <v>139</v>
      </c>
      <c r="E734" s="6" t="s">
        <v>1042</v>
      </c>
      <c r="F734" s="7" t="str">
        <f>HYPERLINK("https://drive.google.com/open?id=1DF4VWmySApeDtvXFsLQTkcLWrl3L6Nmy","1 files moved")</f>
        <v>1 files moved</v>
      </c>
      <c r="G734" s="6" t="s">
        <v>1043</v>
      </c>
      <c r="H734" s="1" t="s">
        <v>1044</v>
      </c>
    </row>
    <row r="735" spans="1:8" x14ac:dyDescent="0.2">
      <c r="A735" s="5">
        <v>45482.349347835647</v>
      </c>
      <c r="B735" s="1" t="s">
        <v>330</v>
      </c>
      <c r="C735" s="1">
        <v>2024</v>
      </c>
      <c r="D735" s="1" t="s">
        <v>9</v>
      </c>
      <c r="E735" s="6" t="s">
        <v>1045</v>
      </c>
      <c r="F735" s="7" t="str">
        <f>HYPERLINK("https://drive.google.com/open?id=175ZXg4Nw-wRZV_OUo85-7sa4lMBqk-_Q","1 files moved")</f>
        <v>1 files moved</v>
      </c>
      <c r="G735" s="6" t="s">
        <v>1046</v>
      </c>
      <c r="H735" s="1" t="s">
        <v>1047</v>
      </c>
    </row>
    <row r="736" spans="1:8" x14ac:dyDescent="0.2">
      <c r="A736" s="5">
        <v>45482.34958076389</v>
      </c>
      <c r="B736" s="1" t="s">
        <v>53</v>
      </c>
      <c r="C736" s="1">
        <v>2024</v>
      </c>
      <c r="D736" s="1" t="s">
        <v>139</v>
      </c>
      <c r="E736" s="6" t="s">
        <v>1048</v>
      </c>
      <c r="F736" s="7" t="str">
        <f>HYPERLINK("https://drive.google.com/open?id=1DF4VWmySApeDtvXFsLQTkcLWrl3L6Nmy","1 files moved")</f>
        <v>1 files moved</v>
      </c>
      <c r="G736" s="6" t="s">
        <v>1049</v>
      </c>
      <c r="H736" s="1" t="s">
        <v>1050</v>
      </c>
    </row>
    <row r="737" spans="1:8" x14ac:dyDescent="0.2">
      <c r="A737" s="5">
        <v>45482.350060104167</v>
      </c>
      <c r="B737" s="1" t="s">
        <v>330</v>
      </c>
      <c r="C737" s="1">
        <v>2024</v>
      </c>
      <c r="D737" s="1" t="s">
        <v>78</v>
      </c>
      <c r="E737" s="6" t="s">
        <v>1051</v>
      </c>
      <c r="F737" s="7" t="str">
        <f>HYPERLINK("https://drive.google.com/open?id=1z9lMODPeyxGcP0HzoFm6JQe_JHBsr6Is","1 files moved")</f>
        <v>1 files moved</v>
      </c>
      <c r="G737" s="6" t="s">
        <v>1052</v>
      </c>
      <c r="H737" s="1" t="s">
        <v>1053</v>
      </c>
    </row>
    <row r="738" spans="1:8" x14ac:dyDescent="0.2">
      <c r="A738" s="5">
        <v>45482.350560034727</v>
      </c>
      <c r="B738" s="1" t="s">
        <v>330</v>
      </c>
      <c r="C738" s="1">
        <v>2024</v>
      </c>
      <c r="D738" s="1" t="s">
        <v>139</v>
      </c>
      <c r="E738" s="6" t="s">
        <v>1054</v>
      </c>
      <c r="F738" s="7" t="str">
        <f t="shared" ref="F738:F739" si="8">HYPERLINK("https://drive.google.com/open?id=1DF4VWmySApeDtvXFsLQTkcLWrl3L6Nmy","1 files moved")</f>
        <v>1 files moved</v>
      </c>
      <c r="G738" s="6" t="s">
        <v>1055</v>
      </c>
      <c r="H738" s="1" t="s">
        <v>1056</v>
      </c>
    </row>
    <row r="739" spans="1:8" x14ac:dyDescent="0.2">
      <c r="A739" s="5">
        <v>45482.350588831017</v>
      </c>
      <c r="B739" s="1" t="s">
        <v>53</v>
      </c>
      <c r="C739" s="1">
        <v>2024</v>
      </c>
      <c r="D739" s="1" t="s">
        <v>139</v>
      </c>
      <c r="E739" s="6" t="s">
        <v>1057</v>
      </c>
      <c r="F739" s="7" t="str">
        <f t="shared" si="8"/>
        <v>1 files moved</v>
      </c>
      <c r="G739" s="6" t="s">
        <v>1058</v>
      </c>
      <c r="H739" s="1" t="s">
        <v>1059</v>
      </c>
    </row>
    <row r="740" spans="1:8" x14ac:dyDescent="0.2">
      <c r="A740" s="5">
        <v>45482.351226250001</v>
      </c>
      <c r="B740" s="1" t="s">
        <v>53</v>
      </c>
      <c r="C740" s="1">
        <v>2024</v>
      </c>
      <c r="D740" s="1" t="s">
        <v>9</v>
      </c>
      <c r="E740" s="6" t="s">
        <v>1060</v>
      </c>
      <c r="F740" s="7" t="str">
        <f>HYPERLINK("https://drive.google.com/open?id=175ZXg4Nw-wRZV_OUo85-7sa4lMBqk-_Q","1 files moved")</f>
        <v>1 files moved</v>
      </c>
      <c r="G740" s="6" t="s">
        <v>1061</v>
      </c>
      <c r="H740" s="1" t="s">
        <v>1062</v>
      </c>
    </row>
    <row r="741" spans="1:8" x14ac:dyDescent="0.2">
      <c r="A741" s="5">
        <v>45482.355005011574</v>
      </c>
      <c r="B741" s="1" t="s">
        <v>686</v>
      </c>
      <c r="C741" s="1">
        <v>2024</v>
      </c>
      <c r="D741" s="1" t="s">
        <v>139</v>
      </c>
      <c r="E741" s="6" t="s">
        <v>1063</v>
      </c>
      <c r="F741" s="7" t="str">
        <f t="shared" ref="F741:F742" si="9">HYPERLINK("https://drive.google.com/open?id=1DF4VWmySApeDtvXFsLQTkcLWrl3L6Nmy","1 files moved")</f>
        <v>1 files moved</v>
      </c>
      <c r="G741" s="6" t="s">
        <v>1064</v>
      </c>
      <c r="H741" s="1" t="s">
        <v>1065</v>
      </c>
    </row>
    <row r="742" spans="1:8" x14ac:dyDescent="0.2">
      <c r="A742" s="5">
        <v>45482.355386712967</v>
      </c>
      <c r="B742" s="1" t="s">
        <v>47</v>
      </c>
      <c r="C742" s="1">
        <v>2024</v>
      </c>
      <c r="D742" s="1" t="s">
        <v>139</v>
      </c>
      <c r="E742" s="6" t="s">
        <v>1066</v>
      </c>
      <c r="F742" s="7" t="str">
        <f t="shared" si="9"/>
        <v>1 files moved</v>
      </c>
      <c r="G742" s="6" t="s">
        <v>1067</v>
      </c>
      <c r="H742" s="1" t="s">
        <v>1068</v>
      </c>
    </row>
    <row r="743" spans="1:8" x14ac:dyDescent="0.2">
      <c r="A743" s="5">
        <v>45482.360545474541</v>
      </c>
      <c r="B743" s="1" t="s">
        <v>68</v>
      </c>
      <c r="C743" s="1">
        <v>2024</v>
      </c>
      <c r="D743" s="1" t="s">
        <v>9</v>
      </c>
      <c r="E743" s="6" t="s">
        <v>1069</v>
      </c>
      <c r="F743" s="7" t="str">
        <f t="shared" ref="F743:F745" si="10">HYPERLINK("https://drive.google.com/open?id=175ZXg4Nw-wRZV_OUo85-7sa4lMBqk-_Q","1 files moved")</f>
        <v>1 files moved</v>
      </c>
      <c r="G743" s="6" t="s">
        <v>1070</v>
      </c>
      <c r="H743" s="1" t="s">
        <v>1071</v>
      </c>
    </row>
    <row r="744" spans="1:8" x14ac:dyDescent="0.2">
      <c r="A744" s="5">
        <v>45482.372184814812</v>
      </c>
      <c r="B744" s="1" t="s">
        <v>39</v>
      </c>
      <c r="C744" s="1">
        <v>2024</v>
      </c>
      <c r="D744" s="1" t="s">
        <v>9</v>
      </c>
      <c r="E744" s="6" t="s">
        <v>1072</v>
      </c>
      <c r="F744" s="7" t="str">
        <f t="shared" si="10"/>
        <v>1 files moved</v>
      </c>
      <c r="G744" s="6" t="s">
        <v>1073</v>
      </c>
      <c r="H744" s="1" t="s">
        <v>1074</v>
      </c>
    </row>
    <row r="745" spans="1:8" x14ac:dyDescent="0.2">
      <c r="A745" s="5">
        <v>45482.372559166666</v>
      </c>
      <c r="B745" s="1" t="s">
        <v>29</v>
      </c>
      <c r="C745" s="1">
        <v>2024</v>
      </c>
      <c r="D745" s="1" t="s">
        <v>9</v>
      </c>
      <c r="E745" s="6" t="s">
        <v>1075</v>
      </c>
      <c r="F745" s="7" t="str">
        <f t="shared" si="10"/>
        <v>1 files moved</v>
      </c>
      <c r="G745" s="6" t="s">
        <v>1076</v>
      </c>
      <c r="H745" s="1" t="s">
        <v>1077</v>
      </c>
    </row>
    <row r="746" spans="1:8" x14ac:dyDescent="0.2">
      <c r="A746" s="5">
        <v>45482.372882013893</v>
      </c>
      <c r="B746" s="1" t="s">
        <v>29</v>
      </c>
      <c r="C746" s="1">
        <v>2024</v>
      </c>
      <c r="D746" s="1" t="s">
        <v>78</v>
      </c>
      <c r="E746" s="6" t="s">
        <v>1078</v>
      </c>
      <c r="F746" s="7" t="str">
        <f>HYPERLINK("https://drive.google.com/open?id=1z9lMODPeyxGcP0HzoFm6JQe_JHBsr6Is","1 files moved")</f>
        <v>1 files moved</v>
      </c>
      <c r="G746" s="6" t="s">
        <v>1079</v>
      </c>
      <c r="H746" s="1" t="s">
        <v>1080</v>
      </c>
    </row>
    <row r="747" spans="1:8" x14ac:dyDescent="0.2">
      <c r="A747" s="5">
        <v>45482.376608437495</v>
      </c>
      <c r="B747" s="1" t="s">
        <v>33</v>
      </c>
      <c r="C747" s="1">
        <v>2024</v>
      </c>
      <c r="D747" s="1" t="s">
        <v>9</v>
      </c>
      <c r="E747" s="6" t="s">
        <v>1081</v>
      </c>
      <c r="F747" s="7" t="str">
        <f>HYPERLINK("https://drive.google.com/open?id=175ZXg4Nw-wRZV_OUo85-7sa4lMBqk-_Q","1 files moved")</f>
        <v>1 files moved</v>
      </c>
      <c r="G747" s="6" t="s">
        <v>1082</v>
      </c>
      <c r="H747" s="1" t="s">
        <v>1083</v>
      </c>
    </row>
    <row r="748" spans="1:8" x14ac:dyDescent="0.2">
      <c r="A748" s="5">
        <v>45482.377299224536</v>
      </c>
      <c r="B748" s="1" t="s">
        <v>62</v>
      </c>
      <c r="C748" s="1">
        <v>2024</v>
      </c>
      <c r="D748" s="1" t="s">
        <v>139</v>
      </c>
      <c r="E748" s="6" t="s">
        <v>1084</v>
      </c>
      <c r="F748" s="7" t="str">
        <f>HYPERLINK("https://drive.google.com/open?id=1DF4VWmySApeDtvXFsLQTkcLWrl3L6Nmy","1 files moved")</f>
        <v>1 files moved</v>
      </c>
      <c r="G748" s="6" t="s">
        <v>1085</v>
      </c>
      <c r="H748" s="1" t="s">
        <v>1086</v>
      </c>
    </row>
    <row r="749" spans="1:8" x14ac:dyDescent="0.2">
      <c r="A749" s="5">
        <v>45482.379682106483</v>
      </c>
      <c r="B749" s="1" t="s">
        <v>378</v>
      </c>
      <c r="C749" s="1">
        <v>2024</v>
      </c>
      <c r="D749" s="1" t="s">
        <v>78</v>
      </c>
      <c r="E749" s="6" t="s">
        <v>1087</v>
      </c>
      <c r="F749" s="7" t="str">
        <f>HYPERLINK("https://drive.google.com/open?id=1z9lMODPeyxGcP0HzoFm6JQe_JHBsr6Is","1 files moved")</f>
        <v>1 files moved</v>
      </c>
      <c r="G749" s="6" t="s">
        <v>1088</v>
      </c>
      <c r="H749" s="1" t="s">
        <v>1089</v>
      </c>
    </row>
    <row r="750" spans="1:8" x14ac:dyDescent="0.2">
      <c r="A750" s="5">
        <v>45482.380045462967</v>
      </c>
      <c r="B750" s="1" t="s">
        <v>70</v>
      </c>
      <c r="C750" s="1">
        <v>2024</v>
      </c>
      <c r="D750" s="1" t="s">
        <v>139</v>
      </c>
      <c r="E750" s="6" t="s">
        <v>1090</v>
      </c>
      <c r="F750" s="7" t="str">
        <f>HYPERLINK("https://drive.google.com/open?id=1DF4VWmySApeDtvXFsLQTkcLWrl3L6Nmy","1 files moved")</f>
        <v>1 files moved</v>
      </c>
      <c r="G750" s="6" t="s">
        <v>1091</v>
      </c>
      <c r="H750" s="1" t="s">
        <v>1092</v>
      </c>
    </row>
    <row r="751" spans="1:8" x14ac:dyDescent="0.2">
      <c r="A751" s="5">
        <v>45482.402910219906</v>
      </c>
      <c r="B751" s="1" t="s">
        <v>969</v>
      </c>
      <c r="C751" s="1">
        <v>2024</v>
      </c>
      <c r="D751" s="1" t="s">
        <v>9</v>
      </c>
      <c r="E751" s="6" t="s">
        <v>1093</v>
      </c>
      <c r="F751" s="7" t="str">
        <f>HYPERLINK("https://drive.google.com/open?id=175ZXg4Nw-wRZV_OUo85-7sa4lMBqk-_Q","1 files moved")</f>
        <v>1 files moved</v>
      </c>
      <c r="G751" s="6" t="s">
        <v>1094</v>
      </c>
      <c r="H751" s="1" t="s">
        <v>1095</v>
      </c>
    </row>
    <row r="752" spans="1:8" x14ac:dyDescent="0.2">
      <c r="A752" s="5">
        <v>45482.403381840282</v>
      </c>
      <c r="B752" s="1" t="s">
        <v>969</v>
      </c>
      <c r="C752" s="1">
        <v>2024</v>
      </c>
      <c r="D752" s="1" t="s">
        <v>78</v>
      </c>
      <c r="E752" s="6" t="s">
        <v>1096</v>
      </c>
      <c r="F752" s="7" t="str">
        <f>HYPERLINK("https://drive.google.com/open?id=1z9lMODPeyxGcP0HzoFm6JQe_JHBsr6Is","1 files moved")</f>
        <v>1 files moved</v>
      </c>
      <c r="G752" s="6" t="s">
        <v>1097</v>
      </c>
      <c r="H752" s="1" t="s">
        <v>1098</v>
      </c>
    </row>
    <row r="753" spans="1:8" x14ac:dyDescent="0.2">
      <c r="A753" s="5">
        <v>45482.403618518518</v>
      </c>
      <c r="B753" s="1" t="s">
        <v>969</v>
      </c>
      <c r="C753" s="1">
        <v>2024</v>
      </c>
      <c r="D753" s="1" t="s">
        <v>110</v>
      </c>
      <c r="E753" s="6" t="s">
        <v>1099</v>
      </c>
      <c r="F753" s="7" t="str">
        <f>HYPERLINK("https://drive.google.com/open?id=1Sf2WFhvsAzn8iNZqg-22yhfTdBuFAvJ9","1 files moved")</f>
        <v>1 files moved</v>
      </c>
      <c r="G753" s="6" t="s">
        <v>1100</v>
      </c>
      <c r="H753" s="1" t="s">
        <v>1101</v>
      </c>
    </row>
    <row r="754" spans="1:8" x14ac:dyDescent="0.2">
      <c r="A754" s="5">
        <v>45483.312944328703</v>
      </c>
      <c r="B754" s="1" t="s">
        <v>66</v>
      </c>
      <c r="C754" s="1">
        <v>2024</v>
      </c>
      <c r="D754" s="1" t="s">
        <v>9</v>
      </c>
      <c r="E754" s="6" t="s">
        <v>1102</v>
      </c>
      <c r="F754" s="7" t="str">
        <f>HYPERLINK("https://drive.google.com/open?id=175ZXg4Nw-wRZV_OUo85-7sa4lMBqk-_Q","1 files moved")</f>
        <v>1 files moved</v>
      </c>
      <c r="G754" s="6" t="s">
        <v>1103</v>
      </c>
      <c r="H754" s="1" t="s">
        <v>1104</v>
      </c>
    </row>
    <row r="755" spans="1:8" x14ac:dyDescent="0.2">
      <c r="A755" s="5">
        <v>45483.313343657406</v>
      </c>
      <c r="B755" s="1" t="s">
        <v>66</v>
      </c>
      <c r="C755" s="1">
        <v>2024</v>
      </c>
      <c r="D755" s="1" t="s">
        <v>78</v>
      </c>
      <c r="E755" s="6" t="s">
        <v>1105</v>
      </c>
      <c r="F755" s="7" t="str">
        <f>HYPERLINK("https://drive.google.com/open?id=1z9lMODPeyxGcP0HzoFm6JQe_JHBsr6Is","1 files moved")</f>
        <v>1 files moved</v>
      </c>
      <c r="G755" s="6" t="s">
        <v>1106</v>
      </c>
      <c r="H755" s="1" t="s">
        <v>1107</v>
      </c>
    </row>
    <row r="756" spans="1:8" x14ac:dyDescent="0.2">
      <c r="A756" s="5">
        <v>45485.684956840283</v>
      </c>
      <c r="B756" s="1" t="s">
        <v>70</v>
      </c>
      <c r="C756" s="1">
        <v>2024</v>
      </c>
      <c r="D756" s="1" t="s">
        <v>883</v>
      </c>
      <c r="E756" s="6" t="s">
        <v>1108</v>
      </c>
      <c r="F756" s="7" t="str">
        <f>HYPERLINK("https://drive.google.com/open?id=13pz8ig7FZe8-9FyXdab-7-PAjKoCAKLq","1 files moved")</f>
        <v>1 files moved</v>
      </c>
      <c r="G756" s="6" t="s">
        <v>1109</v>
      </c>
      <c r="H756" s="1" t="s">
        <v>1110</v>
      </c>
    </row>
    <row r="757" spans="1:8" x14ac:dyDescent="0.2">
      <c r="A757" s="5">
        <v>45488.621612858798</v>
      </c>
      <c r="B757" s="1" t="s">
        <v>70</v>
      </c>
      <c r="C757" s="1">
        <v>2024</v>
      </c>
      <c r="D757" s="1" t="s">
        <v>139</v>
      </c>
      <c r="E757" s="6" t="s">
        <v>1111</v>
      </c>
      <c r="F757" s="7" t="str">
        <f>HYPERLINK("https://drive.google.com/open?id=1tJPwF2su0hso4TETThLNHI9_S0dJdbLl","1 files moved")</f>
        <v>1 files moved</v>
      </c>
      <c r="G757" s="6" t="s">
        <v>1112</v>
      </c>
      <c r="H757" s="1" t="s">
        <v>1113</v>
      </c>
    </row>
    <row r="758" spans="1:8" x14ac:dyDescent="0.2">
      <c r="A758" s="5">
        <v>45495.44162435185</v>
      </c>
      <c r="B758" s="1" t="s">
        <v>112</v>
      </c>
      <c r="C758" s="1">
        <v>2024</v>
      </c>
      <c r="D758" s="1" t="s">
        <v>1114</v>
      </c>
      <c r="E758" s="6" t="s">
        <v>1115</v>
      </c>
      <c r="F758" s="7" t="str">
        <f>HYPERLINK("https://drive.google.com/open?id=1bgfFevr_vWoS1TUMY9H3d79cj9SEs5AT","1 files moved")</f>
        <v>1 files moved</v>
      </c>
      <c r="G758" s="6" t="s">
        <v>1116</v>
      </c>
      <c r="H758" s="1" t="s">
        <v>1117</v>
      </c>
    </row>
    <row r="759" spans="1:8" x14ac:dyDescent="0.2">
      <c r="A759" s="5">
        <v>45495.443343368053</v>
      </c>
      <c r="B759" s="1" t="s">
        <v>348</v>
      </c>
      <c r="C759" s="1">
        <v>2024</v>
      </c>
      <c r="D759" s="1" t="s">
        <v>1114</v>
      </c>
      <c r="E759" s="6" t="s">
        <v>1118</v>
      </c>
      <c r="F759" s="7" t="str">
        <f>HYPERLINK("https://drive.google.com/open?id=17WOaAXl5jFgeySypAmjW1SMD0z4Hcu1k","1 files moved")</f>
        <v>1 files moved</v>
      </c>
      <c r="G759" s="6" t="s">
        <v>1119</v>
      </c>
      <c r="H759" s="1" t="s">
        <v>1120</v>
      </c>
    </row>
    <row r="760" spans="1:8" x14ac:dyDescent="0.2">
      <c r="A760" s="5">
        <v>45495.443425405094</v>
      </c>
      <c r="B760" s="1" t="s">
        <v>45</v>
      </c>
      <c r="C760" s="1">
        <v>2024</v>
      </c>
      <c r="D760" s="1" t="s">
        <v>1114</v>
      </c>
      <c r="E760" s="6" t="s">
        <v>1121</v>
      </c>
      <c r="F760" s="7" t="str">
        <f>HYPERLINK("https://drive.google.com/open?id=1WOu53emjYl9MgCM11eFHkgxwdHlBm2Xz","1 files moved")</f>
        <v>1 files moved</v>
      </c>
      <c r="G760" s="6" t="s">
        <v>1122</v>
      </c>
      <c r="H760" s="1" t="s">
        <v>1123</v>
      </c>
    </row>
    <row r="761" spans="1:8" x14ac:dyDescent="0.2">
      <c r="A761" s="5">
        <v>45495.444784363426</v>
      </c>
      <c r="B761" s="1" t="s">
        <v>53</v>
      </c>
      <c r="C761" s="1">
        <v>2024</v>
      </c>
      <c r="D761" s="1" t="s">
        <v>1114</v>
      </c>
      <c r="E761" s="6" t="s">
        <v>1124</v>
      </c>
      <c r="F761" s="7" t="str">
        <f>HYPERLINK("https://drive.google.com/open?id=1mgwi5IYuDSmdes063EGgEET4VIkt5Ge6","1 files moved")</f>
        <v>1 files moved</v>
      </c>
      <c r="G761" s="6" t="s">
        <v>1125</v>
      </c>
      <c r="H761" s="1" t="s">
        <v>1126</v>
      </c>
    </row>
    <row r="762" spans="1:8" x14ac:dyDescent="0.2">
      <c r="A762" s="5">
        <v>45495.446522106482</v>
      </c>
      <c r="B762" s="1" t="s">
        <v>62</v>
      </c>
      <c r="C762" s="1">
        <v>2024</v>
      </c>
      <c r="D762" s="1" t="s">
        <v>1114</v>
      </c>
      <c r="E762" s="6" t="s">
        <v>1127</v>
      </c>
      <c r="F762" s="7" t="str">
        <f>HYPERLINK("https://drive.google.com/open?id=1CSWuwAcjfOUkpFz17anJSHXpLD9oH9ta","1 files moved")</f>
        <v>1 files moved</v>
      </c>
      <c r="G762" s="6" t="s">
        <v>1128</v>
      </c>
      <c r="H762" s="1" t="s">
        <v>1129</v>
      </c>
    </row>
    <row r="763" spans="1:8" x14ac:dyDescent="0.2">
      <c r="A763" s="5">
        <v>45495.446774884258</v>
      </c>
      <c r="B763" s="1" t="s">
        <v>24</v>
      </c>
      <c r="C763" s="1">
        <v>2024</v>
      </c>
      <c r="D763" s="1" t="s">
        <v>1114</v>
      </c>
      <c r="E763" s="6" t="s">
        <v>1130</v>
      </c>
      <c r="F763" s="7" t="str">
        <f>HYPERLINK("https://drive.google.com/open?id=1lAkCTSJDqjfWsuZxvLL2COI53gbRENb_","1 files moved")</f>
        <v>1 files moved</v>
      </c>
      <c r="G763" s="6" t="s">
        <v>1131</v>
      </c>
      <c r="H763" s="1" t="s">
        <v>1132</v>
      </c>
    </row>
    <row r="764" spans="1:8" x14ac:dyDescent="0.2">
      <c r="A764" s="5">
        <v>45495.449406504631</v>
      </c>
      <c r="B764" s="1" t="s">
        <v>397</v>
      </c>
      <c r="C764" s="1">
        <v>2024</v>
      </c>
      <c r="D764" s="1" t="s">
        <v>1114</v>
      </c>
      <c r="E764" s="6" t="s">
        <v>1133</v>
      </c>
      <c r="F764" s="7" t="str">
        <f>HYPERLINK("https://drive.google.com/open?id=11skWmlW9bg1I5Y0qbtAwiD9dgHdxhUYl","1 files moved")</f>
        <v>1 files moved</v>
      </c>
      <c r="G764" s="6" t="s">
        <v>1134</v>
      </c>
      <c r="H764" s="1" t="s">
        <v>1135</v>
      </c>
    </row>
    <row r="765" spans="1:8" x14ac:dyDescent="0.2">
      <c r="A765" s="5">
        <v>45495.449651643517</v>
      </c>
      <c r="B765" s="1" t="s">
        <v>70</v>
      </c>
      <c r="C765" s="1">
        <v>2024</v>
      </c>
      <c r="D765" s="1" t="s">
        <v>1114</v>
      </c>
      <c r="E765" s="6" t="s">
        <v>1136</v>
      </c>
      <c r="F765" s="7" t="str">
        <f>HYPERLINK("https://drive.google.com/open?id=1tJPwF2su0hso4TETThLNHI9_S0dJdbLl","1 files moved")</f>
        <v>1 files moved</v>
      </c>
      <c r="G765" s="6" t="s">
        <v>1137</v>
      </c>
      <c r="H765" s="1" t="s">
        <v>1138</v>
      </c>
    </row>
    <row r="766" spans="1:8" x14ac:dyDescent="0.2">
      <c r="A766" s="5">
        <v>45495.449964965279</v>
      </c>
      <c r="B766" s="1" t="s">
        <v>1139</v>
      </c>
      <c r="C766" s="1">
        <v>2024</v>
      </c>
      <c r="D766" s="1" t="s">
        <v>1114</v>
      </c>
      <c r="E766" s="6" t="s">
        <v>1140</v>
      </c>
      <c r="F766" s="7" t="str">
        <f>HYPERLINK("https://drive.google.com/open?id=1BTw6tbsd-8pzBcPd3Qgz7GdSqpJA1avM","1 files moved")</f>
        <v>1 files moved</v>
      </c>
      <c r="G766" s="6" t="s">
        <v>1141</v>
      </c>
      <c r="H766" s="1" t="s">
        <v>1142</v>
      </c>
    </row>
    <row r="767" spans="1:8" x14ac:dyDescent="0.2">
      <c r="A767" s="5">
        <v>45495.450314814814</v>
      </c>
      <c r="B767" s="1" t="s">
        <v>397</v>
      </c>
      <c r="C767" s="1">
        <v>2024</v>
      </c>
      <c r="D767" s="1" t="s">
        <v>1114</v>
      </c>
      <c r="E767" s="6" t="s">
        <v>1143</v>
      </c>
      <c r="F767" s="7" t="str">
        <f>HYPERLINK("https://drive.google.com/open?id=11skWmlW9bg1I5Y0qbtAwiD9dgHdxhUYl","1 files moved")</f>
        <v>1 files moved</v>
      </c>
      <c r="G767" s="6" t="s">
        <v>1144</v>
      </c>
      <c r="H767" s="1" t="s">
        <v>1145</v>
      </c>
    </row>
    <row r="768" spans="1:8" x14ac:dyDescent="0.2">
      <c r="A768" s="5">
        <v>45495.450507060188</v>
      </c>
      <c r="B768" s="1" t="s">
        <v>13</v>
      </c>
      <c r="C768" s="1">
        <v>2024</v>
      </c>
      <c r="D768" s="1" t="s">
        <v>1114</v>
      </c>
      <c r="E768" s="6" t="s">
        <v>1146</v>
      </c>
      <c r="F768" s="7" t="str">
        <f>HYPERLINK("https://drive.google.com/open?id=1Zryv8yNLErRzmBqkGZTRY6f8oQgaib5M","1 files moved")</f>
        <v>1 files moved</v>
      </c>
      <c r="G768" s="6" t="s">
        <v>1147</v>
      </c>
      <c r="H768" s="1" t="s">
        <v>1148</v>
      </c>
    </row>
    <row r="769" spans="1:8" x14ac:dyDescent="0.2">
      <c r="A769" s="5">
        <v>45495.451899768523</v>
      </c>
      <c r="B769" s="1" t="s">
        <v>330</v>
      </c>
      <c r="C769" s="1">
        <v>2024</v>
      </c>
      <c r="D769" s="1" t="s">
        <v>1114</v>
      </c>
      <c r="E769" s="6" t="s">
        <v>1149</v>
      </c>
      <c r="F769" s="7" t="str">
        <f>HYPERLINK("https://drive.google.com/open?id=1jgWFJ1Rnlmfp-xLJYcsceHq4Kj-jmyCy","1 files moved")</f>
        <v>1 files moved</v>
      </c>
      <c r="G769" s="6" t="s">
        <v>1150</v>
      </c>
      <c r="H769" s="1" t="s">
        <v>1151</v>
      </c>
    </row>
    <row r="770" spans="1:8" x14ac:dyDescent="0.2">
      <c r="A770" s="5">
        <v>45495.453395277778</v>
      </c>
      <c r="B770" s="1" t="s">
        <v>47</v>
      </c>
      <c r="C770" s="1">
        <v>2024</v>
      </c>
      <c r="D770" s="1" t="s">
        <v>1114</v>
      </c>
      <c r="E770" s="6" t="s">
        <v>1152</v>
      </c>
      <c r="F770" s="7" t="str">
        <f>HYPERLINK("https://drive.google.com/open?id=1pM9D8l1ep_C4D6kUFxAGlSX58S2gNWw7","1 files moved")</f>
        <v>1 files moved</v>
      </c>
      <c r="G770" s="6" t="s">
        <v>1153</v>
      </c>
      <c r="H770" s="1" t="s">
        <v>1154</v>
      </c>
    </row>
    <row r="771" spans="1:8" x14ac:dyDescent="0.2">
      <c r="A771" s="5">
        <v>45495.454084432873</v>
      </c>
      <c r="B771" s="1" t="s">
        <v>27</v>
      </c>
      <c r="C771" s="1">
        <v>2024</v>
      </c>
      <c r="D771" s="1" t="s">
        <v>1114</v>
      </c>
      <c r="E771" s="6" t="s">
        <v>1155</v>
      </c>
      <c r="F771" s="7" t="str">
        <f>HYPERLINK("https://drive.google.com/open?id=1bGJWCN7-bZQSl3cMCCd4KJRrHz1r1jve","1 files moved")</f>
        <v>1 files moved</v>
      </c>
      <c r="G771" s="6" t="s">
        <v>1156</v>
      </c>
      <c r="H771" s="1" t="s">
        <v>1157</v>
      </c>
    </row>
    <row r="772" spans="1:8" x14ac:dyDescent="0.2">
      <c r="A772" s="5">
        <v>45495.454571863425</v>
      </c>
      <c r="B772" s="1" t="s">
        <v>378</v>
      </c>
      <c r="C772" s="1">
        <v>2024</v>
      </c>
      <c r="D772" s="1" t="s">
        <v>1114</v>
      </c>
      <c r="E772" s="6" t="s">
        <v>1158</v>
      </c>
      <c r="F772" s="7" t="str">
        <f>HYPERLINK("https://drive.google.com/open?id=1UaOhVLC8EU7AZLMQiErwZkrTRt0YZt3o","1 files moved")</f>
        <v>1 files moved</v>
      </c>
      <c r="G772" s="6" t="s">
        <v>1159</v>
      </c>
      <c r="H772" s="1" t="s">
        <v>1160</v>
      </c>
    </row>
    <row r="773" spans="1:8" x14ac:dyDescent="0.2">
      <c r="A773" s="5">
        <v>45495.456697361107</v>
      </c>
      <c r="B773" s="1" t="s">
        <v>969</v>
      </c>
      <c r="C773" s="1">
        <v>2024</v>
      </c>
      <c r="D773" s="1" t="s">
        <v>1114</v>
      </c>
      <c r="E773" s="6" t="s">
        <v>1161</v>
      </c>
      <c r="F773" s="7" t="str">
        <f>HYPERLINK("https://drive.google.com/open?id=1jjaZ6sBJ-rgFFoV-a9VrKbvqiPbqOcgX","1 files moved")</f>
        <v>1 files moved</v>
      </c>
      <c r="G773" s="6" t="s">
        <v>1162</v>
      </c>
      <c r="H773" s="1" t="s">
        <v>1163</v>
      </c>
    </row>
    <row r="774" spans="1:8" x14ac:dyDescent="0.2">
      <c r="A774" s="5">
        <v>45495.459006307872</v>
      </c>
      <c r="B774" s="1" t="s">
        <v>68</v>
      </c>
      <c r="C774" s="1">
        <v>2024</v>
      </c>
      <c r="D774" s="1" t="s">
        <v>1114</v>
      </c>
      <c r="E774" s="6" t="s">
        <v>1164</v>
      </c>
      <c r="F774" s="7" t="str">
        <f>HYPERLINK("https://drive.google.com/open?id=1OV29wdO4ju235Dn_RfWfQvZfv8o_gJRA","1 files moved")</f>
        <v>1 files moved</v>
      </c>
      <c r="G774" s="6" t="s">
        <v>1165</v>
      </c>
      <c r="H774" s="1" t="s">
        <v>1166</v>
      </c>
    </row>
    <row r="775" spans="1:8" x14ac:dyDescent="0.2">
      <c r="A775" s="5">
        <v>45495.469545266205</v>
      </c>
      <c r="B775" s="1" t="s">
        <v>464</v>
      </c>
      <c r="C775" s="1">
        <v>2024</v>
      </c>
      <c r="D775" s="1" t="s">
        <v>1114</v>
      </c>
      <c r="E775" s="6" t="s">
        <v>1167</v>
      </c>
      <c r="F775" s="7" t="str">
        <f>HYPERLINK("https://drive.google.com/open?id=1sNh5fA93l5peYz5IJKZGEClKmxdv9dcX","1 files moved")</f>
        <v>1 files moved</v>
      </c>
      <c r="G775" s="6" t="s">
        <v>1168</v>
      </c>
      <c r="H775" s="1" t="s">
        <v>1169</v>
      </c>
    </row>
    <row r="776" spans="1:8" x14ac:dyDescent="0.2">
      <c r="A776" s="5">
        <v>45495.474331423611</v>
      </c>
      <c r="B776" s="1" t="s">
        <v>43</v>
      </c>
      <c r="C776" s="1">
        <v>2024</v>
      </c>
      <c r="D776" s="1" t="s">
        <v>1114</v>
      </c>
      <c r="E776" s="6" t="s">
        <v>1170</v>
      </c>
      <c r="F776" s="7" t="str">
        <f>HYPERLINK("https://drive.google.com/open?id=1V4TGvz085_QBAvEUyDaeNyMolr93zOZK","1 files moved")</f>
        <v>1 files moved</v>
      </c>
      <c r="G776" s="6" t="s">
        <v>1171</v>
      </c>
      <c r="H776" s="1" t="s">
        <v>1172</v>
      </c>
    </row>
    <row r="777" spans="1:8" x14ac:dyDescent="0.2">
      <c r="A777" s="5">
        <v>45495.485755254631</v>
      </c>
      <c r="B777" s="1" t="s">
        <v>686</v>
      </c>
      <c r="C777" s="1">
        <v>2024</v>
      </c>
      <c r="D777" s="1" t="s">
        <v>1114</v>
      </c>
      <c r="E777" s="6" t="s">
        <v>1173</v>
      </c>
      <c r="F777" s="7" t="str">
        <f>HYPERLINK("https://drive.google.com/open?id=1raKDx-uNeIvhNP7U_Rt7B4uGTAH17pUT","1 files moved")</f>
        <v>1 files moved</v>
      </c>
      <c r="G777" s="6" t="s">
        <v>1174</v>
      </c>
      <c r="H777" s="1" t="s">
        <v>1175</v>
      </c>
    </row>
    <row r="778" spans="1:8" x14ac:dyDescent="0.2">
      <c r="A778" s="5">
        <v>45495.499737118051</v>
      </c>
      <c r="B778" s="1" t="s">
        <v>66</v>
      </c>
      <c r="C778" s="1">
        <v>2024</v>
      </c>
      <c r="D778" s="1" t="s">
        <v>1114</v>
      </c>
      <c r="E778" s="6" t="s">
        <v>1176</v>
      </c>
      <c r="F778" s="7" t="str">
        <f>HYPERLINK("https://drive.google.com/open?id=1km-qyuVgwan24VTfuBcnXv-a0gKCGit4","1 files moved")</f>
        <v>1 files moved</v>
      </c>
      <c r="G778" s="6" t="s">
        <v>1177</v>
      </c>
      <c r="H778" s="1" t="s">
        <v>1178</v>
      </c>
    </row>
    <row r="779" spans="1:8" x14ac:dyDescent="0.2">
      <c r="A779" s="5">
        <v>45495.516095590283</v>
      </c>
      <c r="B779" s="1" t="s">
        <v>16</v>
      </c>
      <c r="C779" s="1">
        <v>2024</v>
      </c>
      <c r="D779" s="1" t="s">
        <v>1114</v>
      </c>
      <c r="E779" s="6" t="s">
        <v>1179</v>
      </c>
      <c r="F779" s="7" t="str">
        <f>HYPERLINK("https://drive.google.com/open?id=1YNQBM17-ejVScp5nWkNR2hYKrlehzOCe","1 files moved")</f>
        <v>1 files moved</v>
      </c>
      <c r="G779" s="6" t="s">
        <v>1180</v>
      </c>
      <c r="H779" s="1" t="s">
        <v>1181</v>
      </c>
    </row>
    <row r="780" spans="1:8" x14ac:dyDescent="0.2">
      <c r="A780" s="5">
        <v>45495.520734328704</v>
      </c>
      <c r="B780" s="1" t="s">
        <v>39</v>
      </c>
      <c r="C780" s="1">
        <v>2024</v>
      </c>
      <c r="D780" s="1" t="s">
        <v>1114</v>
      </c>
      <c r="E780" s="6" t="s">
        <v>1182</v>
      </c>
      <c r="F780" s="7" t="str">
        <f>HYPERLINK("https://drive.google.com/open?id=1BZohlpYH-tCf-m6ifXipKqyT42Gbzhkv","1 files moved")</f>
        <v>1 files moved</v>
      </c>
      <c r="G780" s="6" t="s">
        <v>1183</v>
      </c>
      <c r="H780" s="1" t="s">
        <v>1184</v>
      </c>
    </row>
    <row r="781" spans="1:8" x14ac:dyDescent="0.2">
      <c r="A781" s="5">
        <v>45495.535169976851</v>
      </c>
      <c r="B781" s="1" t="s">
        <v>37</v>
      </c>
      <c r="C781" s="1">
        <v>2024</v>
      </c>
      <c r="D781" s="1" t="s">
        <v>1114</v>
      </c>
      <c r="E781" s="6" t="s">
        <v>1185</v>
      </c>
      <c r="F781" s="7" t="str">
        <f>HYPERLINK("https://drive.google.com/open?id=1qa1mLZHOuZIAKZUnYIblWo1lTS9NuBTm","1 files moved")</f>
        <v>1 files moved</v>
      </c>
      <c r="G781" s="6" t="s">
        <v>1186</v>
      </c>
      <c r="H781" s="1" t="s">
        <v>1187</v>
      </c>
    </row>
    <row r="782" spans="1:8" x14ac:dyDescent="0.2">
      <c r="A782" s="5">
        <v>45495.556742129629</v>
      </c>
      <c r="B782" s="1" t="s">
        <v>56</v>
      </c>
      <c r="C782" s="1">
        <v>2024</v>
      </c>
      <c r="D782" s="1" t="s">
        <v>1114</v>
      </c>
      <c r="E782" s="6" t="s">
        <v>1188</v>
      </c>
      <c r="F782" s="7" t="str">
        <f>HYPERLINK("https://drive.google.com/open?id=1YZIPSo9PodNGWCjC1zK15cW1JEByXJ7w","1 files moved")</f>
        <v>1 files moved</v>
      </c>
      <c r="G782" s="6" t="s">
        <v>1189</v>
      </c>
      <c r="H782" s="1" t="s">
        <v>1190</v>
      </c>
    </row>
    <row r="783" spans="1:8" x14ac:dyDescent="0.2">
      <c r="A783" s="5">
        <v>45495.58347189815</v>
      </c>
      <c r="B783" s="1" t="s">
        <v>11</v>
      </c>
      <c r="C783" s="1">
        <v>2024</v>
      </c>
      <c r="D783" s="1" t="s">
        <v>1114</v>
      </c>
      <c r="E783" s="6" t="s">
        <v>1191</v>
      </c>
      <c r="F783" s="7" t="str">
        <f t="shared" ref="F783:F784" si="11">HYPERLINK("https://drive.google.com/open?id=175ZXg4Nw-wRZV_OUo85-7sa4lMBqk-_Q","1 files moved")</f>
        <v>1 files moved</v>
      </c>
      <c r="G783" s="6" t="s">
        <v>1192</v>
      </c>
      <c r="H783" s="1" t="s">
        <v>1193</v>
      </c>
    </row>
    <row r="784" spans="1:8" x14ac:dyDescent="0.2">
      <c r="A784" s="5">
        <v>45495.590370879625</v>
      </c>
      <c r="B784" s="1" t="s">
        <v>22</v>
      </c>
      <c r="C784" s="1">
        <v>2024</v>
      </c>
      <c r="D784" s="1" t="s">
        <v>1114</v>
      </c>
      <c r="E784" s="6" t="s">
        <v>1194</v>
      </c>
      <c r="F784" s="7" t="str">
        <f t="shared" si="11"/>
        <v>1 files moved</v>
      </c>
      <c r="G784" s="6" t="s">
        <v>1195</v>
      </c>
      <c r="H784" s="1" t="s">
        <v>1196</v>
      </c>
    </row>
    <row r="785" spans="1:8" x14ac:dyDescent="0.2">
      <c r="A785" s="5">
        <v>45495.603672083336</v>
      </c>
      <c r="B785" s="1" t="s">
        <v>35</v>
      </c>
      <c r="C785" s="1">
        <v>2024</v>
      </c>
      <c r="D785" s="1" t="s">
        <v>1114</v>
      </c>
      <c r="E785" s="6" t="s">
        <v>1197</v>
      </c>
      <c r="F785" s="7" t="str">
        <f>HYPERLINK("https://drive.google.com/open?id=1Xd46kE1hKgMsctSnZw6gt5LjeTNg0Knp","1 files moved")</f>
        <v>1 files moved</v>
      </c>
      <c r="G785" s="6" t="s">
        <v>1198</v>
      </c>
      <c r="H785" s="1" t="s">
        <v>1199</v>
      </c>
    </row>
    <row r="786" spans="1:8" x14ac:dyDescent="0.2">
      <c r="A786" s="5">
        <v>45495.605039467591</v>
      </c>
      <c r="B786" s="1" t="s">
        <v>451</v>
      </c>
      <c r="C786" s="1">
        <v>2024</v>
      </c>
      <c r="D786" s="1" t="s">
        <v>1114</v>
      </c>
      <c r="E786" s="6" t="s">
        <v>1200</v>
      </c>
      <c r="F786" s="7" t="str">
        <f t="shared" ref="F786:F789" si="12">HYPERLINK("https://drive.google.com/open?id=175ZXg4Nw-wRZV_OUo85-7sa4lMBqk-_Q","1 files moved")</f>
        <v>1 files moved</v>
      </c>
      <c r="G786" s="6" t="s">
        <v>1201</v>
      </c>
      <c r="H786" s="1" t="s">
        <v>1202</v>
      </c>
    </row>
    <row r="787" spans="1:8" x14ac:dyDescent="0.2">
      <c r="A787" s="5">
        <v>45495.668234699071</v>
      </c>
      <c r="B787" s="1" t="s">
        <v>29</v>
      </c>
      <c r="C787" s="1">
        <v>2024</v>
      </c>
      <c r="D787" s="1" t="s">
        <v>1114</v>
      </c>
      <c r="E787" s="6" t="s">
        <v>1203</v>
      </c>
      <c r="F787" s="7" t="str">
        <f t="shared" si="12"/>
        <v>1 files moved</v>
      </c>
      <c r="G787" s="6" t="s">
        <v>1204</v>
      </c>
      <c r="H787" s="1" t="s">
        <v>1205</v>
      </c>
    </row>
    <row r="788" spans="1:8" x14ac:dyDescent="0.2">
      <c r="A788" s="5">
        <v>45495.668568298614</v>
      </c>
      <c r="B788" s="1" t="s">
        <v>33</v>
      </c>
      <c r="C788" s="1">
        <v>2024</v>
      </c>
      <c r="D788" s="1" t="s">
        <v>1114</v>
      </c>
      <c r="E788" s="6" t="s">
        <v>1206</v>
      </c>
      <c r="F788" s="7" t="str">
        <f t="shared" si="12"/>
        <v>1 files moved</v>
      </c>
      <c r="G788" s="6" t="s">
        <v>1207</v>
      </c>
      <c r="H788" s="1" t="s">
        <v>1208</v>
      </c>
    </row>
    <row r="789" spans="1:8" x14ac:dyDescent="0.2">
      <c r="A789" s="5">
        <v>45497.318343900464</v>
      </c>
      <c r="B789" s="1" t="s">
        <v>666</v>
      </c>
      <c r="C789" s="1">
        <v>2024</v>
      </c>
      <c r="D789" s="1" t="s">
        <v>9</v>
      </c>
      <c r="E789" s="6" t="s">
        <v>1209</v>
      </c>
      <c r="F789" s="7" t="str">
        <f t="shared" si="12"/>
        <v>1 files moved</v>
      </c>
      <c r="G789" s="6" t="s">
        <v>1210</v>
      </c>
      <c r="H789" s="1" t="s">
        <v>1211</v>
      </c>
    </row>
    <row r="790" spans="1:8" x14ac:dyDescent="0.2">
      <c r="A790" s="5">
        <v>45497.529568055557</v>
      </c>
      <c r="B790" s="1" t="s">
        <v>956</v>
      </c>
      <c r="C790" s="1">
        <v>2024</v>
      </c>
      <c r="D790" s="1" t="s">
        <v>1114</v>
      </c>
      <c r="E790" s="6" t="s">
        <v>1212</v>
      </c>
      <c r="F790" s="7" t="str">
        <f>HYPERLINK("https://drive.google.com/open?id=1Xd46kE1hKgMsctSnZw6gt5LjeTNg0Knp","1 files moved")</f>
        <v>1 files moved</v>
      </c>
      <c r="G790" s="6" t="s">
        <v>1213</v>
      </c>
      <c r="H790" s="1" t="s">
        <v>1214</v>
      </c>
    </row>
    <row r="791" spans="1:8" x14ac:dyDescent="0.2">
      <c r="A791" s="5">
        <v>45498.354947847227</v>
      </c>
      <c r="B791" s="1" t="s">
        <v>76</v>
      </c>
      <c r="C791" s="1">
        <v>2024</v>
      </c>
      <c r="D791" s="1" t="s">
        <v>9</v>
      </c>
      <c r="E791" s="6" t="s">
        <v>1215</v>
      </c>
      <c r="F791" s="7" t="str">
        <f>HYPERLINK("https://drive.google.com/open?id=175ZXg4Nw-wRZV_OUo85-7sa4lMBqk-_Q","1 files moved")</f>
        <v>1 files moved</v>
      </c>
      <c r="G791" s="6" t="s">
        <v>1216</v>
      </c>
      <c r="H791" s="1" t="s">
        <v>1217</v>
      </c>
    </row>
    <row r="792" spans="1:8" x14ac:dyDescent="0.2">
      <c r="A792" s="5">
        <v>45510.605252141206</v>
      </c>
      <c r="B792" s="1" t="s">
        <v>16</v>
      </c>
      <c r="C792" s="1">
        <v>2024</v>
      </c>
      <c r="D792" s="1" t="s">
        <v>166</v>
      </c>
      <c r="E792" s="6" t="s">
        <v>1218</v>
      </c>
      <c r="F792" s="7" t="str">
        <f>HYPERLINK("https://drive.google.com/open?id=1YNQBM17-ejVScp5nWkNR2hYKrlehzOCe","1 files moved")</f>
        <v>1 files moved</v>
      </c>
      <c r="G792" s="6" t="s">
        <v>1219</v>
      </c>
      <c r="H792" s="1" t="s">
        <v>1220</v>
      </c>
    </row>
    <row r="793" spans="1:8" x14ac:dyDescent="0.2">
      <c r="A793" s="5">
        <v>45511.431947916666</v>
      </c>
      <c r="B793" s="1" t="s">
        <v>969</v>
      </c>
      <c r="C793" s="1">
        <v>2024</v>
      </c>
      <c r="D793" s="1" t="s">
        <v>166</v>
      </c>
      <c r="E793" s="6" t="s">
        <v>1221</v>
      </c>
      <c r="F793" s="7" t="str">
        <f>HYPERLINK("https://drive.google.com/open?id=1jjaZ6sBJ-rgFFoV-a9VrKbvqiPbqOcgX","1 files moved")</f>
        <v>1 files moved</v>
      </c>
      <c r="G793" s="6" t="s">
        <v>1222</v>
      </c>
      <c r="H793" s="1" t="s">
        <v>1223</v>
      </c>
    </row>
    <row r="794" spans="1:8" x14ac:dyDescent="0.2">
      <c r="A794" s="5">
        <v>45513.322674282404</v>
      </c>
      <c r="B794" s="1" t="s">
        <v>33</v>
      </c>
      <c r="C794" s="1">
        <v>2024</v>
      </c>
      <c r="D794" s="1" t="s">
        <v>166</v>
      </c>
      <c r="E794" s="6" t="s">
        <v>1224</v>
      </c>
      <c r="F794" s="7" t="str">
        <f>HYPERLINK("https://drive.google.com/open?id=1vt-BVSJOLHBIrsp9094dDz7aTxUYbXOd","1 files moved")</f>
        <v>1 files moved</v>
      </c>
      <c r="G794" s="6" t="s">
        <v>1225</v>
      </c>
      <c r="H794" s="1" t="s">
        <v>1226</v>
      </c>
    </row>
    <row r="795" spans="1:8" x14ac:dyDescent="0.2">
      <c r="A795" s="5">
        <v>45513.32310173611</v>
      </c>
      <c r="B795" s="1" t="s">
        <v>39</v>
      </c>
      <c r="C795" s="1">
        <v>2024</v>
      </c>
      <c r="D795" s="1" t="s">
        <v>166</v>
      </c>
      <c r="E795" s="6" t="s">
        <v>1227</v>
      </c>
      <c r="F795" s="7" t="str">
        <f>HYPERLINK("https://drive.google.com/open?id=1BZohlpYH-tCf-m6ifXipKqyT42Gbzhkv","1 files moved")</f>
        <v>1 files moved</v>
      </c>
      <c r="G795" s="6" t="s">
        <v>1228</v>
      </c>
      <c r="H795" s="1" t="s">
        <v>1229</v>
      </c>
    </row>
    <row r="796" spans="1:8" x14ac:dyDescent="0.2">
      <c r="A796" s="5">
        <v>45513.323556805553</v>
      </c>
      <c r="B796" s="1" t="s">
        <v>29</v>
      </c>
      <c r="C796" s="1">
        <v>2024</v>
      </c>
      <c r="D796" s="1" t="s">
        <v>166</v>
      </c>
      <c r="E796" s="6" t="s">
        <v>1230</v>
      </c>
      <c r="F796" s="7" t="str">
        <f>HYPERLINK("https://drive.google.com/open?id=1jO7SQkOk_xjZHSX78M31VKgg3Vt_d9Aw","1 files moved")</f>
        <v>1 files moved</v>
      </c>
      <c r="G796" s="6" t="s">
        <v>1231</v>
      </c>
      <c r="H796" s="1" t="s">
        <v>1232</v>
      </c>
    </row>
    <row r="797" spans="1:8" x14ac:dyDescent="0.2">
      <c r="A797" s="5">
        <v>45516.287732986108</v>
      </c>
      <c r="B797" s="1" t="s">
        <v>378</v>
      </c>
      <c r="C797" s="1">
        <v>2024</v>
      </c>
      <c r="D797" s="1" t="s">
        <v>166</v>
      </c>
      <c r="E797" s="6" t="s">
        <v>1233</v>
      </c>
      <c r="F797" s="7" t="str">
        <f>HYPERLINK("https://drive.google.com/open?id=1UaOhVLC8EU7AZLMQiErwZkrTRt0YZt3o","1 files moved")</f>
        <v>1 files moved</v>
      </c>
      <c r="G797" s="6" t="s">
        <v>1234</v>
      </c>
      <c r="H797" s="1" t="s">
        <v>1235</v>
      </c>
    </row>
    <row r="798" spans="1:8" x14ac:dyDescent="0.2">
      <c r="A798" s="5">
        <v>45516.534774768515</v>
      </c>
      <c r="B798" s="1" t="s">
        <v>43</v>
      </c>
      <c r="C798" s="1">
        <v>2024</v>
      </c>
      <c r="D798" s="1" t="s">
        <v>166</v>
      </c>
      <c r="E798" s="6" t="s">
        <v>1236</v>
      </c>
      <c r="F798" s="7" t="str">
        <f>HYPERLINK("https://drive.google.com/open?id=1V4TGvz085_QBAvEUyDaeNyMolr93zOZK","1 files moved")</f>
        <v>1 files moved</v>
      </c>
      <c r="G798" s="6" t="s">
        <v>1237</v>
      </c>
      <c r="H798" s="1" t="s">
        <v>1238</v>
      </c>
    </row>
    <row r="799" spans="1:8" x14ac:dyDescent="0.2">
      <c r="A799" s="5">
        <v>45516.660929710648</v>
      </c>
      <c r="B799" s="1" t="s">
        <v>24</v>
      </c>
      <c r="C799" s="1">
        <v>2024</v>
      </c>
      <c r="D799" s="1" t="s">
        <v>166</v>
      </c>
      <c r="E799" s="6" t="s">
        <v>1239</v>
      </c>
      <c r="F799" s="7" t="str">
        <f>HYPERLINK("https://drive.google.com/open?id=1lAkCTSJDqjfWsuZxvLL2COI53gbRENb_","1 files moved")</f>
        <v>1 files moved</v>
      </c>
      <c r="G799" s="6" t="s">
        <v>1240</v>
      </c>
      <c r="H799" s="1" t="s">
        <v>1241</v>
      </c>
    </row>
    <row r="800" spans="1:8" x14ac:dyDescent="0.2">
      <c r="A800" s="5">
        <v>45516.662700173612</v>
      </c>
      <c r="B800" s="1" t="s">
        <v>451</v>
      </c>
      <c r="C800" s="1">
        <v>2024</v>
      </c>
      <c r="D800" s="1" t="s">
        <v>166</v>
      </c>
      <c r="E800" s="6" t="s">
        <v>1242</v>
      </c>
      <c r="F800" s="7" t="str">
        <f>HYPERLINK("https://drive.google.com/open?id=1KIx1m7meHb5nobC5pXq7RhJanL49Yo2o","1 files moved")</f>
        <v>1 files moved</v>
      </c>
      <c r="G800" s="6" t="s">
        <v>1243</v>
      </c>
      <c r="H800" s="1" t="s">
        <v>1244</v>
      </c>
    </row>
    <row r="801" spans="1:8" x14ac:dyDescent="0.2">
      <c r="A801" s="5">
        <v>45517.291241076389</v>
      </c>
      <c r="B801" s="1" t="s">
        <v>68</v>
      </c>
      <c r="C801" s="1">
        <v>2024</v>
      </c>
      <c r="D801" s="1" t="s">
        <v>166</v>
      </c>
      <c r="E801" s="6" t="s">
        <v>1245</v>
      </c>
      <c r="F801" s="7" t="str">
        <f>HYPERLINK("https://drive.google.com/open?id=1OV29wdO4ju235Dn_RfWfQvZfv8o_gJRA","1 files moved")</f>
        <v>1 files moved</v>
      </c>
      <c r="G801" s="6" t="s">
        <v>1246</v>
      </c>
      <c r="H801" s="1" t="s">
        <v>1247</v>
      </c>
    </row>
    <row r="802" spans="1:8" x14ac:dyDescent="0.2">
      <c r="A802" s="5">
        <v>45517.308918032402</v>
      </c>
      <c r="B802" s="1" t="s">
        <v>22</v>
      </c>
      <c r="C802" s="1">
        <v>2024</v>
      </c>
      <c r="D802" s="1" t="s">
        <v>166</v>
      </c>
      <c r="E802" s="6" t="s">
        <v>1248</v>
      </c>
      <c r="F802" s="7" t="str">
        <f>HYPERLINK("https://drive.google.com/open?id=1WAbmR1kP-K3GSrnpnC5igzsk9XdBZPD_","1 files moved")</f>
        <v>1 files moved</v>
      </c>
      <c r="G802" s="6" t="s">
        <v>1249</v>
      </c>
      <c r="H802" s="1" t="s">
        <v>1250</v>
      </c>
    </row>
    <row r="803" spans="1:8" x14ac:dyDescent="0.2">
      <c r="A803" s="5">
        <v>45517.355686388888</v>
      </c>
      <c r="B803" s="1" t="s">
        <v>1139</v>
      </c>
      <c r="C803" s="1">
        <v>2024</v>
      </c>
      <c r="D803" s="1" t="s">
        <v>166</v>
      </c>
      <c r="E803" s="6" t="s">
        <v>1251</v>
      </c>
      <c r="F803" s="7" t="str">
        <f>HYPERLINK("https://drive.google.com/open?id=1BTw6tbsd-8pzBcPd3Qgz7GdSqpJA1avM","1 files moved")</f>
        <v>1 files moved</v>
      </c>
      <c r="G803" s="6" t="s">
        <v>1252</v>
      </c>
      <c r="H803" s="1" t="s">
        <v>1253</v>
      </c>
    </row>
    <row r="804" spans="1:8" x14ac:dyDescent="0.2">
      <c r="A804" s="5">
        <v>45517.363339722222</v>
      </c>
      <c r="B804" s="1" t="s">
        <v>62</v>
      </c>
      <c r="C804" s="1">
        <v>2024</v>
      </c>
      <c r="D804" s="1" t="s">
        <v>166</v>
      </c>
      <c r="E804" s="6" t="s">
        <v>1254</v>
      </c>
      <c r="F804" s="7" t="str">
        <f>HYPERLINK("https://drive.google.com/open?id=1CSWuwAcjfOUkpFz17anJSHXpLD9oH9ta","1 files moved")</f>
        <v>1 files moved</v>
      </c>
      <c r="G804" s="6" t="s">
        <v>1255</v>
      </c>
      <c r="H804" s="1" t="s">
        <v>1256</v>
      </c>
    </row>
    <row r="805" spans="1:8" x14ac:dyDescent="0.2">
      <c r="A805" s="5">
        <v>45517.387325648146</v>
      </c>
      <c r="B805" s="1" t="s">
        <v>397</v>
      </c>
      <c r="C805" s="1">
        <v>2024</v>
      </c>
      <c r="D805" s="1" t="s">
        <v>166</v>
      </c>
      <c r="E805" s="6" t="s">
        <v>1257</v>
      </c>
      <c r="F805" s="7" t="str">
        <f>HYPERLINK("https://drive.google.com/open?id=11skWmlW9bg1I5Y0qbtAwiD9dgHdxhUYl","1 files moved")</f>
        <v>1 files moved</v>
      </c>
      <c r="G805" s="6" t="s">
        <v>1258</v>
      </c>
      <c r="H805" s="1" t="s">
        <v>1259</v>
      </c>
    </row>
    <row r="806" spans="1:8" x14ac:dyDescent="0.2">
      <c r="A806" s="5">
        <v>45517.390397037037</v>
      </c>
      <c r="B806" s="1" t="s">
        <v>47</v>
      </c>
      <c r="C806" s="1">
        <v>2024</v>
      </c>
      <c r="D806" s="1" t="s">
        <v>166</v>
      </c>
      <c r="E806" s="6" t="s">
        <v>1260</v>
      </c>
      <c r="F806" s="7" t="str">
        <f>HYPERLINK("https://drive.google.com/open?id=1pM9D8l1ep_C4D6kUFxAGlSX58S2gNWw7","1 files moved")</f>
        <v>1 files moved</v>
      </c>
      <c r="G806" s="6" t="s">
        <v>1261</v>
      </c>
      <c r="H806" s="1" t="s">
        <v>1262</v>
      </c>
    </row>
    <row r="807" spans="1:8" x14ac:dyDescent="0.2">
      <c r="A807" s="5">
        <v>45517.533843738427</v>
      </c>
      <c r="B807" s="1" t="s">
        <v>330</v>
      </c>
      <c r="C807" s="1">
        <v>2024</v>
      </c>
      <c r="D807" s="1" t="s">
        <v>166</v>
      </c>
      <c r="E807" s="6" t="s">
        <v>1263</v>
      </c>
      <c r="F807" s="7" t="str">
        <f>HYPERLINK("https://drive.google.com/open?id=1jgWFJ1Rnlmfp-xLJYcsceHq4Kj-jmyCy","1 files moved")</f>
        <v>1 files moved</v>
      </c>
      <c r="G807" s="6" t="s">
        <v>1264</v>
      </c>
      <c r="H807" s="1" t="s">
        <v>1265</v>
      </c>
    </row>
    <row r="808" spans="1:8" x14ac:dyDescent="0.2">
      <c r="A808" s="5">
        <v>45517.575153217593</v>
      </c>
      <c r="B808" s="1" t="s">
        <v>13</v>
      </c>
      <c r="C808" s="1">
        <v>2024</v>
      </c>
      <c r="D808" s="1" t="s">
        <v>166</v>
      </c>
      <c r="E808" s="6" t="s">
        <v>1266</v>
      </c>
      <c r="F808" s="7" t="str">
        <f>HYPERLINK("https://drive.google.com/open?id=1Zryv8yNLErRzmBqkGZTRY6f8oQgaib5M","1 files moved")</f>
        <v>1 files moved</v>
      </c>
      <c r="G808" s="6" t="s">
        <v>1267</v>
      </c>
      <c r="H808" s="1" t="s">
        <v>1268</v>
      </c>
    </row>
    <row r="809" spans="1:8" x14ac:dyDescent="0.2">
      <c r="A809" s="5">
        <v>45517.632314456016</v>
      </c>
      <c r="B809" s="1" t="s">
        <v>45</v>
      </c>
      <c r="C809" s="1">
        <v>2024</v>
      </c>
      <c r="D809" s="1" t="s">
        <v>166</v>
      </c>
      <c r="E809" s="6" t="s">
        <v>1269</v>
      </c>
      <c r="F809" s="7" t="str">
        <f>HYPERLINK("https://drive.google.com/open?id=1WOu53emjYl9MgCM11eFHkgxwdHlBm2Xz","1 files moved")</f>
        <v>1 files moved</v>
      </c>
      <c r="G809" s="6" t="s">
        <v>1270</v>
      </c>
      <c r="H809" s="1" t="s">
        <v>1271</v>
      </c>
    </row>
    <row r="810" spans="1:8" x14ac:dyDescent="0.2">
      <c r="A810" s="5">
        <v>45517.639171863426</v>
      </c>
      <c r="B810" s="1" t="s">
        <v>11</v>
      </c>
      <c r="C810" s="1">
        <v>2024</v>
      </c>
      <c r="D810" s="1" t="s">
        <v>166</v>
      </c>
      <c r="E810" s="6" t="s">
        <v>1272</v>
      </c>
      <c r="F810" s="7" t="str">
        <f>HYPERLINK("https://drive.google.com/open?id=1YzDqbFE4H4BS5N9a8WbsE5FQL-HEPRMj","1 files moved")</f>
        <v>1 files moved</v>
      </c>
      <c r="G810" s="6" t="s">
        <v>1273</v>
      </c>
      <c r="H810" s="1" t="s">
        <v>1274</v>
      </c>
    </row>
    <row r="811" spans="1:8" x14ac:dyDescent="0.2">
      <c r="A811" s="5">
        <v>45517.640036597222</v>
      </c>
      <c r="B811" s="1" t="s">
        <v>56</v>
      </c>
      <c r="C811" s="1">
        <v>2024</v>
      </c>
      <c r="D811" s="1" t="s">
        <v>166</v>
      </c>
      <c r="E811" s="6" t="s">
        <v>1275</v>
      </c>
      <c r="F811" s="7" t="str">
        <f>HYPERLINK("https://drive.google.com/open?id=1YZIPSo9PodNGWCjC1zK15cW1JEByXJ7w","1 files moved")</f>
        <v>1 files moved</v>
      </c>
      <c r="G811" s="6" t="s">
        <v>1276</v>
      </c>
      <c r="H811" s="1" t="s">
        <v>1277</v>
      </c>
    </row>
    <row r="812" spans="1:8" x14ac:dyDescent="0.2">
      <c r="A812" s="5">
        <v>45518.303559803244</v>
      </c>
      <c r="B812" s="1" t="s">
        <v>348</v>
      </c>
      <c r="C812" s="1">
        <v>2024</v>
      </c>
      <c r="D812" s="1" t="s">
        <v>166</v>
      </c>
      <c r="E812" s="6" t="s">
        <v>1278</v>
      </c>
      <c r="F812" s="7" t="str">
        <f>HYPERLINK("https://drive.google.com/open?id=17WOaAXl5jFgeySypAmjW1SMD0z4Hcu1k","1 files moved")</f>
        <v>1 files moved</v>
      </c>
      <c r="G812" s="6" t="s">
        <v>1279</v>
      </c>
      <c r="H812" s="1" t="s">
        <v>1280</v>
      </c>
    </row>
    <row r="813" spans="1:8" x14ac:dyDescent="0.2">
      <c r="A813" s="5">
        <v>45518.328043900459</v>
      </c>
      <c r="B813" s="1" t="s">
        <v>35</v>
      </c>
      <c r="C813" s="1">
        <v>2024</v>
      </c>
      <c r="D813" s="1" t="s">
        <v>166</v>
      </c>
      <c r="E813" s="6" t="s">
        <v>1281</v>
      </c>
      <c r="F813" s="7" t="str">
        <f>HYPERLINK("https://drive.google.com/open?id=1p9rKdY4QkNWIsmYys86EoZpuyIpPfpst","1 files moved")</f>
        <v>1 files moved</v>
      </c>
      <c r="G813" s="6" t="s">
        <v>1282</v>
      </c>
      <c r="H813" s="1" t="s">
        <v>1283</v>
      </c>
    </row>
    <row r="814" spans="1:8" x14ac:dyDescent="0.2">
      <c r="A814" s="5">
        <v>45518.330435462965</v>
      </c>
      <c r="B814" s="1" t="s">
        <v>464</v>
      </c>
      <c r="C814" s="1">
        <v>2024</v>
      </c>
      <c r="D814" s="1" t="s">
        <v>166</v>
      </c>
      <c r="E814" s="6" t="s">
        <v>1284</v>
      </c>
      <c r="F814" s="7" t="str">
        <f>HYPERLINK("https://drive.google.com/open?id=1sNh5fA93l5peYz5IJKZGEClKmxdv9dcX","1 files moved")</f>
        <v>1 files moved</v>
      </c>
      <c r="G814" s="6" t="s">
        <v>1285</v>
      </c>
      <c r="H814" s="1" t="s">
        <v>1286</v>
      </c>
    </row>
    <row r="815" spans="1:8" x14ac:dyDescent="0.2">
      <c r="A815" s="5">
        <v>45518.485530833335</v>
      </c>
      <c r="B815" s="1" t="s">
        <v>70</v>
      </c>
      <c r="C815" s="1">
        <v>2024</v>
      </c>
      <c r="D815" s="1" t="s">
        <v>166</v>
      </c>
      <c r="E815" s="6" t="s">
        <v>1287</v>
      </c>
      <c r="F815" s="7" t="str">
        <f>HYPERLINK("https://drive.google.com/open?id=1tJPwF2su0hso4TETThLNHI9_S0dJdbLl","1 files moved")</f>
        <v>1 files moved</v>
      </c>
      <c r="G815" s="6" t="s">
        <v>1288</v>
      </c>
      <c r="H815" s="1" t="s">
        <v>1289</v>
      </c>
    </row>
    <row r="816" spans="1:8" x14ac:dyDescent="0.2">
      <c r="A816" s="5">
        <v>45518.551591249998</v>
      </c>
      <c r="B816" s="1" t="s">
        <v>27</v>
      </c>
      <c r="C816" s="1">
        <v>2024</v>
      </c>
      <c r="D816" s="1" t="s">
        <v>166</v>
      </c>
      <c r="E816" s="6" t="s">
        <v>1290</v>
      </c>
      <c r="F816" s="7" t="str">
        <f>HYPERLINK("https://drive.google.com/open?id=1bGJWCN7-bZQSl3cMCCd4KJRrHz1r1jve","1 files moved")</f>
        <v>1 files moved</v>
      </c>
      <c r="G816" s="6" t="s">
        <v>1291</v>
      </c>
      <c r="H816" s="1" t="s">
        <v>1292</v>
      </c>
    </row>
    <row r="817" spans="1:8" x14ac:dyDescent="0.2">
      <c r="A817" s="5">
        <v>45518.628254351846</v>
      </c>
      <c r="B817" s="1" t="s">
        <v>66</v>
      </c>
      <c r="C817" s="1">
        <v>2024</v>
      </c>
      <c r="D817" s="1" t="s">
        <v>166</v>
      </c>
      <c r="E817" s="6" t="s">
        <v>1293</v>
      </c>
      <c r="F817" s="7" t="str">
        <f>HYPERLINK("https://drive.google.com/open?id=1km-qyuVgwan24VTfuBcnXv-a0gKCGit4","1 files moved")</f>
        <v>1 files moved</v>
      </c>
      <c r="G817" s="6" t="s">
        <v>1294</v>
      </c>
      <c r="H817" s="1" t="s">
        <v>1295</v>
      </c>
    </row>
    <row r="818" spans="1:8" x14ac:dyDescent="0.2">
      <c r="A818" s="5">
        <v>45519.349170868052</v>
      </c>
      <c r="B818" s="1" t="s">
        <v>686</v>
      </c>
      <c r="C818" s="1">
        <v>2024</v>
      </c>
      <c r="D818" s="1" t="s">
        <v>166</v>
      </c>
      <c r="E818" s="6" t="s">
        <v>1296</v>
      </c>
      <c r="F818" s="7" t="str">
        <f>HYPERLINK("https://drive.google.com/open?id=1raKDx-uNeIvhNP7U_Rt7B4uGTAH17pUT","1 files moved")</f>
        <v>1 files moved</v>
      </c>
      <c r="G818" s="6" t="s">
        <v>1297</v>
      </c>
      <c r="H818" s="1" t="s">
        <v>1298</v>
      </c>
    </row>
    <row r="819" spans="1:8" x14ac:dyDescent="0.2">
      <c r="A819" s="5">
        <v>45519.350946921295</v>
      </c>
      <c r="B819" s="1" t="s">
        <v>76</v>
      </c>
      <c r="C819" s="1">
        <v>2024</v>
      </c>
      <c r="D819" s="1" t="s">
        <v>166</v>
      </c>
      <c r="E819" s="6" t="s">
        <v>1299</v>
      </c>
      <c r="F819" s="7" t="str">
        <f>HYPERLINK("https://drive.google.com/open?id=1YKXc634Hd6ivOmY-kuk_dNKkhypgkHlR","1 files moved")</f>
        <v>1 files moved</v>
      </c>
      <c r="G819" s="6" t="s">
        <v>1300</v>
      </c>
      <c r="H819" s="1" t="s">
        <v>1301</v>
      </c>
    </row>
    <row r="820" spans="1:8" x14ac:dyDescent="0.2">
      <c r="A820" s="5">
        <v>45519.351286747682</v>
      </c>
      <c r="B820" s="1" t="s">
        <v>53</v>
      </c>
      <c r="C820" s="1">
        <v>2024</v>
      </c>
      <c r="D820" s="1" t="s">
        <v>166</v>
      </c>
      <c r="E820" s="6" t="s">
        <v>1302</v>
      </c>
      <c r="F820" s="7" t="str">
        <f>HYPERLINK("https://drive.google.com/open?id=1mgwi5IYuDSmdes063EGgEET4VIkt5Ge6","1 files moved")</f>
        <v>1 files moved</v>
      </c>
      <c r="G820" s="6" t="s">
        <v>1303</v>
      </c>
      <c r="H820" s="1" t="s">
        <v>1304</v>
      </c>
    </row>
    <row r="821" spans="1:8" x14ac:dyDescent="0.2">
      <c r="A821" s="5">
        <v>45520.320317604172</v>
      </c>
      <c r="B821" s="1" t="s">
        <v>8</v>
      </c>
      <c r="C821" s="1">
        <v>2024</v>
      </c>
      <c r="D821" s="1" t="s">
        <v>166</v>
      </c>
      <c r="E821" s="6" t="s">
        <v>1305</v>
      </c>
      <c r="F821" s="7" t="str">
        <f>HYPERLINK("https://drive.google.com/open?id=1RzBx4e3LIUFyXvV8TKxHGhvZPq7MCFk3","1 files moved")</f>
        <v>1 files moved</v>
      </c>
      <c r="G821" s="6" t="s">
        <v>1306</v>
      </c>
      <c r="H821" s="1" t="s">
        <v>1307</v>
      </c>
    </row>
    <row r="822" spans="1:8" x14ac:dyDescent="0.2">
      <c r="A822" s="5">
        <v>45520.323056817128</v>
      </c>
      <c r="B822" s="1" t="s">
        <v>37</v>
      </c>
      <c r="C822" s="1">
        <v>2024</v>
      </c>
      <c r="D822" s="1" t="s">
        <v>166</v>
      </c>
      <c r="E822" s="6" t="s">
        <v>1308</v>
      </c>
      <c r="F822" s="7" t="str">
        <f>HYPERLINK("https://drive.google.com/open?id=1wSxcmqm3125laWHu_SOHgx8lXCwq7t95","1 files moved")</f>
        <v>1 files moved</v>
      </c>
      <c r="G822" s="6" t="s">
        <v>1309</v>
      </c>
      <c r="H822" s="1" t="s">
        <v>1310</v>
      </c>
    </row>
    <row r="823" spans="1:8" x14ac:dyDescent="0.2">
      <c r="A823" s="5">
        <v>45523.347030671299</v>
      </c>
      <c r="B823" s="1" t="s">
        <v>666</v>
      </c>
      <c r="C823" s="1">
        <v>2024</v>
      </c>
      <c r="D823" s="1" t="s">
        <v>166</v>
      </c>
      <c r="E823" s="6" t="s">
        <v>1311</v>
      </c>
      <c r="F823" s="7" t="str">
        <f>HYPERLINK("https://drive.google.com/open?id=1V9JxAml7o3RDV4BK_aYYG2UrIwxiEXjP","1 files moved")</f>
        <v>1 files moved</v>
      </c>
      <c r="G823" s="6" t="s">
        <v>1312</v>
      </c>
      <c r="H823" s="1" t="s">
        <v>1313</v>
      </c>
    </row>
    <row r="824" spans="1:8" x14ac:dyDescent="0.2">
      <c r="A824" s="5">
        <v>45523.383006238422</v>
      </c>
      <c r="B824" s="1" t="s">
        <v>112</v>
      </c>
      <c r="C824" s="1">
        <v>2024</v>
      </c>
      <c r="D824" s="1" t="s">
        <v>166</v>
      </c>
      <c r="E824" s="6" t="s">
        <v>1314</v>
      </c>
      <c r="F824" s="7" t="str">
        <f>HYPERLINK("https://drive.google.com/open?id=1bgfFevr_vWoS1TUMY9H3d79cj9SEs5AT","1 files moved")</f>
        <v>1 files moved</v>
      </c>
      <c r="G824" s="6" t="s">
        <v>1315</v>
      </c>
      <c r="H824" s="1" t="s">
        <v>1316</v>
      </c>
    </row>
    <row r="825" spans="1:8" x14ac:dyDescent="0.2">
      <c r="A825" s="5">
        <v>45524.680279282409</v>
      </c>
      <c r="B825" s="1" t="s">
        <v>47</v>
      </c>
      <c r="C825" s="1">
        <v>2024</v>
      </c>
      <c r="D825" s="1" t="s">
        <v>166</v>
      </c>
      <c r="E825" s="6" t="s">
        <v>1317</v>
      </c>
      <c r="F825" s="7" t="str">
        <f>HYPERLINK("https://drive.google.com/open?id=1pM9D8l1ep_C4D6kUFxAGlSX58S2gNWw7","1 files moved")</f>
        <v>1 files moved</v>
      </c>
      <c r="G825" s="6" t="s">
        <v>1318</v>
      </c>
      <c r="H825" s="1" t="s">
        <v>1319</v>
      </c>
    </row>
    <row r="826" spans="1:8" x14ac:dyDescent="0.2">
      <c r="A826" s="5">
        <v>45525.439075486109</v>
      </c>
      <c r="B826" s="1" t="s">
        <v>43</v>
      </c>
      <c r="C826" s="1">
        <v>2024</v>
      </c>
      <c r="D826" s="1" t="s">
        <v>166</v>
      </c>
      <c r="E826" s="6" t="s">
        <v>1320</v>
      </c>
      <c r="F826" s="7" t="str">
        <f>HYPERLINK("https://drive.google.com/open?id=1V4TGvz085_QBAvEUyDaeNyMolr93zOZK","1 files moved")</f>
        <v>1 files moved</v>
      </c>
      <c r="G826" s="6" t="s">
        <v>1321</v>
      </c>
      <c r="H826" s="1" t="s">
        <v>1322</v>
      </c>
    </row>
    <row r="827" spans="1:8" x14ac:dyDescent="0.2">
      <c r="A827" s="5">
        <v>45539.590911701387</v>
      </c>
      <c r="B827" s="1" t="s">
        <v>969</v>
      </c>
      <c r="C827" s="1">
        <v>2024</v>
      </c>
      <c r="D827" s="1" t="s">
        <v>196</v>
      </c>
      <c r="E827" s="6" t="s">
        <v>1323</v>
      </c>
      <c r="F827" s="7" t="str">
        <f>HYPERLINK("https://drive.google.com/open?id=1jjaZ6sBJ-rgFFoV-a9VrKbvqiPbqOcgX","1 files moved")</f>
        <v>1 files moved</v>
      </c>
      <c r="G827" s="6" t="s">
        <v>1324</v>
      </c>
      <c r="H827" s="1" t="s">
        <v>1325</v>
      </c>
    </row>
    <row r="828" spans="1:8" x14ac:dyDescent="0.2">
      <c r="A828" s="5">
        <v>45540.334395902777</v>
      </c>
      <c r="B828" s="1" t="s">
        <v>27</v>
      </c>
      <c r="C828" s="1">
        <v>2024</v>
      </c>
      <c r="D828" s="1" t="s">
        <v>196</v>
      </c>
      <c r="E828" s="6" t="s">
        <v>1326</v>
      </c>
      <c r="F828" s="7" t="str">
        <f>HYPERLINK("https://drive.google.com/open?id=1bGJWCN7-bZQSl3cMCCd4KJRrHz1r1jve","1 files moved")</f>
        <v>1 files moved</v>
      </c>
      <c r="G828" s="6" t="s">
        <v>1327</v>
      </c>
      <c r="H828" s="1" t="s">
        <v>1328</v>
      </c>
    </row>
    <row r="829" spans="1:8" x14ac:dyDescent="0.2">
      <c r="A829" s="5">
        <v>45540.339627141206</v>
      </c>
      <c r="B829" s="1" t="s">
        <v>16</v>
      </c>
      <c r="C829" s="1">
        <v>2024</v>
      </c>
      <c r="D829" s="1" t="s">
        <v>196</v>
      </c>
      <c r="E829" s="6" t="s">
        <v>1329</v>
      </c>
      <c r="F829" s="7" t="str">
        <f>HYPERLINK("https://drive.google.com/open?id=1YNQBM17-ejVScp5nWkNR2hYKrlehzOCe","1 files moved")</f>
        <v>1 files moved</v>
      </c>
      <c r="G829" s="6" t="s">
        <v>1330</v>
      </c>
      <c r="H829" s="1" t="s">
        <v>1331</v>
      </c>
    </row>
    <row r="830" spans="1:8" x14ac:dyDescent="0.2">
      <c r="A830" s="5">
        <v>45540.341839768516</v>
      </c>
      <c r="B830" s="1" t="s">
        <v>39</v>
      </c>
      <c r="C830" s="1">
        <v>2024</v>
      </c>
      <c r="D830" s="1" t="s">
        <v>196</v>
      </c>
      <c r="E830" s="6" t="s">
        <v>1332</v>
      </c>
      <c r="F830" s="7" t="str">
        <f>HYPERLINK("https://drive.google.com/open?id=1BZohlpYH-tCf-m6ifXipKqyT42Gbzhkv","1 files moved")</f>
        <v>1 files moved</v>
      </c>
      <c r="G830" s="6" t="s">
        <v>1333</v>
      </c>
      <c r="H830" s="1" t="s">
        <v>1334</v>
      </c>
    </row>
    <row r="831" spans="1:8" x14ac:dyDescent="0.2">
      <c r="A831" s="5">
        <v>45540.343358761573</v>
      </c>
      <c r="B831" s="1" t="s">
        <v>29</v>
      </c>
      <c r="C831" s="1">
        <v>2024</v>
      </c>
      <c r="D831" s="1" t="s">
        <v>196</v>
      </c>
      <c r="E831" s="6" t="s">
        <v>1335</v>
      </c>
      <c r="F831" s="7" t="str">
        <f>HYPERLINK("https://drive.google.com/open?id=1jO7SQkOk_xjZHSX78M31VKgg3Vt_d9Aw","1 files moved")</f>
        <v>1 files moved</v>
      </c>
      <c r="G831" s="6" t="s">
        <v>1336</v>
      </c>
      <c r="H831" s="1" t="s">
        <v>1337</v>
      </c>
    </row>
    <row r="832" spans="1:8" x14ac:dyDescent="0.2">
      <c r="A832" s="5">
        <v>45540.351617175926</v>
      </c>
      <c r="B832" s="1" t="s">
        <v>666</v>
      </c>
      <c r="C832" s="1">
        <v>2024</v>
      </c>
      <c r="D832" s="1" t="s">
        <v>196</v>
      </c>
      <c r="E832" s="6" t="s">
        <v>1338</v>
      </c>
      <c r="F832" s="7" t="str">
        <f>HYPERLINK("https://drive.google.com/open?id=1V9JxAml7o3RDV4BK_aYYG2UrIwxiEXjP","1 files moved")</f>
        <v>1 files moved</v>
      </c>
      <c r="G832" s="6" t="s">
        <v>1339</v>
      </c>
      <c r="H832" s="1" t="s">
        <v>1340</v>
      </c>
    </row>
    <row r="833" spans="1:8" x14ac:dyDescent="0.2">
      <c r="A833" s="5">
        <v>45540.353500462967</v>
      </c>
      <c r="B833" s="1" t="s">
        <v>70</v>
      </c>
      <c r="C833" s="1">
        <v>2024</v>
      </c>
      <c r="D833" s="1" t="s">
        <v>196</v>
      </c>
      <c r="E833" s="6" t="s">
        <v>1341</v>
      </c>
      <c r="F833" s="7" t="str">
        <f>HYPERLINK("https://drive.google.com/open?id=1tJPwF2su0hso4TETThLNHI9_S0dJdbLl","1 files moved")</f>
        <v>1 files moved</v>
      </c>
      <c r="G833" s="6" t="s">
        <v>1342</v>
      </c>
      <c r="H833" s="1" t="s">
        <v>1343</v>
      </c>
    </row>
    <row r="834" spans="1:8" x14ac:dyDescent="0.2">
      <c r="A834" s="5">
        <v>45540.357068217592</v>
      </c>
      <c r="B834" s="1" t="s">
        <v>43</v>
      </c>
      <c r="C834" s="1">
        <v>2024</v>
      </c>
      <c r="D834" s="1" t="s">
        <v>196</v>
      </c>
      <c r="E834" s="6" t="s">
        <v>1344</v>
      </c>
      <c r="F834" s="7" t="str">
        <f>HYPERLINK("https://drive.google.com/open?id=1V4TGvz085_QBAvEUyDaeNyMolr93zOZK","1 files moved")</f>
        <v>1 files moved</v>
      </c>
      <c r="G834" s="6" t="s">
        <v>1345</v>
      </c>
      <c r="H834" s="1" t="s">
        <v>1346</v>
      </c>
    </row>
    <row r="835" spans="1:8" x14ac:dyDescent="0.2">
      <c r="A835" s="5">
        <v>45540.454871956019</v>
      </c>
      <c r="B835" s="1" t="s">
        <v>45</v>
      </c>
      <c r="C835" s="1">
        <v>2024</v>
      </c>
      <c r="D835" s="1" t="s">
        <v>196</v>
      </c>
      <c r="E835" s="6" t="s">
        <v>1347</v>
      </c>
      <c r="F835" s="7" t="str">
        <f>HYPERLINK("https://drive.google.com/open?id=1WOu53emjYl9MgCM11eFHkgxwdHlBm2Xz","1 files moved")</f>
        <v>1 files moved</v>
      </c>
      <c r="G835" s="6" t="s">
        <v>1348</v>
      </c>
      <c r="H835" s="1" t="s">
        <v>1349</v>
      </c>
    </row>
    <row r="836" spans="1:8" x14ac:dyDescent="0.2">
      <c r="A836" s="5">
        <v>45540.476878877314</v>
      </c>
      <c r="B836" s="1" t="s">
        <v>330</v>
      </c>
      <c r="C836" s="1">
        <v>2024</v>
      </c>
      <c r="D836" s="1" t="s">
        <v>196</v>
      </c>
      <c r="E836" s="6" t="s">
        <v>1350</v>
      </c>
      <c r="F836" s="7" t="str">
        <f>HYPERLINK("https://drive.google.com/open?id=1jgWFJ1Rnlmfp-xLJYcsceHq4Kj-jmyCy","1 files moved")</f>
        <v>1 files moved</v>
      </c>
      <c r="G836" s="6" t="s">
        <v>1351</v>
      </c>
      <c r="H836" s="1" t="s">
        <v>1352</v>
      </c>
    </row>
    <row r="837" spans="1:8" x14ac:dyDescent="0.2">
      <c r="A837" s="5">
        <v>45541.399976122688</v>
      </c>
      <c r="B837" s="1" t="s">
        <v>378</v>
      </c>
      <c r="C837" s="1">
        <v>2024</v>
      </c>
      <c r="D837" s="1" t="s">
        <v>196</v>
      </c>
      <c r="E837" s="6" t="s">
        <v>1353</v>
      </c>
      <c r="F837" s="7" t="str">
        <f>HYPERLINK("https://drive.google.com/open?id=1UaOhVLC8EU7AZLMQiErwZkrTRt0YZt3o","1 files moved")</f>
        <v>1 files moved</v>
      </c>
      <c r="G837" s="6" t="s">
        <v>1354</v>
      </c>
      <c r="H837" s="1" t="s">
        <v>1355</v>
      </c>
    </row>
    <row r="838" spans="1:8" x14ac:dyDescent="0.2">
      <c r="A838" s="5">
        <v>45541.666959745373</v>
      </c>
      <c r="B838" s="1" t="s">
        <v>33</v>
      </c>
      <c r="C838" s="1">
        <v>2024</v>
      </c>
      <c r="D838" s="1" t="s">
        <v>196</v>
      </c>
      <c r="E838" s="6" t="s">
        <v>1356</v>
      </c>
      <c r="F838" s="7" t="str">
        <f>HYPERLINK("https://drive.google.com/open?id=1vt-BVSJOLHBIrsp9094dDz7aTxUYbXOd","1 files moved")</f>
        <v>1 files moved</v>
      </c>
      <c r="G838" s="6" t="s">
        <v>1357</v>
      </c>
      <c r="H838" s="1" t="s">
        <v>1358</v>
      </c>
    </row>
    <row r="839" spans="1:8" x14ac:dyDescent="0.2">
      <c r="A839" s="5">
        <v>45544.361849537032</v>
      </c>
      <c r="B839" s="1" t="s">
        <v>53</v>
      </c>
      <c r="C839" s="1">
        <v>2024</v>
      </c>
      <c r="D839" s="1" t="s">
        <v>196</v>
      </c>
      <c r="E839" s="6" t="s">
        <v>1359</v>
      </c>
      <c r="F839" s="7" t="str">
        <f>HYPERLINK("https://drive.google.com/open?id=1mgwi5IYuDSmdes063EGgEET4VIkt5Ge6","1 files moved")</f>
        <v>1 files moved</v>
      </c>
      <c r="G839" s="6" t="s">
        <v>1360</v>
      </c>
      <c r="H839" s="1" t="s">
        <v>1361</v>
      </c>
    </row>
    <row r="840" spans="1:8" x14ac:dyDescent="0.2">
      <c r="A840" s="5">
        <v>45544.434257361107</v>
      </c>
      <c r="B840" s="1" t="s">
        <v>68</v>
      </c>
      <c r="C840" s="1">
        <v>2024</v>
      </c>
      <c r="D840" s="1" t="s">
        <v>196</v>
      </c>
      <c r="E840" s="6" t="s">
        <v>1362</v>
      </c>
      <c r="F840" s="7" t="str">
        <f>HYPERLINK("https://drive.google.com/open?id=1OV29wdO4ju235Dn_RfWfQvZfv8o_gJRA","1 files moved")</f>
        <v>1 files moved</v>
      </c>
      <c r="G840" s="6" t="s">
        <v>1363</v>
      </c>
      <c r="H840" s="1" t="s">
        <v>1364</v>
      </c>
    </row>
    <row r="841" spans="1:8" x14ac:dyDescent="0.2">
      <c r="A841" s="5">
        <v>45544.440978043982</v>
      </c>
      <c r="B841" s="1" t="s">
        <v>24</v>
      </c>
      <c r="C841" s="1">
        <v>2024</v>
      </c>
      <c r="D841" s="1" t="s">
        <v>196</v>
      </c>
      <c r="E841" s="6" t="s">
        <v>1365</v>
      </c>
      <c r="F841" s="7" t="str">
        <f>HYPERLINK("https://drive.google.com/open?id=1lAkCTSJDqjfWsuZxvLL2COI53gbRENb_","1 files moved")</f>
        <v>1 files moved</v>
      </c>
      <c r="G841" s="6" t="s">
        <v>1366</v>
      </c>
      <c r="H841" s="1" t="s">
        <v>1367</v>
      </c>
    </row>
    <row r="842" spans="1:8" x14ac:dyDescent="0.2">
      <c r="A842" s="5">
        <v>45544.445065081018</v>
      </c>
      <c r="B842" s="1" t="s">
        <v>35</v>
      </c>
      <c r="C842" s="1">
        <v>2024</v>
      </c>
      <c r="D842" s="1" t="s">
        <v>196</v>
      </c>
      <c r="E842" s="6" t="s">
        <v>1368</v>
      </c>
      <c r="F842" s="7" t="str">
        <f>HYPERLINK("https://drive.google.com/open?id=1p9rKdY4QkNWIsmYys86EoZpuyIpPfpst","1 files moved")</f>
        <v>1 files moved</v>
      </c>
      <c r="G842" s="6" t="s">
        <v>1369</v>
      </c>
      <c r="H842" s="1" t="s">
        <v>1370</v>
      </c>
    </row>
    <row r="843" spans="1:8" x14ac:dyDescent="0.2">
      <c r="A843" s="5">
        <v>45544.446505405096</v>
      </c>
      <c r="B843" s="1" t="s">
        <v>22</v>
      </c>
      <c r="C843" s="1">
        <v>2024</v>
      </c>
      <c r="D843" s="1" t="s">
        <v>196</v>
      </c>
      <c r="E843" s="6" t="s">
        <v>1371</v>
      </c>
      <c r="F843" s="7" t="str">
        <f>HYPERLINK("https://drive.google.com/open?id=1WAbmR1kP-K3GSrnpnC5igzsk9XdBZPD_","1 files moved")</f>
        <v>1 files moved</v>
      </c>
      <c r="G843" s="6" t="s">
        <v>1372</v>
      </c>
      <c r="H843" s="1" t="s">
        <v>1373</v>
      </c>
    </row>
    <row r="844" spans="1:8" x14ac:dyDescent="0.2">
      <c r="A844" s="5">
        <v>45544.457920347224</v>
      </c>
      <c r="B844" s="1" t="s">
        <v>11</v>
      </c>
      <c r="C844" s="1">
        <v>2024</v>
      </c>
      <c r="D844" s="1" t="s">
        <v>196</v>
      </c>
      <c r="E844" s="6" t="s">
        <v>1374</v>
      </c>
      <c r="F844" s="7" t="str">
        <f>HYPERLINK("https://drive.google.com/open?id=1YzDqbFE4H4BS5N9a8WbsE5FQL-HEPRMj","1 files moved")</f>
        <v>1 files moved</v>
      </c>
      <c r="G844" s="6" t="s">
        <v>1375</v>
      </c>
      <c r="H844" s="1" t="s">
        <v>1376</v>
      </c>
    </row>
    <row r="845" spans="1:8" x14ac:dyDescent="0.2">
      <c r="A845" s="5">
        <v>45544.48097650463</v>
      </c>
      <c r="B845" s="1" t="s">
        <v>37</v>
      </c>
      <c r="C845" s="1">
        <v>2024</v>
      </c>
      <c r="D845" s="1" t="s">
        <v>196</v>
      </c>
      <c r="E845" s="6" t="s">
        <v>1377</v>
      </c>
      <c r="F845" s="7" t="str">
        <f>HYPERLINK("https://drive.google.com/open?id=1qa1mLZHOuZIAKZUnYIblWo1lTS9NuBTm","1 files moved")</f>
        <v>1 files moved</v>
      </c>
      <c r="G845" s="6" t="s">
        <v>1378</v>
      </c>
      <c r="H845" s="1" t="s">
        <v>1379</v>
      </c>
    </row>
    <row r="846" spans="1:8" x14ac:dyDescent="0.2">
      <c r="A846" s="5">
        <v>45544.526588206019</v>
      </c>
      <c r="B846" s="1" t="s">
        <v>56</v>
      </c>
      <c r="C846" s="1">
        <v>2024</v>
      </c>
      <c r="D846" s="1" t="s">
        <v>196</v>
      </c>
      <c r="E846" s="6" t="s">
        <v>1380</v>
      </c>
      <c r="F846" s="7" t="str">
        <f>HYPERLINK("https://drive.google.com/open?id=1YZIPSo9PodNGWCjC1zK15cW1JEByXJ7w","1 files moved")</f>
        <v>1 files moved</v>
      </c>
      <c r="G846" s="6" t="s">
        <v>1381</v>
      </c>
      <c r="H846" s="1" t="s">
        <v>1382</v>
      </c>
    </row>
    <row r="847" spans="1:8" x14ac:dyDescent="0.2">
      <c r="A847" s="5">
        <v>45544.669759814817</v>
      </c>
      <c r="B847" s="1" t="s">
        <v>1139</v>
      </c>
      <c r="C847" s="1">
        <v>2024</v>
      </c>
      <c r="D847" s="1" t="s">
        <v>196</v>
      </c>
      <c r="E847" s="6" t="s">
        <v>1383</v>
      </c>
      <c r="F847" s="7" t="str">
        <f>HYPERLINK("https://drive.google.com/open?id=1BTw6tbsd-8pzBcPd3Qgz7GdSqpJA1avM","1 files moved")</f>
        <v>1 files moved</v>
      </c>
      <c r="G847" s="6" t="s">
        <v>1384</v>
      </c>
      <c r="H847" s="1" t="s">
        <v>1385</v>
      </c>
    </row>
    <row r="848" spans="1:8" x14ac:dyDescent="0.2">
      <c r="A848" s="5">
        <v>45546.5400390625</v>
      </c>
      <c r="B848" s="1" t="s">
        <v>112</v>
      </c>
      <c r="C848" s="1">
        <v>2024</v>
      </c>
      <c r="D848" s="1" t="s">
        <v>196</v>
      </c>
      <c r="E848" s="6" t="s">
        <v>1386</v>
      </c>
      <c r="F848" s="7" t="str">
        <f>HYPERLINK("https://drive.google.com/open?id=1bgfFevr_vWoS1TUMY9H3d79cj9SEs5AT","1 files moved")</f>
        <v>1 files moved</v>
      </c>
      <c r="G848" s="6" t="s">
        <v>1387</v>
      </c>
      <c r="H848" s="1" t="s">
        <v>1388</v>
      </c>
    </row>
    <row r="849" spans="1:8" x14ac:dyDescent="0.2">
      <c r="A849" s="5">
        <v>45546.590947604171</v>
      </c>
      <c r="B849" s="1" t="s">
        <v>397</v>
      </c>
      <c r="C849" s="1">
        <v>2024</v>
      </c>
      <c r="D849" s="1" t="s">
        <v>196</v>
      </c>
      <c r="E849" s="6" t="s">
        <v>1389</v>
      </c>
      <c r="F849" s="7" t="str">
        <f>HYPERLINK("https://drive.google.com/open?id=11skWmlW9bg1I5Y0qbtAwiD9dgHdxhUYl","1 files moved")</f>
        <v>1 files moved</v>
      </c>
      <c r="G849" s="6" t="s">
        <v>1390</v>
      </c>
      <c r="H849" s="1" t="s">
        <v>1391</v>
      </c>
    </row>
    <row r="850" spans="1:8" x14ac:dyDescent="0.2">
      <c r="A850" s="5">
        <v>45546.604709884261</v>
      </c>
      <c r="B850" s="1" t="s">
        <v>686</v>
      </c>
      <c r="C850" s="1">
        <v>2024</v>
      </c>
      <c r="D850" s="1" t="s">
        <v>196</v>
      </c>
      <c r="E850" s="6" t="s">
        <v>1392</v>
      </c>
      <c r="F850" s="7" t="str">
        <f>HYPERLINK("https://drive.google.com/open?id=1raKDx-uNeIvhNP7U_Rt7B4uGTAH17pUT","1 files moved")</f>
        <v>1 files moved</v>
      </c>
      <c r="G850" s="6" t="s">
        <v>1393</v>
      </c>
      <c r="H850" s="1" t="s">
        <v>1394</v>
      </c>
    </row>
    <row r="851" spans="1:8" x14ac:dyDescent="0.2">
      <c r="A851" s="5">
        <v>45547.416360034724</v>
      </c>
      <c r="B851" s="1" t="s">
        <v>62</v>
      </c>
      <c r="C851" s="1">
        <v>2024</v>
      </c>
      <c r="D851" s="1" t="s">
        <v>196</v>
      </c>
      <c r="E851" s="6" t="s">
        <v>1395</v>
      </c>
      <c r="F851" s="7" t="str">
        <f>HYPERLINK("https://drive.google.com/open?id=1CSWuwAcjfOUkpFz17anJSHXpLD9oH9ta","1 files moved")</f>
        <v>1 files moved</v>
      </c>
      <c r="G851" s="6" t="s">
        <v>1396</v>
      </c>
      <c r="H851" s="1" t="s">
        <v>1397</v>
      </c>
    </row>
    <row r="852" spans="1:8" x14ac:dyDescent="0.2">
      <c r="A852" s="5">
        <v>45552.370643518516</v>
      </c>
      <c r="B852" s="1" t="s">
        <v>464</v>
      </c>
      <c r="C852" s="1">
        <v>2024</v>
      </c>
      <c r="D852" s="1" t="s">
        <v>196</v>
      </c>
      <c r="E852" s="6" t="s">
        <v>1398</v>
      </c>
      <c r="F852" s="7" t="str">
        <f>HYPERLINK("https://drive.google.com/open?id=1sNh5fA93l5peYz5IJKZGEClKmxdv9dcX","1 files moved")</f>
        <v>1 files moved</v>
      </c>
      <c r="G852" s="6" t="s">
        <v>1399</v>
      </c>
      <c r="H852" s="1" t="s">
        <v>1400</v>
      </c>
    </row>
    <row r="853" spans="1:8" x14ac:dyDescent="0.2">
      <c r="A853" s="5">
        <v>45553.303495196757</v>
      </c>
      <c r="B853" s="1" t="s">
        <v>13</v>
      </c>
      <c r="C853" s="1">
        <v>2024</v>
      </c>
      <c r="D853" s="1" t="s">
        <v>196</v>
      </c>
      <c r="E853" s="6" t="s">
        <v>1401</v>
      </c>
      <c r="F853" s="7" t="str">
        <f>HYPERLINK("https://drive.google.com/open?id=1Zryv8yNLErRzmBqkGZTRY6f8oQgaib5M","1 files moved")</f>
        <v>1 files moved</v>
      </c>
      <c r="G853" s="6" t="s">
        <v>1402</v>
      </c>
      <c r="H853" s="1" t="s">
        <v>1403</v>
      </c>
    </row>
    <row r="854" spans="1:8" x14ac:dyDescent="0.2">
      <c r="A854" s="5">
        <v>45553.304878090275</v>
      </c>
      <c r="B854" s="1" t="s">
        <v>348</v>
      </c>
      <c r="C854" s="1">
        <v>2024</v>
      </c>
      <c r="D854" s="1" t="s">
        <v>196</v>
      </c>
      <c r="E854" s="6" t="s">
        <v>1404</v>
      </c>
      <c r="F854" s="7" t="str">
        <f>HYPERLINK("https://drive.google.com/open?id=17WOaAXl5jFgeySypAmjW1SMD0z4Hcu1k","1 files moved")</f>
        <v>1 files moved</v>
      </c>
      <c r="G854" s="6" t="s">
        <v>1405</v>
      </c>
      <c r="H854" s="1" t="s">
        <v>1406</v>
      </c>
    </row>
    <row r="855" spans="1:8" x14ac:dyDescent="0.2">
      <c r="A855" s="5">
        <v>45553.30623342593</v>
      </c>
      <c r="B855" s="1" t="s">
        <v>956</v>
      </c>
      <c r="C855" s="1">
        <v>2024</v>
      </c>
      <c r="D855" s="1" t="s">
        <v>196</v>
      </c>
      <c r="E855" s="6" t="s">
        <v>1407</v>
      </c>
      <c r="F855" s="7" t="str">
        <f>HYPERLINK("https://drive.google.com/open?id=1UZh5dIb03-WOPd8G800Y_Y85mb0MdzIF","1 files moved")</f>
        <v>1 files moved</v>
      </c>
      <c r="G855" s="6" t="s">
        <v>1408</v>
      </c>
      <c r="H855" s="1" t="s">
        <v>1409</v>
      </c>
    </row>
    <row r="856" spans="1:8" x14ac:dyDescent="0.2">
      <c r="A856" s="5">
        <v>45553.309998159719</v>
      </c>
      <c r="B856" s="1" t="s">
        <v>451</v>
      </c>
      <c r="C856" s="1">
        <v>2024</v>
      </c>
      <c r="D856" s="1" t="s">
        <v>196</v>
      </c>
      <c r="E856" s="6" t="s">
        <v>1410</v>
      </c>
      <c r="F856" s="7" t="str">
        <f>HYPERLINK("https://drive.google.com/open?id=1KIx1m7meHb5nobC5pXq7RhJanL49Yo2o","1 files moved")</f>
        <v>1 files moved</v>
      </c>
      <c r="G856" s="6" t="s">
        <v>1411</v>
      </c>
      <c r="H856" s="1" t="s">
        <v>1412</v>
      </c>
    </row>
    <row r="857" spans="1:8" x14ac:dyDescent="0.2">
      <c r="A857" s="5">
        <v>45553.311049351847</v>
      </c>
      <c r="B857" s="1" t="s">
        <v>66</v>
      </c>
      <c r="C857" s="1">
        <v>2024</v>
      </c>
      <c r="D857" s="1" t="s">
        <v>196</v>
      </c>
      <c r="E857" s="6" t="s">
        <v>1413</v>
      </c>
      <c r="F857" s="7" t="str">
        <f>HYPERLINK("https://drive.google.com/open?id=1km-qyuVgwan24VTfuBcnXv-a0gKCGit4","1 files moved")</f>
        <v>1 files moved</v>
      </c>
      <c r="G857" s="6" t="s">
        <v>1414</v>
      </c>
      <c r="H857" s="1" t="s">
        <v>1415</v>
      </c>
    </row>
    <row r="858" spans="1:8" x14ac:dyDescent="0.2">
      <c r="A858" s="5">
        <v>45553.315387314811</v>
      </c>
      <c r="B858" s="1" t="s">
        <v>76</v>
      </c>
      <c r="C858" s="1">
        <v>2024</v>
      </c>
      <c r="D858" s="1" t="s">
        <v>196</v>
      </c>
      <c r="E858" s="6" t="s">
        <v>1416</v>
      </c>
      <c r="F858" s="7" t="str">
        <f>HYPERLINK("https://drive.google.com/open?id=1YKXc634Hd6ivOmY-kuk_dNKkhypgkHlR","1 files moved")</f>
        <v>1 files moved</v>
      </c>
      <c r="G858" s="6" t="s">
        <v>1417</v>
      </c>
      <c r="H858" s="1" t="s">
        <v>1418</v>
      </c>
    </row>
    <row r="859" spans="1:8" x14ac:dyDescent="0.2">
      <c r="A859" s="5">
        <v>45553.338425509261</v>
      </c>
      <c r="B859" s="1" t="s">
        <v>8</v>
      </c>
      <c r="C859" s="1">
        <v>2024</v>
      </c>
      <c r="D859" s="1" t="s">
        <v>196</v>
      </c>
      <c r="E859" s="6" t="s">
        <v>1419</v>
      </c>
      <c r="F859" s="7" t="str">
        <f>HYPERLINK("https://drive.google.com/open?id=1RzBx4e3LIUFyXvV8TKxHGhvZPq7MCFk3","1 files moved")</f>
        <v>1 files moved</v>
      </c>
      <c r="G859" s="6" t="s">
        <v>1420</v>
      </c>
      <c r="H859" s="1" t="s">
        <v>1421</v>
      </c>
    </row>
    <row r="860" spans="1:8" x14ac:dyDescent="0.2">
      <c r="A860" s="5">
        <v>45553.347011585647</v>
      </c>
      <c r="B860" s="1" t="s">
        <v>47</v>
      </c>
      <c r="C860" s="1">
        <v>2024</v>
      </c>
      <c r="D860" s="1" t="s">
        <v>196</v>
      </c>
      <c r="E860" s="6" t="s">
        <v>1422</v>
      </c>
      <c r="F860" s="7" t="str">
        <f>HYPERLINK("https://drive.google.com/open?id=1pM9D8l1ep_C4D6kUFxAGlSX58S2gNWw7","1 files moved")</f>
        <v>1 files moved</v>
      </c>
      <c r="G860" s="6" t="s">
        <v>1423</v>
      </c>
      <c r="H860" s="1" t="s">
        <v>1424</v>
      </c>
    </row>
    <row r="861" spans="1:8" x14ac:dyDescent="0.2">
      <c r="A861" s="5">
        <v>45556.399696273147</v>
      </c>
      <c r="B861" s="1" t="s">
        <v>62</v>
      </c>
      <c r="C861" s="1">
        <v>2024</v>
      </c>
      <c r="D861" s="1" t="s">
        <v>196</v>
      </c>
      <c r="E861" s="6" t="s">
        <v>1425</v>
      </c>
      <c r="F861" s="7" t="str">
        <f>HYPERLINK("https://drive.google.com/open?id=1CSWuwAcjfOUkpFz17anJSHXpLD9oH9ta","1 files moved")</f>
        <v>1 files moved</v>
      </c>
      <c r="G861" s="6" t="s">
        <v>1426</v>
      </c>
      <c r="H861" s="1" t="s">
        <v>1427</v>
      </c>
    </row>
    <row r="862" spans="1:8" x14ac:dyDescent="0.2">
      <c r="A862" s="5">
        <v>45567.31972915509</v>
      </c>
      <c r="B862" s="1" t="s">
        <v>16</v>
      </c>
      <c r="C862" s="1">
        <v>2024</v>
      </c>
      <c r="D862" s="1" t="s">
        <v>228</v>
      </c>
      <c r="E862" s="6" t="s">
        <v>1428</v>
      </c>
      <c r="F862" s="7" t="str">
        <f>HYPERLINK("https://drive.google.com/open?id=1YNQBM17-ejVScp5nWkNR2hYKrlehzOCe","1 files moved")</f>
        <v>1 files moved</v>
      </c>
      <c r="G862" s="6" t="s">
        <v>1429</v>
      </c>
      <c r="H862" s="1" t="s">
        <v>1430</v>
      </c>
    </row>
    <row r="863" spans="1:8" x14ac:dyDescent="0.2">
      <c r="A863" s="5">
        <v>45567.352225856477</v>
      </c>
      <c r="B863" s="1" t="s">
        <v>33</v>
      </c>
      <c r="C863" s="1">
        <v>2024</v>
      </c>
      <c r="D863" s="1" t="s">
        <v>228</v>
      </c>
      <c r="E863" s="6" t="s">
        <v>1431</v>
      </c>
      <c r="F863" s="7" t="str">
        <f>HYPERLINK("https://drive.google.com/open?id=1vt-BVSJOLHBIrsp9094dDz7aTxUYbXOd","1 files moved")</f>
        <v>1 files moved</v>
      </c>
      <c r="G863" s="6" t="s">
        <v>1432</v>
      </c>
      <c r="H863" s="1" t="s">
        <v>1433</v>
      </c>
    </row>
    <row r="864" spans="1:8" x14ac:dyDescent="0.2">
      <c r="A864" s="5">
        <v>45567.352580960651</v>
      </c>
      <c r="B864" s="1" t="s">
        <v>29</v>
      </c>
      <c r="C864" s="1">
        <v>2024</v>
      </c>
      <c r="D864" s="1" t="s">
        <v>228</v>
      </c>
      <c r="E864" s="6" t="s">
        <v>1434</v>
      </c>
      <c r="F864" s="7" t="str">
        <f>HYPERLINK("https://drive.google.com/open?id=1jO7SQkOk_xjZHSX78M31VKgg3Vt_d9Aw","1 files moved")</f>
        <v>1 files moved</v>
      </c>
      <c r="G864" s="6" t="s">
        <v>1435</v>
      </c>
      <c r="H864" s="1" t="s">
        <v>1436</v>
      </c>
    </row>
    <row r="865" spans="1:8" x14ac:dyDescent="0.2">
      <c r="A865" s="5">
        <v>45567.499438715276</v>
      </c>
      <c r="B865" s="1" t="s">
        <v>969</v>
      </c>
      <c r="C865" s="1">
        <v>2024</v>
      </c>
      <c r="D865" s="1" t="s">
        <v>228</v>
      </c>
      <c r="E865" s="6" t="s">
        <v>1437</v>
      </c>
      <c r="F865" s="7" t="str">
        <f>HYPERLINK("https://drive.google.com/open?id=1jjaZ6sBJ-rgFFoV-a9VrKbvqiPbqOcgX","1 files moved")</f>
        <v>1 files moved</v>
      </c>
      <c r="G865" s="6" t="s">
        <v>1438</v>
      </c>
      <c r="H865" s="1" t="s">
        <v>1439</v>
      </c>
    </row>
    <row r="866" spans="1:8" x14ac:dyDescent="0.2">
      <c r="A866" s="5">
        <v>45567.510438368059</v>
      </c>
      <c r="B866" s="1" t="s">
        <v>45</v>
      </c>
      <c r="C866" s="1">
        <v>2024</v>
      </c>
      <c r="D866" s="1" t="s">
        <v>228</v>
      </c>
      <c r="E866" s="6" t="s">
        <v>1440</v>
      </c>
      <c r="F866" s="7" t="str">
        <f>HYPERLINK("https://drive.google.com/open?id=1WOu53emjYl9MgCM11eFHkgxwdHlBm2Xz","1 files moved")</f>
        <v>1 files moved</v>
      </c>
      <c r="G866" s="6" t="s">
        <v>1441</v>
      </c>
      <c r="H866" s="1" t="s">
        <v>1442</v>
      </c>
    </row>
    <row r="867" spans="1:8" x14ac:dyDescent="0.2">
      <c r="A867" s="5">
        <v>45567.636762685186</v>
      </c>
      <c r="B867" s="1" t="s">
        <v>378</v>
      </c>
      <c r="C867" s="1">
        <v>2024</v>
      </c>
      <c r="D867" s="1" t="s">
        <v>228</v>
      </c>
      <c r="E867" s="6" t="s">
        <v>1443</v>
      </c>
      <c r="F867" s="7" t="str">
        <f>HYPERLINK("https://drive.google.com/open?id=1UaOhVLC8EU7AZLMQiErwZkrTRt0YZt3o","1 files moved")</f>
        <v>1 files moved</v>
      </c>
      <c r="G867" s="6" t="s">
        <v>1444</v>
      </c>
      <c r="H867" s="1" t="s">
        <v>1445</v>
      </c>
    </row>
    <row r="868" spans="1:8" x14ac:dyDescent="0.2">
      <c r="A868" s="5">
        <v>45567.663813217594</v>
      </c>
      <c r="B868" s="1" t="s">
        <v>56</v>
      </c>
      <c r="C868" s="1">
        <v>2024</v>
      </c>
      <c r="D868" s="1" t="s">
        <v>228</v>
      </c>
      <c r="E868" s="6" t="s">
        <v>1446</v>
      </c>
      <c r="F868" s="7" t="str">
        <f>HYPERLINK("https://drive.google.com/open?id=1YZIPSo9PodNGWCjC1zK15cW1JEByXJ7w","1 files moved")</f>
        <v>1 files moved</v>
      </c>
      <c r="G868" s="6" t="s">
        <v>1447</v>
      </c>
      <c r="H868" s="1" t="s">
        <v>1448</v>
      </c>
    </row>
    <row r="869" spans="1:8" x14ac:dyDescent="0.2">
      <c r="A869" s="5">
        <v>45567.66603925926</v>
      </c>
      <c r="B869" s="1" t="s">
        <v>11</v>
      </c>
      <c r="C869" s="1">
        <v>2024</v>
      </c>
      <c r="D869" s="1" t="s">
        <v>228</v>
      </c>
      <c r="E869" s="6" t="s">
        <v>1449</v>
      </c>
      <c r="F869" s="7" t="str">
        <f>HYPERLINK("https://drive.google.com/open?id=1YzDqbFE4H4BS5N9a8WbsE5FQL-HEPRMj","1 files moved")</f>
        <v>1 files moved</v>
      </c>
      <c r="G869" s="6" t="s">
        <v>1450</v>
      </c>
      <c r="H869" s="1" t="s">
        <v>1451</v>
      </c>
    </row>
    <row r="870" spans="1:8" x14ac:dyDescent="0.2">
      <c r="A870" s="5">
        <v>45568.310170543977</v>
      </c>
      <c r="B870" s="1" t="s">
        <v>24</v>
      </c>
      <c r="C870" s="1">
        <v>2024</v>
      </c>
      <c r="D870" s="1" t="s">
        <v>228</v>
      </c>
      <c r="E870" s="6" t="s">
        <v>1452</v>
      </c>
      <c r="F870" s="7" t="str">
        <f>HYPERLINK("https://drive.google.com/open?id=1lAkCTSJDqjfWsuZxvLL2COI53gbRENb_","1 files moved")</f>
        <v>1 files moved</v>
      </c>
      <c r="G870" s="6" t="s">
        <v>1453</v>
      </c>
      <c r="H870" s="1" t="s">
        <v>1454</v>
      </c>
    </row>
    <row r="871" spans="1:8" x14ac:dyDescent="0.2">
      <c r="A871" s="5">
        <v>45568.323412546291</v>
      </c>
      <c r="B871" s="1" t="s">
        <v>13</v>
      </c>
      <c r="C871" s="1">
        <v>2024</v>
      </c>
      <c r="D871" s="1" t="s">
        <v>228</v>
      </c>
      <c r="E871" s="6" t="s">
        <v>1455</v>
      </c>
      <c r="F871" s="7" t="str">
        <f>HYPERLINK("https://drive.google.com/open?id=1Zryv8yNLErRzmBqkGZTRY6f8oQgaib5M","1 files moved")</f>
        <v>1 files moved</v>
      </c>
      <c r="G871" s="6" t="s">
        <v>1456</v>
      </c>
      <c r="H871" s="1" t="s">
        <v>1457</v>
      </c>
    </row>
    <row r="872" spans="1:8" x14ac:dyDescent="0.2">
      <c r="A872" s="5">
        <v>45568.359658692134</v>
      </c>
      <c r="B872" s="1" t="s">
        <v>37</v>
      </c>
      <c r="C872" s="1">
        <v>2024</v>
      </c>
      <c r="D872" s="1" t="s">
        <v>228</v>
      </c>
      <c r="E872" s="6" t="s">
        <v>1458</v>
      </c>
      <c r="F872" s="7" t="str">
        <f>HYPERLINK("https://drive.google.com/open?id=1qa1mLZHOuZIAKZUnYIblWo1lTS9NuBTm","1 files moved")</f>
        <v>1 files moved</v>
      </c>
      <c r="G872" s="6" t="s">
        <v>1459</v>
      </c>
      <c r="H872" s="1" t="s">
        <v>1460</v>
      </c>
    </row>
    <row r="873" spans="1:8" x14ac:dyDescent="0.2">
      <c r="A873" s="5">
        <v>45568.361891898152</v>
      </c>
      <c r="B873" s="1" t="s">
        <v>76</v>
      </c>
      <c r="C873" s="1">
        <v>2024</v>
      </c>
      <c r="D873" s="1" t="s">
        <v>228</v>
      </c>
      <c r="E873" s="6" t="s">
        <v>1461</v>
      </c>
      <c r="F873" s="7" t="str">
        <f>HYPERLINK("https://drive.google.com/open?id=1YKXc634Hd6ivOmY-kuk_dNKkhypgkHlR","1 files moved")</f>
        <v>1 files moved</v>
      </c>
      <c r="G873" s="6" t="s">
        <v>1462</v>
      </c>
      <c r="H873" s="1" t="s">
        <v>1463</v>
      </c>
    </row>
    <row r="874" spans="1:8" x14ac:dyDescent="0.2">
      <c r="A874" s="5">
        <v>45568.362856643522</v>
      </c>
      <c r="B874" s="1" t="s">
        <v>47</v>
      </c>
      <c r="C874" s="1">
        <v>2024</v>
      </c>
      <c r="D874" s="1" t="s">
        <v>228</v>
      </c>
      <c r="E874" s="6" t="s">
        <v>1464</v>
      </c>
      <c r="F874" s="7" t="str">
        <f>HYPERLINK("https://drive.google.com/open?id=1pM9D8l1ep_C4D6kUFxAGlSX58S2gNWw7","1 files moved")</f>
        <v>1 files moved</v>
      </c>
      <c r="G874" s="6" t="s">
        <v>1465</v>
      </c>
      <c r="H874" s="1" t="s">
        <v>1466</v>
      </c>
    </row>
    <row r="875" spans="1:8" x14ac:dyDescent="0.2">
      <c r="A875" s="5">
        <v>45568.376901238429</v>
      </c>
      <c r="B875" s="1" t="s">
        <v>39</v>
      </c>
      <c r="C875" s="1">
        <v>2024</v>
      </c>
      <c r="D875" s="1" t="s">
        <v>228</v>
      </c>
      <c r="E875" s="6" t="s">
        <v>1467</v>
      </c>
      <c r="F875" s="7" t="str">
        <f>HYPERLINK("https://drive.google.com/open?id=1BZohlpYH-tCf-m6ifXipKqyT42Gbzhkv","1 files moved")</f>
        <v>1 files moved</v>
      </c>
      <c r="G875" s="6" t="s">
        <v>1468</v>
      </c>
      <c r="H875" s="1" t="s">
        <v>1469</v>
      </c>
    </row>
    <row r="876" spans="1:8" x14ac:dyDescent="0.2">
      <c r="A876" s="5">
        <v>45568.723531469906</v>
      </c>
      <c r="B876" s="1" t="s">
        <v>666</v>
      </c>
      <c r="C876" s="1">
        <v>2024</v>
      </c>
      <c r="D876" s="1" t="s">
        <v>228</v>
      </c>
      <c r="E876" s="6" t="s">
        <v>1470</v>
      </c>
      <c r="F876" s="7" t="str">
        <f>HYPERLINK("https://drive.google.com/open?id=1V9JxAml7o3RDV4BK_aYYG2UrIwxiEXjP","1 files moved")</f>
        <v>1 files moved</v>
      </c>
      <c r="G876" s="6" t="s">
        <v>1471</v>
      </c>
      <c r="H876" s="1" t="s">
        <v>1472</v>
      </c>
    </row>
    <row r="877" spans="1:8" x14ac:dyDescent="0.2">
      <c r="A877" s="5">
        <v>45569.381509398147</v>
      </c>
      <c r="B877" s="1" t="s">
        <v>1139</v>
      </c>
      <c r="C877" s="1">
        <v>2024</v>
      </c>
      <c r="D877" s="1" t="s">
        <v>228</v>
      </c>
      <c r="E877" s="6" t="s">
        <v>1473</v>
      </c>
      <c r="F877" s="7" t="str">
        <f>HYPERLINK("https://drive.google.com/open?id=1BTw6tbsd-8pzBcPd3Qgz7GdSqpJA1avM","1 files moved")</f>
        <v>1 files moved</v>
      </c>
      <c r="G877" s="6" t="s">
        <v>1474</v>
      </c>
      <c r="H877" s="1" t="s">
        <v>1475</v>
      </c>
    </row>
    <row r="878" spans="1:8" x14ac:dyDescent="0.2">
      <c r="A878" s="5">
        <v>45569.422232337965</v>
      </c>
      <c r="B878" s="1" t="s">
        <v>451</v>
      </c>
      <c r="C878" s="1">
        <v>2024</v>
      </c>
      <c r="D878" s="1" t="s">
        <v>228</v>
      </c>
      <c r="E878" s="6" t="s">
        <v>1476</v>
      </c>
      <c r="F878" s="7" t="str">
        <f>HYPERLINK("https://drive.google.com/open?id=1KIx1m7meHb5nobC5pXq7RhJanL49Yo2o","1 files moved")</f>
        <v>1 files moved</v>
      </c>
      <c r="G878" s="6" t="s">
        <v>1477</v>
      </c>
      <c r="H878" s="1" t="s">
        <v>1478</v>
      </c>
    </row>
    <row r="879" spans="1:8" x14ac:dyDescent="0.2">
      <c r="A879" s="5">
        <v>45569.471839328704</v>
      </c>
      <c r="B879" s="1" t="s">
        <v>35</v>
      </c>
      <c r="C879" s="1">
        <v>2024</v>
      </c>
      <c r="D879" s="1" t="s">
        <v>228</v>
      </c>
      <c r="E879" s="6" t="s">
        <v>1479</v>
      </c>
      <c r="F879" s="7" t="str">
        <f>HYPERLINK("https://drive.google.com/open?id=1p9rKdY4QkNWIsmYys86EoZpuyIpPfpst","1 files moved")</f>
        <v>1 files moved</v>
      </c>
      <c r="G879" s="6" t="s">
        <v>1480</v>
      </c>
      <c r="H879" s="1" t="s">
        <v>1481</v>
      </c>
    </row>
    <row r="880" spans="1:8" x14ac:dyDescent="0.2">
      <c r="A880" s="5">
        <v>45569.542541631949</v>
      </c>
      <c r="B880" s="1" t="s">
        <v>43</v>
      </c>
      <c r="C880" s="1">
        <v>2024</v>
      </c>
      <c r="D880" s="1" t="s">
        <v>228</v>
      </c>
      <c r="E880" s="6" t="s">
        <v>1482</v>
      </c>
      <c r="F880" s="7" t="str">
        <f>HYPERLINK("https://drive.google.com/open?id=1V4TGvz085_QBAvEUyDaeNyMolr93zOZK","1 files moved")</f>
        <v>1 files moved</v>
      </c>
      <c r="G880" s="6" t="s">
        <v>1483</v>
      </c>
      <c r="H880" s="1" t="s">
        <v>1484</v>
      </c>
    </row>
    <row r="881" spans="1:8" x14ac:dyDescent="0.2">
      <c r="A881" s="5">
        <v>45569.596412465282</v>
      </c>
      <c r="B881" s="1" t="s">
        <v>22</v>
      </c>
      <c r="C881" s="1">
        <v>2024</v>
      </c>
      <c r="D881" s="1" t="s">
        <v>228</v>
      </c>
      <c r="E881" s="6" t="s">
        <v>1485</v>
      </c>
      <c r="F881" s="7" t="str">
        <f>HYPERLINK("https://drive.google.com/open?id=1WAbmR1kP-K3GSrnpnC5igzsk9XdBZPD_","1 files moved")</f>
        <v>1 files moved</v>
      </c>
      <c r="G881" s="6" t="s">
        <v>1486</v>
      </c>
      <c r="H881" s="1" t="s">
        <v>1487</v>
      </c>
    </row>
    <row r="882" spans="1:8" x14ac:dyDescent="0.2">
      <c r="A882" s="5">
        <v>45569.616980949075</v>
      </c>
      <c r="B882" s="1" t="s">
        <v>70</v>
      </c>
      <c r="C882" s="1">
        <v>2024</v>
      </c>
      <c r="D882" s="1" t="s">
        <v>228</v>
      </c>
      <c r="E882" s="6" t="s">
        <v>1488</v>
      </c>
      <c r="F882" s="7" t="str">
        <f>HYPERLINK("https://drive.google.com/open?id=1tJPwF2su0hso4TETThLNHI9_S0dJdbLl","1 files moved")</f>
        <v>1 files moved</v>
      </c>
      <c r="G882" s="6" t="s">
        <v>1489</v>
      </c>
      <c r="H882" s="1" t="s">
        <v>1490</v>
      </c>
    </row>
    <row r="883" spans="1:8" x14ac:dyDescent="0.2">
      <c r="A883" s="5">
        <v>45569.644656886579</v>
      </c>
      <c r="B883" s="1" t="s">
        <v>68</v>
      </c>
      <c r="C883" s="1">
        <v>2024</v>
      </c>
      <c r="D883" s="1" t="s">
        <v>228</v>
      </c>
      <c r="E883" s="6" t="s">
        <v>1491</v>
      </c>
      <c r="F883" s="7" t="str">
        <f>HYPERLINK("https://drive.google.com/open?id=1OV29wdO4ju235Dn_RfWfQvZfv8o_gJRA","1 files moved")</f>
        <v>1 files moved</v>
      </c>
      <c r="G883" s="6" t="s">
        <v>1492</v>
      </c>
      <c r="H883" s="1" t="s">
        <v>1493</v>
      </c>
    </row>
    <row r="884" spans="1:8" x14ac:dyDescent="0.2">
      <c r="A884" s="5">
        <v>45569.644995682873</v>
      </c>
      <c r="B884" s="1" t="s">
        <v>27</v>
      </c>
      <c r="C884" s="1">
        <v>2024</v>
      </c>
      <c r="D884" s="1" t="s">
        <v>228</v>
      </c>
      <c r="E884" s="6" t="s">
        <v>1494</v>
      </c>
      <c r="F884" s="7" t="str">
        <f>HYPERLINK("https://drive.google.com/open?id=1bGJWCN7-bZQSl3cMCCd4KJRrHz1r1jve","1 files moved")</f>
        <v>1 files moved</v>
      </c>
      <c r="G884" s="6" t="s">
        <v>1495</v>
      </c>
      <c r="H884" s="1" t="s">
        <v>1496</v>
      </c>
    </row>
    <row r="885" spans="1:8" x14ac:dyDescent="0.2">
      <c r="A885" s="5">
        <v>45569.738281805556</v>
      </c>
      <c r="B885" s="1" t="s">
        <v>62</v>
      </c>
      <c r="C885" s="1">
        <v>2024</v>
      </c>
      <c r="D885" s="1" t="s">
        <v>228</v>
      </c>
      <c r="E885" s="6" t="s">
        <v>1497</v>
      </c>
      <c r="F885" s="7" t="str">
        <f>HYPERLINK("https://drive.google.com/open?id=1CSWuwAcjfOUkpFz17anJSHXpLD9oH9ta","1 files moved")</f>
        <v>1 files moved</v>
      </c>
      <c r="G885" s="6" t="s">
        <v>1498</v>
      </c>
      <c r="H885" s="1" t="s">
        <v>1499</v>
      </c>
    </row>
    <row r="886" spans="1:8" x14ac:dyDescent="0.2">
      <c r="A886" s="5">
        <v>45572.303475497683</v>
      </c>
      <c r="B886" s="1" t="s">
        <v>348</v>
      </c>
      <c r="C886" s="1">
        <v>2024</v>
      </c>
      <c r="D886" s="1" t="s">
        <v>228</v>
      </c>
      <c r="E886" s="6" t="s">
        <v>1500</v>
      </c>
      <c r="F886" s="7" t="str">
        <f>HYPERLINK("https://drive.google.com/open?id=17WOaAXl5jFgeySypAmjW1SMD0z4Hcu1k","1 files moved")</f>
        <v>1 files moved</v>
      </c>
      <c r="G886" s="6" t="s">
        <v>1501</v>
      </c>
      <c r="H886" s="1" t="s">
        <v>1502</v>
      </c>
    </row>
    <row r="887" spans="1:8" x14ac:dyDescent="0.2">
      <c r="A887" s="5">
        <v>45572.30725824074</v>
      </c>
      <c r="B887" s="1" t="s">
        <v>66</v>
      </c>
      <c r="C887" s="1">
        <v>2024</v>
      </c>
      <c r="D887" s="1" t="s">
        <v>228</v>
      </c>
      <c r="E887" s="6" t="s">
        <v>1503</v>
      </c>
      <c r="F887" s="7" t="str">
        <f>HYPERLINK("https://drive.google.com/open?id=1km-qyuVgwan24VTfuBcnXv-a0gKCGit4","1 files moved")</f>
        <v>1 files moved</v>
      </c>
      <c r="G887" s="6" t="s">
        <v>1504</v>
      </c>
      <c r="H887" s="1" t="s">
        <v>1505</v>
      </c>
    </row>
    <row r="888" spans="1:8" x14ac:dyDescent="0.2">
      <c r="A888" s="5">
        <v>45572.368685104171</v>
      </c>
      <c r="B888" s="1" t="s">
        <v>112</v>
      </c>
      <c r="C888" s="1">
        <v>2024</v>
      </c>
      <c r="D888" s="1" t="s">
        <v>228</v>
      </c>
      <c r="E888" s="6" t="s">
        <v>1506</v>
      </c>
      <c r="F888" s="7" t="str">
        <f>HYPERLINK("https://drive.google.com/open?id=1bgfFevr_vWoS1TUMY9H3d79cj9SEs5AT","1 files moved")</f>
        <v>1 files moved</v>
      </c>
      <c r="G888" s="6" t="s">
        <v>1507</v>
      </c>
      <c r="H888" s="1" t="s">
        <v>1508</v>
      </c>
    </row>
    <row r="889" spans="1:8" x14ac:dyDescent="0.2">
      <c r="A889" s="5">
        <v>45572.369510289354</v>
      </c>
      <c r="B889" s="1" t="s">
        <v>397</v>
      </c>
      <c r="C889" s="1">
        <v>2024</v>
      </c>
      <c r="D889" s="1" t="s">
        <v>228</v>
      </c>
      <c r="E889" s="6" t="s">
        <v>1509</v>
      </c>
      <c r="F889" s="7" t="str">
        <f>HYPERLINK("https://drive.google.com/open?id=11skWmlW9bg1I5Y0qbtAwiD9dgHdxhUYl","1 files moved")</f>
        <v>1 files moved</v>
      </c>
      <c r="G889" s="6" t="s">
        <v>1510</v>
      </c>
      <c r="H889" s="1" t="s">
        <v>1511</v>
      </c>
    </row>
    <row r="890" spans="1:8" x14ac:dyDescent="0.2">
      <c r="A890" s="5">
        <v>45573.346363923614</v>
      </c>
      <c r="B890" s="1" t="s">
        <v>686</v>
      </c>
      <c r="C890" s="1">
        <v>2024</v>
      </c>
      <c r="D890" s="1" t="s">
        <v>228</v>
      </c>
      <c r="E890" s="6" t="s">
        <v>1512</v>
      </c>
      <c r="F890" s="7" t="str">
        <f>HYPERLINK("https://drive.google.com/open?id=1raKDx-uNeIvhNP7U_Rt7B4uGTAH17pUT","1 files moved")</f>
        <v>1 files moved</v>
      </c>
      <c r="G890" s="6" t="s">
        <v>1513</v>
      </c>
      <c r="H890" s="1" t="s">
        <v>1514</v>
      </c>
    </row>
    <row r="891" spans="1:8" x14ac:dyDescent="0.2">
      <c r="A891" s="5">
        <v>45573.617317847224</v>
      </c>
      <c r="B891" s="1" t="s">
        <v>8</v>
      </c>
      <c r="C891" s="1">
        <v>2024</v>
      </c>
      <c r="D891" s="1" t="s">
        <v>228</v>
      </c>
      <c r="E891" s="6" t="s">
        <v>1515</v>
      </c>
      <c r="F891" s="7" t="str">
        <f>HYPERLINK("https://drive.google.com/open?id=1RzBx4e3LIUFyXvV8TKxHGhvZPq7MCFk3","1 files moved")</f>
        <v>1 files moved</v>
      </c>
      <c r="G891" s="6" t="s">
        <v>1516</v>
      </c>
      <c r="H891" s="1" t="s">
        <v>1517</v>
      </c>
    </row>
    <row r="892" spans="1:8" x14ac:dyDescent="0.2">
      <c r="A892" s="5">
        <v>45573.626069722217</v>
      </c>
      <c r="B892" s="1" t="s">
        <v>330</v>
      </c>
      <c r="C892" s="1">
        <v>2024</v>
      </c>
      <c r="D892" s="1" t="s">
        <v>228</v>
      </c>
      <c r="E892" s="6" t="s">
        <v>1518</v>
      </c>
      <c r="F892" s="7" t="str">
        <f>HYPERLINK("https://drive.google.com/open?id=1jgWFJ1Rnlmfp-xLJYcsceHq4Kj-jmyCy","1 files moved")</f>
        <v>1 files moved</v>
      </c>
      <c r="G892" s="6" t="s">
        <v>1519</v>
      </c>
      <c r="H892" s="1" t="s">
        <v>1520</v>
      </c>
    </row>
    <row r="893" spans="1:8" x14ac:dyDescent="0.2">
      <c r="A893" s="5">
        <v>45573.645764328699</v>
      </c>
      <c r="B893" s="1" t="s">
        <v>464</v>
      </c>
      <c r="C893" s="1">
        <v>2024</v>
      </c>
      <c r="D893" s="1" t="s">
        <v>228</v>
      </c>
      <c r="E893" s="6" t="s">
        <v>1521</v>
      </c>
      <c r="F893" s="7" t="str">
        <f>HYPERLINK("https://drive.google.com/open?id=1sNh5fA93l5peYz5IJKZGEClKmxdv9dcX","1 files moved")</f>
        <v>1 files moved</v>
      </c>
      <c r="G893" s="6" t="s">
        <v>1522</v>
      </c>
      <c r="H893" s="1" t="s">
        <v>1523</v>
      </c>
    </row>
    <row r="894" spans="1:8" x14ac:dyDescent="0.2">
      <c r="A894" s="5">
        <v>45574.316099687501</v>
      </c>
      <c r="B894" s="1" t="s">
        <v>53</v>
      </c>
      <c r="C894" s="1">
        <v>2024</v>
      </c>
      <c r="D894" s="1" t="s">
        <v>228</v>
      </c>
      <c r="E894" s="6" t="s">
        <v>1524</v>
      </c>
      <c r="F894" s="7" t="str">
        <f>HYPERLINK("https://drive.google.com/open?id=1mgwi5IYuDSmdes063EGgEET4VIkt5Ge6","1 files moved")</f>
        <v>1 files moved</v>
      </c>
      <c r="G894" s="6" t="s">
        <v>1525</v>
      </c>
      <c r="H894" s="1" t="s">
        <v>1526</v>
      </c>
    </row>
    <row r="895" spans="1:8" x14ac:dyDescent="0.2">
      <c r="A895" s="5">
        <v>45601.641405694449</v>
      </c>
      <c r="B895" s="1" t="s">
        <v>969</v>
      </c>
      <c r="C895" s="1">
        <v>2024</v>
      </c>
      <c r="D895" s="1" t="s">
        <v>255</v>
      </c>
      <c r="E895" s="6" t="s">
        <v>1527</v>
      </c>
      <c r="F895" s="7" t="str">
        <f>HYPERLINK("https://drive.google.com/open?id=1jjaZ6sBJ-rgFFoV-a9VrKbvqiPbqOcgX","1 files moved")</f>
        <v>1 files moved</v>
      </c>
      <c r="G895" s="6" t="s">
        <v>1528</v>
      </c>
      <c r="H895" s="1" t="s">
        <v>1529</v>
      </c>
    </row>
    <row r="896" spans="1:8" x14ac:dyDescent="0.2">
      <c r="A896" s="5">
        <v>45602.355176215278</v>
      </c>
      <c r="B896" s="1" t="s">
        <v>24</v>
      </c>
      <c r="C896" s="1">
        <v>2024</v>
      </c>
      <c r="D896" s="1" t="s">
        <v>255</v>
      </c>
      <c r="E896" s="6" t="s">
        <v>1530</v>
      </c>
      <c r="F896" s="7" t="str">
        <f>HYPERLINK("https://drive.google.com/open?id=1lAkCTSJDqjfWsuZxvLL2COI53gbRENb_","1 files moved")</f>
        <v>1 files moved</v>
      </c>
      <c r="G896" s="6" t="s">
        <v>1531</v>
      </c>
      <c r="H896" s="1" t="s">
        <v>1532</v>
      </c>
    </row>
    <row r="897" spans="1:8" x14ac:dyDescent="0.2">
      <c r="A897" s="5">
        <v>45602.630982962961</v>
      </c>
      <c r="B897" s="1" t="s">
        <v>45</v>
      </c>
      <c r="C897" s="1">
        <v>2024</v>
      </c>
      <c r="D897" s="1" t="s">
        <v>255</v>
      </c>
      <c r="E897" s="6" t="s">
        <v>1533</v>
      </c>
      <c r="F897" s="7" t="str">
        <f>HYPERLINK("https://drive.google.com/open?id=1WOu53emjYl9MgCM11eFHkgxwdHlBm2Xz","1 files moved")</f>
        <v>1 files moved</v>
      </c>
      <c r="G897" s="6" t="s">
        <v>1534</v>
      </c>
      <c r="H897" s="1" t="s">
        <v>1535</v>
      </c>
    </row>
    <row r="898" spans="1:8" x14ac:dyDescent="0.2">
      <c r="A898" s="5">
        <v>45603.327890115739</v>
      </c>
      <c r="B898" s="1" t="s">
        <v>16</v>
      </c>
      <c r="C898" s="1">
        <v>2024</v>
      </c>
      <c r="D898" s="1" t="s">
        <v>255</v>
      </c>
      <c r="E898" s="6" t="s">
        <v>1536</v>
      </c>
      <c r="F898" s="7" t="str">
        <f>HYPERLINK("https://drive.google.com/open?id=1YNQBM17-ejVScp5nWkNR2hYKrlehzOCe","1 files moved")</f>
        <v>1 files moved</v>
      </c>
      <c r="G898" s="6" t="s">
        <v>1537</v>
      </c>
      <c r="H898" s="1" t="s">
        <v>1538</v>
      </c>
    </row>
    <row r="899" spans="1:8" x14ac:dyDescent="0.2">
      <c r="A899" s="5">
        <v>45603.332292685183</v>
      </c>
      <c r="B899" s="1" t="s">
        <v>666</v>
      </c>
      <c r="C899" s="1">
        <v>2024</v>
      </c>
      <c r="D899" s="1" t="s">
        <v>255</v>
      </c>
      <c r="E899" s="6" t="s">
        <v>1539</v>
      </c>
      <c r="F899" s="7" t="str">
        <f>HYPERLINK("https://drive.google.com/open?id=1V9JxAml7o3RDV4BK_aYYG2UrIwxiEXjP","1 files moved")</f>
        <v>1 files moved</v>
      </c>
      <c r="G899" s="6" t="s">
        <v>1540</v>
      </c>
      <c r="H899" s="1" t="s">
        <v>1541</v>
      </c>
    </row>
    <row r="900" spans="1:8" x14ac:dyDescent="0.2">
      <c r="A900" s="5">
        <v>45603.336258414347</v>
      </c>
      <c r="B900" s="1" t="s">
        <v>378</v>
      </c>
      <c r="C900" s="1">
        <v>2024</v>
      </c>
      <c r="D900" s="1" t="s">
        <v>255</v>
      </c>
      <c r="E900" s="6" t="s">
        <v>1542</v>
      </c>
      <c r="F900" s="7" t="str">
        <f>HYPERLINK("https://drive.google.com/open?id=1UaOhVLC8EU7AZLMQiErwZkrTRt0YZt3o","1 files moved")</f>
        <v>1 files moved</v>
      </c>
      <c r="G900" s="6" t="s">
        <v>1543</v>
      </c>
      <c r="H900" s="1" t="s">
        <v>1544</v>
      </c>
    </row>
    <row r="901" spans="1:8" x14ac:dyDescent="0.2">
      <c r="A901" s="5">
        <v>45603.337277928236</v>
      </c>
      <c r="B901" s="1" t="s">
        <v>56</v>
      </c>
      <c r="C901" s="1">
        <v>2024</v>
      </c>
      <c r="D901" s="1" t="s">
        <v>255</v>
      </c>
      <c r="E901" s="6" t="s">
        <v>1545</v>
      </c>
      <c r="F901" s="7" t="str">
        <f>HYPERLINK("https://drive.google.com/open?id=1YZIPSo9PodNGWCjC1zK15cW1JEByXJ7w","1 files moved")</f>
        <v>1 files moved</v>
      </c>
      <c r="G901" s="6" t="s">
        <v>1546</v>
      </c>
      <c r="H901" s="1" t="s">
        <v>1547</v>
      </c>
    </row>
    <row r="902" spans="1:8" x14ac:dyDescent="0.2">
      <c r="A902" s="5">
        <v>45603.352769699079</v>
      </c>
      <c r="B902" s="1" t="s">
        <v>451</v>
      </c>
      <c r="C902" s="1">
        <v>2024</v>
      </c>
      <c r="D902" s="1" t="s">
        <v>255</v>
      </c>
      <c r="E902" s="6" t="s">
        <v>1548</v>
      </c>
      <c r="F902" s="7" t="str">
        <f>HYPERLINK("https://drive.google.com/open?id=1KIx1m7meHb5nobC5pXq7RhJanL49Yo2o","1 files moved")</f>
        <v>1 files moved</v>
      </c>
      <c r="G902" s="6" t="s">
        <v>1549</v>
      </c>
      <c r="H902" s="1" t="s">
        <v>1550</v>
      </c>
    </row>
    <row r="903" spans="1:8" x14ac:dyDescent="0.2">
      <c r="A903" s="5">
        <v>45603.428279363427</v>
      </c>
      <c r="B903" s="1" t="s">
        <v>37</v>
      </c>
      <c r="C903" s="1">
        <v>2024</v>
      </c>
      <c r="D903" s="1" t="s">
        <v>255</v>
      </c>
      <c r="E903" s="6" t="s">
        <v>1551</v>
      </c>
      <c r="F903" s="7" t="str">
        <f>HYPERLINK("https://drive.google.com/open?id=1qa1mLZHOuZIAKZUnYIblWo1lTS9NuBTm","1 files moved")</f>
        <v>1 files moved</v>
      </c>
      <c r="G903" s="6" t="s">
        <v>1552</v>
      </c>
      <c r="H903" s="1" t="s">
        <v>1553</v>
      </c>
    </row>
    <row r="904" spans="1:8" x14ac:dyDescent="0.2">
      <c r="A904" s="5">
        <v>45603.439506932875</v>
      </c>
      <c r="B904" s="1" t="s">
        <v>68</v>
      </c>
      <c r="C904" s="1">
        <v>2024</v>
      </c>
      <c r="D904" s="1" t="s">
        <v>255</v>
      </c>
      <c r="E904" s="6" t="s">
        <v>1554</v>
      </c>
      <c r="F904" s="7" t="str">
        <f>HYPERLINK("https://drive.google.com/open?id=1OV29wdO4ju235Dn_RfWfQvZfv8o_gJRA","1 files moved")</f>
        <v>1 files moved</v>
      </c>
      <c r="G904" s="6" t="s">
        <v>1555</v>
      </c>
      <c r="H904" s="1" t="s">
        <v>1556</v>
      </c>
    </row>
    <row r="905" spans="1:8" x14ac:dyDescent="0.2">
      <c r="A905" s="5">
        <v>45603.443219340275</v>
      </c>
      <c r="B905" s="1" t="s">
        <v>39</v>
      </c>
      <c r="C905" s="1">
        <v>2024</v>
      </c>
      <c r="D905" s="1" t="s">
        <v>255</v>
      </c>
      <c r="E905" s="6" t="s">
        <v>1557</v>
      </c>
      <c r="F905" s="7" t="str">
        <f>HYPERLINK("https://drive.google.com/open?id=1BZohlpYH-tCf-m6ifXipKqyT42Gbzhkv","1 files moved")</f>
        <v>1 files moved</v>
      </c>
      <c r="G905" s="6" t="s">
        <v>1558</v>
      </c>
      <c r="H905" s="1" t="s">
        <v>1559</v>
      </c>
    </row>
    <row r="906" spans="1:8" x14ac:dyDescent="0.2">
      <c r="A906" s="5">
        <v>45603.443589675924</v>
      </c>
      <c r="B906" s="1" t="s">
        <v>29</v>
      </c>
      <c r="C906" s="1">
        <v>2024</v>
      </c>
      <c r="D906" s="1" t="s">
        <v>255</v>
      </c>
      <c r="E906" s="6" t="s">
        <v>1560</v>
      </c>
      <c r="F906" s="7" t="str">
        <f>HYPERLINK("https://drive.google.com/open?id=1jO7SQkOk_xjZHSX78M31VKgg3Vt_d9Aw","1 files moved")</f>
        <v>1 files moved</v>
      </c>
      <c r="G906" s="6" t="s">
        <v>1561</v>
      </c>
      <c r="H906" s="1" t="s">
        <v>1562</v>
      </c>
    </row>
    <row r="907" spans="1:8" x14ac:dyDescent="0.2">
      <c r="A907" s="5">
        <v>45603.443970555556</v>
      </c>
      <c r="B907" s="1" t="s">
        <v>33</v>
      </c>
      <c r="C907" s="1">
        <v>2024</v>
      </c>
      <c r="D907" s="1" t="s">
        <v>255</v>
      </c>
      <c r="E907" s="6" t="s">
        <v>1563</v>
      </c>
      <c r="F907" s="7" t="str">
        <f>HYPERLINK("https://drive.google.com/open?id=1vt-BVSJOLHBIrsp9094dDz7aTxUYbXOd","1 files moved")</f>
        <v>1 files moved</v>
      </c>
      <c r="G907" s="6" t="s">
        <v>1564</v>
      </c>
      <c r="H907" s="1" t="s">
        <v>1565</v>
      </c>
    </row>
    <row r="908" spans="1:8" x14ac:dyDescent="0.2">
      <c r="A908" s="5">
        <v>45604.447475879628</v>
      </c>
      <c r="B908" s="1" t="s">
        <v>22</v>
      </c>
      <c r="C908" s="1">
        <v>2024</v>
      </c>
      <c r="D908" s="1" t="s">
        <v>255</v>
      </c>
      <c r="E908" s="6" t="s">
        <v>1566</v>
      </c>
      <c r="F908" s="7" t="str">
        <f>HYPERLINK("https://drive.google.com/open?id=1WAbmR1kP-K3GSrnpnC5igzsk9XdBZPD_","1 files moved")</f>
        <v>1 files moved</v>
      </c>
      <c r="G908" s="6" t="s">
        <v>1567</v>
      </c>
      <c r="H908" s="1" t="s">
        <v>1568</v>
      </c>
    </row>
    <row r="909" spans="1:8" x14ac:dyDescent="0.2">
      <c r="A909" s="5">
        <v>45604.66287299768</v>
      </c>
      <c r="B909" s="1" t="s">
        <v>1139</v>
      </c>
      <c r="C909" s="1">
        <v>2024</v>
      </c>
      <c r="D909" s="1" t="s">
        <v>255</v>
      </c>
      <c r="E909" s="6" t="s">
        <v>1569</v>
      </c>
      <c r="F909" s="7" t="str">
        <f>HYPERLINK("https://drive.google.com/open?id=1BTw6tbsd-8pzBcPd3Qgz7GdSqpJA1avM","1 files moved")</f>
        <v>1 files moved</v>
      </c>
      <c r="G909" s="6" t="s">
        <v>1570</v>
      </c>
      <c r="H909" s="1" t="s">
        <v>1571</v>
      </c>
    </row>
    <row r="910" spans="1:8" x14ac:dyDescent="0.2">
      <c r="A910" s="5">
        <v>45609.36964128472</v>
      </c>
      <c r="B910" s="1" t="s">
        <v>62</v>
      </c>
      <c r="C910" s="1">
        <v>2024</v>
      </c>
      <c r="D910" s="1" t="s">
        <v>255</v>
      </c>
      <c r="E910" s="6" t="s">
        <v>1572</v>
      </c>
      <c r="F910" s="7" t="str">
        <f>HYPERLINK("https://drive.google.com/open?id=1CSWuwAcjfOUkpFz17anJSHXpLD9oH9ta","1 files moved")</f>
        <v>1 files moved</v>
      </c>
      <c r="G910" s="6" t="s">
        <v>1573</v>
      </c>
      <c r="H910" s="1" t="s">
        <v>1574</v>
      </c>
    </row>
    <row r="911" spans="1:8" x14ac:dyDescent="0.2">
      <c r="A911" s="5">
        <v>45609.62426950231</v>
      </c>
      <c r="B911" s="1" t="s">
        <v>464</v>
      </c>
      <c r="C911" s="1">
        <v>2024</v>
      </c>
      <c r="D911" s="1" t="s">
        <v>255</v>
      </c>
      <c r="E911" s="6" t="s">
        <v>1575</v>
      </c>
      <c r="F911" s="7" t="str">
        <f>HYPERLINK("https://drive.google.com/open?id=1sNh5fA93l5peYz5IJKZGEClKmxdv9dcX","1 files moved")</f>
        <v>1 files moved</v>
      </c>
      <c r="G911" s="6" t="s">
        <v>1576</v>
      </c>
      <c r="H911" s="1" t="s">
        <v>1577</v>
      </c>
    </row>
    <row r="912" spans="1:8" x14ac:dyDescent="0.2">
      <c r="A912" s="5">
        <v>45610.362072615739</v>
      </c>
      <c r="B912" s="1" t="s">
        <v>686</v>
      </c>
      <c r="C912" s="1">
        <v>2024</v>
      </c>
      <c r="D912" s="1" t="s">
        <v>255</v>
      </c>
      <c r="E912" s="6" t="s">
        <v>1578</v>
      </c>
      <c r="F912" s="7" t="str">
        <f>HYPERLINK("https://drive.google.com/open?id=1raKDx-uNeIvhNP7U_Rt7B4uGTAH17pUT","1 files moved")</f>
        <v>1 files moved</v>
      </c>
      <c r="G912" s="6" t="s">
        <v>1579</v>
      </c>
      <c r="H912" s="1" t="s">
        <v>1580</v>
      </c>
    </row>
    <row r="913" spans="1:8" x14ac:dyDescent="0.2">
      <c r="A913" s="5">
        <v>45610.386488067132</v>
      </c>
      <c r="B913" s="1" t="s">
        <v>27</v>
      </c>
      <c r="C913" s="1">
        <v>2024</v>
      </c>
      <c r="D913" s="1" t="s">
        <v>255</v>
      </c>
      <c r="E913" s="6" t="s">
        <v>1581</v>
      </c>
      <c r="F913" s="7" t="str">
        <f>HYPERLINK("https://drive.google.com/open?id=1bGJWCN7-bZQSl3cMCCd4KJRrHz1r1jve","1 files moved")</f>
        <v>1 files moved</v>
      </c>
      <c r="G913" s="6" t="s">
        <v>1582</v>
      </c>
      <c r="H913" s="1" t="s">
        <v>1583</v>
      </c>
    </row>
    <row r="914" spans="1:8" x14ac:dyDescent="0.2">
      <c r="A914" s="5">
        <v>45610.390190289356</v>
      </c>
      <c r="B914" s="1" t="s">
        <v>8</v>
      </c>
      <c r="C914" s="1">
        <v>2024</v>
      </c>
      <c r="D914" s="1" t="s">
        <v>255</v>
      </c>
      <c r="E914" s="6" t="s">
        <v>1584</v>
      </c>
      <c r="F914" s="7" t="str">
        <f>HYPERLINK("https://drive.google.com/open?id=1RzBx4e3LIUFyXvV8TKxHGhvZPq7MCFk3","1 files moved")</f>
        <v>1 files moved</v>
      </c>
      <c r="G914" s="6" t="s">
        <v>1585</v>
      </c>
      <c r="H914" s="1" t="s">
        <v>1586</v>
      </c>
    </row>
    <row r="915" spans="1:8" x14ac:dyDescent="0.2">
      <c r="A915" s="5">
        <v>45610.392774050924</v>
      </c>
      <c r="B915" s="1" t="s">
        <v>11</v>
      </c>
      <c r="C915" s="1">
        <v>2024</v>
      </c>
      <c r="D915" s="1" t="s">
        <v>255</v>
      </c>
      <c r="E915" s="6" t="s">
        <v>1587</v>
      </c>
      <c r="F915" s="7" t="str">
        <f>HYPERLINK("https://drive.google.com/open?id=1YzDqbFE4H4BS5N9a8WbsE5FQL-HEPRMj","1 files moved")</f>
        <v>1 files moved</v>
      </c>
      <c r="G915" s="6" t="s">
        <v>1588</v>
      </c>
      <c r="H915" s="1" t="s">
        <v>1589</v>
      </c>
    </row>
    <row r="916" spans="1:8" x14ac:dyDescent="0.2">
      <c r="A916" s="5">
        <v>45610.4009634838</v>
      </c>
      <c r="B916" s="1" t="s">
        <v>330</v>
      </c>
      <c r="C916" s="1">
        <v>2024</v>
      </c>
      <c r="D916" s="1" t="s">
        <v>255</v>
      </c>
      <c r="E916" s="6" t="s">
        <v>1590</v>
      </c>
      <c r="F916" s="7" t="str">
        <f>HYPERLINK("https://drive.google.com/open?id=1jgWFJ1Rnlmfp-xLJYcsceHq4Kj-jmyCy","1 files moved")</f>
        <v>1 files moved</v>
      </c>
      <c r="G916" s="6" t="s">
        <v>1591</v>
      </c>
      <c r="H916" s="1" t="s">
        <v>1592</v>
      </c>
    </row>
    <row r="917" spans="1:8" x14ac:dyDescent="0.2">
      <c r="A917" s="5">
        <v>45610.410024375</v>
      </c>
      <c r="B917" s="1" t="s">
        <v>348</v>
      </c>
      <c r="C917" s="1">
        <v>2024</v>
      </c>
      <c r="D917" s="1" t="s">
        <v>255</v>
      </c>
      <c r="E917" s="6" t="s">
        <v>1593</v>
      </c>
      <c r="F917" s="7" t="str">
        <f>HYPERLINK("https://drive.google.com/open?id=17WOaAXl5jFgeySypAmjW1SMD0z4Hcu1k","1 files moved")</f>
        <v>1 files moved</v>
      </c>
      <c r="G917" s="6" t="s">
        <v>1594</v>
      </c>
      <c r="H917" s="1" t="s">
        <v>1595</v>
      </c>
    </row>
    <row r="918" spans="1:8" x14ac:dyDescent="0.2">
      <c r="A918" s="5">
        <v>45610.59240228009</v>
      </c>
      <c r="B918" s="1" t="s">
        <v>956</v>
      </c>
      <c r="C918" s="1">
        <v>2024</v>
      </c>
      <c r="D918" s="1" t="s">
        <v>228</v>
      </c>
      <c r="E918" s="6" t="s">
        <v>1596</v>
      </c>
      <c r="F918" s="7" t="str">
        <f t="shared" ref="F918:F919" si="13">HYPERLINK("https://drive.google.com/open?id=1UZh5dIb03-WOPd8G800Y_Y85mb0MdzIF","1 files moved")</f>
        <v>1 files moved</v>
      </c>
      <c r="G918" s="6" t="s">
        <v>1597</v>
      </c>
      <c r="H918" s="1" t="s">
        <v>1598</v>
      </c>
    </row>
    <row r="919" spans="1:8" x14ac:dyDescent="0.2">
      <c r="A919" s="5">
        <v>45610.592810844908</v>
      </c>
      <c r="B919" s="1" t="s">
        <v>956</v>
      </c>
      <c r="C919" s="1">
        <v>2024</v>
      </c>
      <c r="D919" s="1" t="s">
        <v>255</v>
      </c>
      <c r="E919" s="6" t="s">
        <v>1599</v>
      </c>
      <c r="F919" s="7" t="str">
        <f t="shared" si="13"/>
        <v>1 files moved</v>
      </c>
      <c r="G919" s="6" t="s">
        <v>1600</v>
      </c>
      <c r="H919" s="1" t="s">
        <v>1601</v>
      </c>
    </row>
    <row r="920" spans="1:8" x14ac:dyDescent="0.2">
      <c r="A920" s="5">
        <v>45611.38532079861</v>
      </c>
      <c r="B920" s="1" t="s">
        <v>76</v>
      </c>
      <c r="C920" s="1">
        <v>2024</v>
      </c>
      <c r="D920" s="1" t="s">
        <v>255</v>
      </c>
      <c r="E920" s="6" t="s">
        <v>1602</v>
      </c>
      <c r="F920" s="7" t="str">
        <f>HYPERLINK("https://drive.google.com/open?id=1YKXc634Hd6ivOmY-kuk_dNKkhypgkHlR","1 files moved")</f>
        <v>1 files moved</v>
      </c>
      <c r="G920" s="6" t="s">
        <v>1603</v>
      </c>
      <c r="H920" s="1" t="s">
        <v>1604</v>
      </c>
    </row>
    <row r="921" spans="1:8" x14ac:dyDescent="0.2">
      <c r="A921" s="5">
        <v>45611.391831134257</v>
      </c>
      <c r="B921" s="1" t="s">
        <v>397</v>
      </c>
      <c r="C921" s="1">
        <v>2024</v>
      </c>
      <c r="D921" s="1" t="s">
        <v>255</v>
      </c>
      <c r="E921" s="6" t="s">
        <v>1605</v>
      </c>
      <c r="F921" s="7" t="str">
        <f>HYPERLINK("https://drive.google.com/open?id=11skWmlW9bg1I5Y0qbtAwiD9dgHdxhUYl","1 files moved")</f>
        <v>1 files moved</v>
      </c>
      <c r="G921" s="6" t="s">
        <v>1606</v>
      </c>
      <c r="H921" s="1" t="s">
        <v>1607</v>
      </c>
    </row>
    <row r="922" spans="1:8" x14ac:dyDescent="0.2">
      <c r="A922" s="5">
        <v>45611.393640138893</v>
      </c>
      <c r="B922" s="1" t="s">
        <v>47</v>
      </c>
      <c r="C922" s="1">
        <v>2024</v>
      </c>
      <c r="D922" s="1" t="s">
        <v>255</v>
      </c>
      <c r="E922" s="6" t="s">
        <v>1608</v>
      </c>
      <c r="F922" s="7" t="str">
        <f>HYPERLINK("https://drive.google.com/open?id=1pM9D8l1ep_C4D6kUFxAGlSX58S2gNWw7","1 files moved")</f>
        <v>1 files moved</v>
      </c>
      <c r="G922" s="6" t="s">
        <v>1609</v>
      </c>
      <c r="H922" s="1" t="s">
        <v>1610</v>
      </c>
    </row>
    <row r="923" spans="1:8" x14ac:dyDescent="0.2">
      <c r="A923" s="5">
        <v>45611.414192465279</v>
      </c>
      <c r="B923" s="1" t="s">
        <v>53</v>
      </c>
      <c r="C923" s="1">
        <v>2024</v>
      </c>
      <c r="D923" s="1" t="s">
        <v>255</v>
      </c>
      <c r="E923" s="6" t="s">
        <v>1611</v>
      </c>
      <c r="F923" s="7" t="str">
        <f>HYPERLINK("https://drive.google.com/open?id=1mgwi5IYuDSmdes063EGgEET4VIkt5Ge6","1 files moved")</f>
        <v>1 files moved</v>
      </c>
      <c r="G923" s="6" t="s">
        <v>1612</v>
      </c>
      <c r="H923" s="1" t="s">
        <v>1613</v>
      </c>
    </row>
    <row r="924" spans="1:8" x14ac:dyDescent="0.2">
      <c r="A924" s="5">
        <v>45614.305058796293</v>
      </c>
      <c r="B924" s="1" t="s">
        <v>66</v>
      </c>
      <c r="C924" s="1">
        <v>2024</v>
      </c>
      <c r="D924" s="1" t="s">
        <v>255</v>
      </c>
      <c r="E924" s="6" t="s">
        <v>1614</v>
      </c>
      <c r="F924" s="7" t="str">
        <f>HYPERLINK("https://drive.google.com/open?id=1km-qyuVgwan24VTfuBcnXv-a0gKCGit4","1 files moved")</f>
        <v>1 files moved</v>
      </c>
      <c r="G924" s="6" t="s">
        <v>1615</v>
      </c>
      <c r="H924" s="1" t="s">
        <v>1616</v>
      </c>
    </row>
    <row r="925" spans="1:8" x14ac:dyDescent="0.2">
      <c r="A925" s="5">
        <v>45614.347847106481</v>
      </c>
      <c r="B925" s="1" t="s">
        <v>13</v>
      </c>
      <c r="C925" s="1">
        <v>2024</v>
      </c>
      <c r="D925" s="1" t="s">
        <v>255</v>
      </c>
      <c r="E925" s="6" t="s">
        <v>1617</v>
      </c>
      <c r="F925" s="7" t="str">
        <f>HYPERLINK("https://drive.google.com/open?id=1Zryv8yNLErRzmBqkGZTRY6f8oQgaib5M","1 files moved")</f>
        <v>1 files moved</v>
      </c>
      <c r="G925" s="6" t="s">
        <v>1618</v>
      </c>
      <c r="H925" s="1" t="s">
        <v>1619</v>
      </c>
    </row>
    <row r="926" spans="1:8" x14ac:dyDescent="0.2">
      <c r="A926" s="5">
        <v>45614.365801030093</v>
      </c>
      <c r="B926" s="1" t="s">
        <v>35</v>
      </c>
      <c r="C926" s="1">
        <v>2024</v>
      </c>
      <c r="D926" s="1" t="s">
        <v>255</v>
      </c>
      <c r="E926" s="6" t="s">
        <v>1620</v>
      </c>
      <c r="F926" s="7" t="str">
        <f>HYPERLINK("https://drive.google.com/open?id=1p9rKdY4QkNWIsmYys86EoZpuyIpPfpst","1 files moved")</f>
        <v>1 files moved</v>
      </c>
      <c r="G926" s="6" t="s">
        <v>1621</v>
      </c>
      <c r="H926" s="1" t="s">
        <v>1622</v>
      </c>
    </row>
    <row r="927" spans="1:8" x14ac:dyDescent="0.2">
      <c r="A927" s="5">
        <v>45614.377582037036</v>
      </c>
      <c r="B927" s="1" t="s">
        <v>70</v>
      </c>
      <c r="C927" s="1">
        <v>2024</v>
      </c>
      <c r="D927" s="1" t="s">
        <v>255</v>
      </c>
      <c r="E927" s="6" t="s">
        <v>1623</v>
      </c>
      <c r="F927" s="7" t="str">
        <f>HYPERLINK("https://drive.google.com/open?id=1tJPwF2su0hso4TETThLNHI9_S0dJdbLl","1 files moved")</f>
        <v>1 files moved</v>
      </c>
      <c r="G927" s="6" t="s">
        <v>1624</v>
      </c>
      <c r="H927" s="1" t="s">
        <v>1625</v>
      </c>
    </row>
    <row r="928" spans="1:8" x14ac:dyDescent="0.2">
      <c r="A928" s="5">
        <v>45614.505854629635</v>
      </c>
      <c r="B928" s="1" t="s">
        <v>43</v>
      </c>
      <c r="C928" s="1">
        <v>2024</v>
      </c>
      <c r="D928" s="1" t="s">
        <v>255</v>
      </c>
      <c r="E928" s="6" t="s">
        <v>1626</v>
      </c>
      <c r="F928" s="7" t="str">
        <f>HYPERLINK("https://drive.google.com/open?id=1V4TGvz085_QBAvEUyDaeNyMolr93zOZK","1 files moved")</f>
        <v>1 files moved</v>
      </c>
      <c r="G928" s="6" t="s">
        <v>1627</v>
      </c>
      <c r="H928" s="1" t="s">
        <v>1628</v>
      </c>
    </row>
    <row r="929" spans="1:8" x14ac:dyDescent="0.2">
      <c r="A929" s="5">
        <v>45631.318506828698</v>
      </c>
      <c r="B929" s="1" t="s">
        <v>16</v>
      </c>
      <c r="C929" s="1">
        <v>2024</v>
      </c>
      <c r="D929" s="1" t="s">
        <v>277</v>
      </c>
      <c r="E929" s="6" t="s">
        <v>1629</v>
      </c>
      <c r="F929" s="7" t="str">
        <f>HYPERLINK("https://drive.google.com/open?id=1YNQBM17-ejVScp5nWkNR2hYKrlehzOCe","1 files moved")</f>
        <v>1 files moved</v>
      </c>
      <c r="G929" s="6" t="s">
        <v>1630</v>
      </c>
      <c r="H929" s="1" t="s">
        <v>1631</v>
      </c>
    </row>
    <row r="930" spans="1:8" x14ac:dyDescent="0.2">
      <c r="A930" s="5">
        <v>45631.420661516204</v>
      </c>
      <c r="B930" s="1" t="s">
        <v>53</v>
      </c>
      <c r="C930" s="1">
        <v>2024</v>
      </c>
      <c r="D930" s="1" t="s">
        <v>277</v>
      </c>
      <c r="E930" s="6" t="s">
        <v>1632</v>
      </c>
      <c r="F930" s="7" t="str">
        <f>HYPERLINK("https://drive.google.com/open?id=1mgwi5IYuDSmdes063EGgEET4VIkt5Ge6","1 files moved")</f>
        <v>1 files moved</v>
      </c>
      <c r="G930" s="6" t="s">
        <v>1633</v>
      </c>
      <c r="H930" s="1" t="s">
        <v>1634</v>
      </c>
    </row>
    <row r="931" spans="1:8" x14ac:dyDescent="0.2">
      <c r="A931" s="5">
        <v>45631.445030625</v>
      </c>
      <c r="B931" s="1" t="s">
        <v>70</v>
      </c>
      <c r="C931" s="1">
        <v>2024</v>
      </c>
      <c r="D931" s="1" t="s">
        <v>277</v>
      </c>
      <c r="E931" s="6" t="s">
        <v>1635</v>
      </c>
      <c r="F931" s="7" t="str">
        <f>HYPERLINK("https://drive.google.com/open?id=1tJPwF2su0hso4TETThLNHI9_S0dJdbLl","1 files moved")</f>
        <v>1 files moved</v>
      </c>
      <c r="G931" s="6" t="s">
        <v>1636</v>
      </c>
      <c r="H931" s="1" t="s">
        <v>1637</v>
      </c>
    </row>
    <row r="932" spans="1:8" x14ac:dyDescent="0.2">
      <c r="A932" s="5">
        <v>45631.467149479169</v>
      </c>
      <c r="B932" s="1" t="s">
        <v>39</v>
      </c>
      <c r="C932" s="1">
        <v>2024</v>
      </c>
      <c r="D932" s="1" t="s">
        <v>277</v>
      </c>
      <c r="E932" s="6" t="s">
        <v>1638</v>
      </c>
      <c r="F932" s="7" t="str">
        <f>HYPERLINK("https://drive.google.com/open?id=1BZohlpYH-tCf-m6ifXipKqyT42Gbzhkv","1 files moved")</f>
        <v>1 files moved</v>
      </c>
      <c r="G932" s="6" t="s">
        <v>1639</v>
      </c>
      <c r="H932" s="1" t="s">
        <v>1640</v>
      </c>
    </row>
    <row r="933" spans="1:8" x14ac:dyDescent="0.2">
      <c r="A933" s="5">
        <v>45631.467500381943</v>
      </c>
      <c r="B933" s="1" t="s">
        <v>29</v>
      </c>
      <c r="C933" s="1">
        <v>2024</v>
      </c>
      <c r="D933" s="1" t="s">
        <v>277</v>
      </c>
      <c r="E933" s="6" t="s">
        <v>1641</v>
      </c>
      <c r="F933" s="7" t="str">
        <f>HYPERLINK("https://drive.google.com/open?id=1jO7SQkOk_xjZHSX78M31VKgg3Vt_d9Aw","1 files moved")</f>
        <v>1 files moved</v>
      </c>
      <c r="G933" s="6" t="s">
        <v>1642</v>
      </c>
      <c r="H933" s="1" t="s">
        <v>1643</v>
      </c>
    </row>
    <row r="934" spans="1:8" x14ac:dyDescent="0.2">
      <c r="A934" s="5">
        <v>45631.467867106483</v>
      </c>
      <c r="B934" s="1" t="s">
        <v>33</v>
      </c>
      <c r="C934" s="1">
        <v>2024</v>
      </c>
      <c r="D934" s="1" t="s">
        <v>277</v>
      </c>
      <c r="E934" s="6" t="s">
        <v>1644</v>
      </c>
      <c r="F934" s="7" t="str">
        <f>HYPERLINK("https://drive.google.com/open?id=1vt-BVSJOLHBIrsp9094dDz7aTxUYbXOd","1 files moved")</f>
        <v>1 files moved</v>
      </c>
      <c r="G934" s="6" t="s">
        <v>1645</v>
      </c>
      <c r="H934" s="1" t="s">
        <v>1646</v>
      </c>
    </row>
    <row r="935" spans="1:8" x14ac:dyDescent="0.2">
      <c r="A935" s="5">
        <v>45631.475820879627</v>
      </c>
      <c r="B935" s="1" t="s">
        <v>66</v>
      </c>
      <c r="C935" s="1">
        <v>2024</v>
      </c>
      <c r="D935" s="1" t="s">
        <v>277</v>
      </c>
      <c r="E935" s="6" t="s">
        <v>1647</v>
      </c>
      <c r="F935" s="7" t="str">
        <f>HYPERLINK("https://drive.google.com/open?id=1km-qyuVgwan24VTfuBcnXv-a0gKCGit4","1 files moved")</f>
        <v>1 files moved</v>
      </c>
      <c r="G935" s="6" t="s">
        <v>1648</v>
      </c>
      <c r="H935" s="1" t="s">
        <v>1649</v>
      </c>
    </row>
    <row r="936" spans="1:8" x14ac:dyDescent="0.2">
      <c r="A936" s="5">
        <v>45632.325735034727</v>
      </c>
      <c r="B936" s="1" t="s">
        <v>686</v>
      </c>
      <c r="C936" s="1">
        <v>2024</v>
      </c>
      <c r="D936" s="1" t="s">
        <v>277</v>
      </c>
      <c r="E936" s="6" t="s">
        <v>1650</v>
      </c>
      <c r="F936" s="7" t="str">
        <f>HYPERLINK("https://drive.google.com/open?id=1raKDx-uNeIvhNP7U_Rt7B4uGTAH17pUT","1 files moved")</f>
        <v>1 files moved</v>
      </c>
      <c r="G936" s="6" t="s">
        <v>1651</v>
      </c>
      <c r="H936" s="1" t="s">
        <v>1652</v>
      </c>
    </row>
    <row r="937" spans="1:8" x14ac:dyDescent="0.2">
      <c r="A937" s="5">
        <v>45632.337128136569</v>
      </c>
      <c r="B937" s="1" t="s">
        <v>68</v>
      </c>
      <c r="C937" s="1">
        <v>2024</v>
      </c>
      <c r="D937" s="1" t="s">
        <v>277</v>
      </c>
      <c r="E937" s="6" t="s">
        <v>1653</v>
      </c>
      <c r="F937" s="7" t="str">
        <f>HYPERLINK("https://drive.google.com/open?id=1OV29wdO4ju235Dn_RfWfQvZfv8o_gJRA","1 files moved")</f>
        <v>1 files moved</v>
      </c>
      <c r="G937" s="6" t="s">
        <v>1654</v>
      </c>
      <c r="H937" s="1" t="s">
        <v>1655</v>
      </c>
    </row>
    <row r="938" spans="1:8" x14ac:dyDescent="0.2">
      <c r="A938" s="5">
        <v>45632.387514525464</v>
      </c>
      <c r="B938" s="1" t="s">
        <v>969</v>
      </c>
      <c r="C938" s="1">
        <v>2024</v>
      </c>
      <c r="D938" s="1" t="s">
        <v>277</v>
      </c>
      <c r="E938" s="6" t="s">
        <v>1656</v>
      </c>
      <c r="F938" s="7" t="str">
        <f>HYPERLINK("https://drive.google.com/open?id=1jjaZ6sBJ-rgFFoV-a9VrKbvqiPbqOcgX","1 files moved")</f>
        <v>1 files moved</v>
      </c>
      <c r="G938" s="6" t="s">
        <v>1657</v>
      </c>
      <c r="H938" s="1" t="s">
        <v>1658</v>
      </c>
    </row>
    <row r="939" spans="1:8" x14ac:dyDescent="0.2">
      <c r="A939" s="5">
        <v>45632.406660277775</v>
      </c>
      <c r="B939" s="1" t="s">
        <v>464</v>
      </c>
      <c r="C939" s="1">
        <v>2024</v>
      </c>
      <c r="D939" s="1" t="s">
        <v>277</v>
      </c>
      <c r="E939" s="6" t="s">
        <v>1659</v>
      </c>
      <c r="F939" s="7" t="str">
        <f>HYPERLINK("https://drive.google.com/open?id=1sNh5fA93l5peYz5IJKZGEClKmxdv9dcX","1 files moved")</f>
        <v>1 files moved</v>
      </c>
      <c r="G939" s="6" t="s">
        <v>1660</v>
      </c>
      <c r="H939" s="1" t="s">
        <v>1661</v>
      </c>
    </row>
    <row r="940" spans="1:8" x14ac:dyDescent="0.2">
      <c r="A940" s="5">
        <v>45632.589116898147</v>
      </c>
      <c r="B940" s="1" t="s">
        <v>451</v>
      </c>
      <c r="C940" s="1">
        <v>2024</v>
      </c>
      <c r="D940" s="1" t="s">
        <v>277</v>
      </c>
      <c r="E940" s="6" t="s">
        <v>1662</v>
      </c>
      <c r="F940" s="7" t="str">
        <f>HYPERLINK("https://drive.google.com/open?id=1KIx1m7meHb5nobC5pXq7RhJanL49Yo2o","1 files moved")</f>
        <v>1 files moved</v>
      </c>
      <c r="G940" s="6" t="s">
        <v>1663</v>
      </c>
      <c r="H940" s="1" t="s">
        <v>1664</v>
      </c>
    </row>
    <row r="941" spans="1:8" x14ac:dyDescent="0.2">
      <c r="A941" s="5">
        <v>45632.590879143521</v>
      </c>
      <c r="B941" s="1" t="s">
        <v>45</v>
      </c>
      <c r="C941" s="1">
        <v>2024</v>
      </c>
      <c r="D941" s="1" t="s">
        <v>277</v>
      </c>
      <c r="E941" s="6" t="s">
        <v>1665</v>
      </c>
      <c r="F941" s="7" t="str">
        <f>HYPERLINK("https://drive.google.com/open?id=1WOu53emjYl9MgCM11eFHkgxwdHlBm2Xz","1 files moved")</f>
        <v>1 files moved</v>
      </c>
      <c r="G941" s="6" t="s">
        <v>1666</v>
      </c>
      <c r="H941" s="1" t="s">
        <v>1667</v>
      </c>
    </row>
    <row r="942" spans="1:8" x14ac:dyDescent="0.2">
      <c r="A942" s="5">
        <v>45632.593807974539</v>
      </c>
      <c r="B942" s="1" t="s">
        <v>348</v>
      </c>
      <c r="C942" s="1">
        <v>2024</v>
      </c>
      <c r="D942" s="1" t="s">
        <v>277</v>
      </c>
      <c r="E942" s="6" t="s">
        <v>1668</v>
      </c>
      <c r="F942" s="7" t="str">
        <f>HYPERLINK("https://drive.google.com/open?id=17WOaAXl5jFgeySypAmjW1SMD0z4Hcu1k","1 files moved")</f>
        <v>1 files moved</v>
      </c>
      <c r="G942" s="6" t="s">
        <v>1669</v>
      </c>
      <c r="H942" s="1" t="s">
        <v>1670</v>
      </c>
    </row>
    <row r="943" spans="1:8" x14ac:dyDescent="0.2">
      <c r="A943" s="5">
        <v>45632.595735983792</v>
      </c>
      <c r="B943" s="1" t="s">
        <v>956</v>
      </c>
      <c r="C943" s="1">
        <v>2024</v>
      </c>
      <c r="D943" s="1" t="s">
        <v>277</v>
      </c>
      <c r="E943" s="6" t="s">
        <v>1671</v>
      </c>
      <c r="F943" s="7" t="str">
        <f>HYPERLINK("https://drive.google.com/open?id=1UZh5dIb03-WOPd8G800Y_Y85mb0MdzIF","1 files moved")</f>
        <v>1 files moved</v>
      </c>
      <c r="G943" s="6" t="s">
        <v>1672</v>
      </c>
      <c r="H943" s="1" t="s">
        <v>1673</v>
      </c>
    </row>
    <row r="944" spans="1:8" x14ac:dyDescent="0.2">
      <c r="A944" s="5">
        <v>45632.59719969907</v>
      </c>
      <c r="B944" s="1" t="s">
        <v>43</v>
      </c>
      <c r="C944" s="1">
        <v>2024</v>
      </c>
      <c r="D944" s="1" t="s">
        <v>277</v>
      </c>
      <c r="E944" s="6" t="s">
        <v>1674</v>
      </c>
      <c r="F944" s="7" t="str">
        <f>HYPERLINK("https://drive.google.com/open?id=1V4TGvz085_QBAvEUyDaeNyMolr93zOZK","1 files moved")</f>
        <v>1 files moved</v>
      </c>
      <c r="G944" s="6" t="s">
        <v>1675</v>
      </c>
      <c r="H944" s="1" t="s">
        <v>1676</v>
      </c>
    </row>
    <row r="945" spans="1:8" x14ac:dyDescent="0.2">
      <c r="A945" s="5">
        <v>45632.677770891205</v>
      </c>
      <c r="B945" s="1" t="s">
        <v>666</v>
      </c>
      <c r="C945" s="1">
        <v>2024</v>
      </c>
      <c r="D945" s="1" t="s">
        <v>277</v>
      </c>
      <c r="E945" s="6" t="s">
        <v>1677</v>
      </c>
      <c r="F945" s="7" t="str">
        <f>HYPERLINK("https://drive.google.com/open?id=1V9JxAml7o3RDV4BK_aYYG2UrIwxiEXjP","1 files moved")</f>
        <v>1 files moved</v>
      </c>
      <c r="G945" s="6" t="s">
        <v>1678</v>
      </c>
      <c r="H945" s="1" t="s">
        <v>1679</v>
      </c>
    </row>
    <row r="946" spans="1:8" x14ac:dyDescent="0.2">
      <c r="A946" s="5">
        <v>45632.683051087966</v>
      </c>
      <c r="B946" s="1" t="s">
        <v>62</v>
      </c>
      <c r="C946" s="1">
        <v>2024</v>
      </c>
      <c r="D946" s="1" t="s">
        <v>277</v>
      </c>
      <c r="E946" s="6" t="s">
        <v>1680</v>
      </c>
      <c r="F946" s="7" t="str">
        <f>HYPERLINK("https://drive.google.com/open?id=1CSWuwAcjfOUkpFz17anJSHXpLD9oH9ta","1 files moved")</f>
        <v>1 files moved</v>
      </c>
      <c r="G946" s="6" t="s">
        <v>1681</v>
      </c>
      <c r="H946" s="1" t="s">
        <v>1682</v>
      </c>
    </row>
    <row r="947" spans="1:8" x14ac:dyDescent="0.2">
      <c r="A947" s="5">
        <v>45635.306850266206</v>
      </c>
      <c r="B947" s="1" t="s">
        <v>378</v>
      </c>
      <c r="C947" s="1">
        <v>2024</v>
      </c>
      <c r="D947" s="1" t="s">
        <v>277</v>
      </c>
      <c r="E947" s="6" t="s">
        <v>1683</v>
      </c>
      <c r="F947" s="7" t="str">
        <f>HYPERLINK("https://drive.google.com/open?id=1UaOhVLC8EU7AZLMQiErwZkrTRt0YZt3o","1 files moved")</f>
        <v>1 files moved</v>
      </c>
      <c r="G947" s="6" t="s">
        <v>1684</v>
      </c>
      <c r="H947" s="1" t="s">
        <v>1685</v>
      </c>
    </row>
    <row r="948" spans="1:8" x14ac:dyDescent="0.2">
      <c r="A948" s="5">
        <v>45635.351730949071</v>
      </c>
      <c r="B948" s="1" t="s">
        <v>13</v>
      </c>
      <c r="C948" s="1">
        <v>2024</v>
      </c>
      <c r="D948" s="1" t="s">
        <v>277</v>
      </c>
      <c r="E948" s="6" t="s">
        <v>1686</v>
      </c>
      <c r="F948" s="7" t="str">
        <f>HYPERLINK("https://drive.google.com/open?id=1Zryv8yNLErRzmBqkGZTRY6f8oQgaib5M","1 files moved")</f>
        <v>1 files moved</v>
      </c>
      <c r="G948" s="6" t="s">
        <v>1687</v>
      </c>
      <c r="H948" s="1" t="s">
        <v>1688</v>
      </c>
    </row>
    <row r="949" spans="1:8" x14ac:dyDescent="0.2">
      <c r="A949" s="5">
        <v>45635.35373693287</v>
      </c>
      <c r="B949" s="1" t="s">
        <v>397</v>
      </c>
      <c r="C949" s="1">
        <v>2024</v>
      </c>
      <c r="D949" s="1" t="s">
        <v>277</v>
      </c>
      <c r="E949" s="6" t="s">
        <v>1689</v>
      </c>
      <c r="F949" s="7" t="str">
        <f>HYPERLINK("https://drive.google.com/open?id=11skWmlW9bg1I5Y0qbtAwiD9dgHdxhUYl","1 files moved")</f>
        <v>1 files moved</v>
      </c>
      <c r="G949" s="6" t="s">
        <v>1690</v>
      </c>
      <c r="H949" s="1" t="s">
        <v>1691</v>
      </c>
    </row>
    <row r="950" spans="1:8" x14ac:dyDescent="0.2">
      <c r="A950" s="5">
        <v>45635.354884756947</v>
      </c>
      <c r="B950" s="1" t="s">
        <v>27</v>
      </c>
      <c r="C950" s="1">
        <v>2024</v>
      </c>
      <c r="D950" s="1" t="s">
        <v>277</v>
      </c>
      <c r="E950" s="6" t="s">
        <v>1692</v>
      </c>
      <c r="F950" s="7" t="str">
        <f>HYPERLINK("https://drive.google.com/open?id=1bGJWCN7-bZQSl3cMCCd4KJRrHz1r1jve","1 files moved")</f>
        <v>1 files moved</v>
      </c>
      <c r="G950" s="6" t="s">
        <v>1693</v>
      </c>
      <c r="H950" s="1" t="s">
        <v>1694</v>
      </c>
    </row>
    <row r="951" spans="1:8" x14ac:dyDescent="0.2">
      <c r="A951" s="5">
        <v>45635.363239224534</v>
      </c>
      <c r="B951" s="1" t="s">
        <v>1139</v>
      </c>
      <c r="C951" s="1">
        <v>2024</v>
      </c>
      <c r="D951" s="1" t="s">
        <v>277</v>
      </c>
      <c r="E951" s="6" t="s">
        <v>1695</v>
      </c>
      <c r="F951" s="7" t="str">
        <f>HYPERLINK("https://drive.google.com/open?id=1BTw6tbsd-8pzBcPd3Qgz7GdSqpJA1avM","1 files moved")</f>
        <v>1 files moved</v>
      </c>
      <c r="G951" s="6" t="s">
        <v>1696</v>
      </c>
      <c r="H951" s="1" t="s">
        <v>1697</v>
      </c>
    </row>
    <row r="952" spans="1:8" x14ac:dyDescent="0.2">
      <c r="A952" s="5">
        <v>45635.372386724535</v>
      </c>
      <c r="B952" s="1" t="s">
        <v>24</v>
      </c>
      <c r="C952" s="1">
        <v>2024</v>
      </c>
      <c r="D952" s="1" t="s">
        <v>277</v>
      </c>
      <c r="E952" s="6" t="s">
        <v>1698</v>
      </c>
      <c r="F952" s="7" t="str">
        <f>HYPERLINK("https://drive.google.com/open?id=1lAkCTSJDqjfWsuZxvLL2COI53gbRENb_","1 files moved")</f>
        <v>1 files moved</v>
      </c>
      <c r="G952" s="6" t="s">
        <v>1699</v>
      </c>
      <c r="H952" s="1" t="s">
        <v>1700</v>
      </c>
    </row>
    <row r="953" spans="1:8" x14ac:dyDescent="0.2">
      <c r="A953" s="5">
        <v>45635.400282893519</v>
      </c>
      <c r="B953" s="1" t="s">
        <v>22</v>
      </c>
      <c r="C953" s="1">
        <v>2024</v>
      </c>
      <c r="D953" s="1" t="s">
        <v>277</v>
      </c>
      <c r="E953" s="6" t="s">
        <v>1701</v>
      </c>
      <c r="F953" s="7" t="str">
        <f>HYPERLINK("https://drive.google.com/open?id=1WAbmR1kP-K3GSrnpnC5igzsk9XdBZPD_","1 files moved")</f>
        <v>1 files moved</v>
      </c>
      <c r="G953" s="6" t="s">
        <v>1702</v>
      </c>
      <c r="H953" s="1" t="s">
        <v>1703</v>
      </c>
    </row>
    <row r="954" spans="1:8" x14ac:dyDescent="0.2">
      <c r="A954" s="5">
        <v>45635.403972442131</v>
      </c>
      <c r="B954" s="1" t="s">
        <v>330</v>
      </c>
      <c r="C954" s="1">
        <v>2024</v>
      </c>
      <c r="D954" s="1" t="s">
        <v>277</v>
      </c>
      <c r="E954" s="6" t="s">
        <v>1704</v>
      </c>
      <c r="F954" s="7" t="str">
        <f>HYPERLINK("https://drive.google.com/open?id=1jgWFJ1Rnlmfp-xLJYcsceHq4Kj-jmyCy","1 files moved")</f>
        <v>1 files moved</v>
      </c>
      <c r="G954" s="6" t="s">
        <v>1705</v>
      </c>
      <c r="H954" s="1" t="s">
        <v>1706</v>
      </c>
    </row>
    <row r="955" spans="1:8" x14ac:dyDescent="0.2">
      <c r="A955" s="5">
        <v>45636.330185474537</v>
      </c>
      <c r="B955" s="1" t="s">
        <v>8</v>
      </c>
      <c r="C955" s="1">
        <v>2024</v>
      </c>
      <c r="D955" s="1" t="s">
        <v>277</v>
      </c>
      <c r="E955" s="6" t="s">
        <v>1707</v>
      </c>
      <c r="F955" s="7" t="str">
        <f>HYPERLINK("https://drive.google.com/open?id=1RzBx4e3LIUFyXvV8TKxHGhvZPq7MCFk3","1 files moved")</f>
        <v>1 files moved</v>
      </c>
      <c r="G955" s="6" t="s">
        <v>1708</v>
      </c>
      <c r="H955" s="1" t="s">
        <v>1709</v>
      </c>
    </row>
    <row r="956" spans="1:8" x14ac:dyDescent="0.2">
      <c r="A956" s="5">
        <v>45636.331238483792</v>
      </c>
      <c r="B956" s="1" t="s">
        <v>11</v>
      </c>
      <c r="C956" s="1">
        <v>2024</v>
      </c>
      <c r="D956" s="1" t="s">
        <v>277</v>
      </c>
      <c r="E956" s="6" t="s">
        <v>1710</v>
      </c>
      <c r="F956" s="7" t="str">
        <f>HYPERLINK("https://drive.google.com/open?id=1YzDqbFE4H4BS5N9a8WbsE5FQL-HEPRMj","1 files moved")</f>
        <v>1 files moved</v>
      </c>
      <c r="G956" s="6" t="s">
        <v>1711</v>
      </c>
      <c r="H956" s="1" t="s">
        <v>1712</v>
      </c>
    </row>
    <row r="957" spans="1:8" x14ac:dyDescent="0.2">
      <c r="A957" s="5">
        <v>45636.333595937496</v>
      </c>
      <c r="B957" s="1" t="s">
        <v>56</v>
      </c>
      <c r="C957" s="1">
        <v>2024</v>
      </c>
      <c r="D957" s="1" t="s">
        <v>277</v>
      </c>
      <c r="E957" s="6" t="s">
        <v>1713</v>
      </c>
      <c r="F957" s="7" t="str">
        <f>HYPERLINK("https://drive.google.com/open?id=1YZIPSo9PodNGWCjC1zK15cW1JEByXJ7w","1 files moved")</f>
        <v>1 files moved</v>
      </c>
      <c r="G957" s="6" t="s">
        <v>1714</v>
      </c>
      <c r="H957" s="1" t="s">
        <v>1715</v>
      </c>
    </row>
    <row r="958" spans="1:8" x14ac:dyDescent="0.2">
      <c r="A958" s="5">
        <v>45636.333612025468</v>
      </c>
      <c r="B958" s="1" t="s">
        <v>76</v>
      </c>
      <c r="C958" s="1">
        <v>2024</v>
      </c>
      <c r="D958" s="1" t="s">
        <v>277</v>
      </c>
      <c r="E958" s="6" t="s">
        <v>1716</v>
      </c>
      <c r="F958" s="7" t="str">
        <f>HYPERLINK("https://drive.google.com/open?id=1YKXc634Hd6ivOmY-kuk_dNKkhypgkHlR","1 files moved")</f>
        <v>1 files moved</v>
      </c>
      <c r="G958" s="6" t="s">
        <v>1717</v>
      </c>
      <c r="H958" s="1" t="s">
        <v>1718</v>
      </c>
    </row>
    <row r="959" spans="1:8" x14ac:dyDescent="0.2">
      <c r="A959" s="5">
        <v>45636.336833715279</v>
      </c>
      <c r="B959" s="1" t="s">
        <v>37</v>
      </c>
      <c r="C959" s="1">
        <v>2024</v>
      </c>
      <c r="D959" s="1" t="s">
        <v>277</v>
      </c>
      <c r="E959" s="6" t="s">
        <v>1719</v>
      </c>
      <c r="F959" s="7" t="str">
        <f>HYPERLINK("https://drive.google.com/open?id=1qa1mLZHOuZIAKZUnYIblWo1lTS9NuBTm","1 files moved")</f>
        <v>1 files moved</v>
      </c>
      <c r="G959" s="6" t="s">
        <v>1720</v>
      </c>
      <c r="H959" s="1" t="s">
        <v>1721</v>
      </c>
    </row>
    <row r="960" spans="1:8" x14ac:dyDescent="0.2">
      <c r="A960" s="5">
        <v>45636.378842245365</v>
      </c>
      <c r="B960" s="1" t="s">
        <v>35</v>
      </c>
      <c r="C960" s="1">
        <v>2024</v>
      </c>
      <c r="D960" s="1" t="s">
        <v>277</v>
      </c>
      <c r="E960" s="6" t="s">
        <v>1722</v>
      </c>
      <c r="F960" s="7" t="str">
        <f>HYPERLINK("https://drive.google.com/open?id=1p9rKdY4QkNWIsmYys86EoZpuyIpPfpst","1 files moved")</f>
        <v>1 files moved</v>
      </c>
      <c r="G960" s="6" t="s">
        <v>1723</v>
      </c>
      <c r="H960" s="1" t="s">
        <v>1724</v>
      </c>
    </row>
    <row r="961" spans="1:8" x14ac:dyDescent="0.2">
      <c r="A961" s="5">
        <v>45636.43440351852</v>
      </c>
      <c r="B961" s="1" t="s">
        <v>47</v>
      </c>
      <c r="C961" s="1">
        <v>2024</v>
      </c>
      <c r="D961" s="1" t="s">
        <v>277</v>
      </c>
      <c r="E961" s="6" t="s">
        <v>1725</v>
      </c>
      <c r="F961" s="7" t="str">
        <f>HYPERLINK("https://drive.google.com/open?id=1pM9D8l1ep_C4D6kUFxAGlSX58S2gNWw7","1 files moved")</f>
        <v>1 files moved</v>
      </c>
      <c r="G961" s="6" t="s">
        <v>1726</v>
      </c>
      <c r="H961" s="1" t="s">
        <v>1727</v>
      </c>
    </row>
    <row r="962" spans="1:8" x14ac:dyDescent="0.2">
      <c r="A962" s="5">
        <v>45638.560306793981</v>
      </c>
      <c r="B962" s="1" t="s">
        <v>22</v>
      </c>
      <c r="C962" s="1">
        <v>2024</v>
      </c>
      <c r="D962" s="1" t="s">
        <v>277</v>
      </c>
      <c r="E962" s="6" t="s">
        <v>1728</v>
      </c>
      <c r="F962" s="7" t="str">
        <f>HYPERLINK("https://drive.google.com/open?id=1WAbmR1kP-K3GSrnpnC5igzsk9XdBZPD_","1 files moved")</f>
        <v>1 files moved</v>
      </c>
      <c r="G962" s="6" t="s">
        <v>1729</v>
      </c>
      <c r="H962" s="1" t="s">
        <v>1730</v>
      </c>
    </row>
    <row r="963" spans="1:8" x14ac:dyDescent="0.2">
      <c r="A963" s="5">
        <v>45660.357036851856</v>
      </c>
      <c r="B963" s="1" t="s">
        <v>62</v>
      </c>
      <c r="C963" s="1">
        <v>2024</v>
      </c>
      <c r="D963" s="1" t="s">
        <v>302</v>
      </c>
      <c r="E963" s="6" t="s">
        <v>1731</v>
      </c>
      <c r="F963" s="7" t="str">
        <f>HYPERLINK("https://drive.google.com/open?id=1CSWuwAcjfOUkpFz17anJSHXpLD9oH9ta","1 files moved")</f>
        <v>1 files moved</v>
      </c>
      <c r="G963" s="6" t="s">
        <v>1732</v>
      </c>
      <c r="H963" s="1" t="s">
        <v>1733</v>
      </c>
    </row>
    <row r="964" spans="1:8" x14ac:dyDescent="0.2">
      <c r="A964" s="5">
        <v>45660.599830891202</v>
      </c>
      <c r="B964" s="1" t="s">
        <v>378</v>
      </c>
      <c r="C964" s="1">
        <v>2024</v>
      </c>
      <c r="D964" s="1" t="s">
        <v>302</v>
      </c>
      <c r="E964" s="6" t="s">
        <v>1734</v>
      </c>
      <c r="F964" s="7" t="str">
        <f>HYPERLINK("https://drive.google.com/open?id=1UaOhVLC8EU7AZLMQiErwZkrTRt0YZt3o","1 files moved")</f>
        <v>1 files moved</v>
      </c>
      <c r="G964" s="6" t="s">
        <v>1735</v>
      </c>
      <c r="H964" s="1" t="s">
        <v>1736</v>
      </c>
    </row>
    <row r="965" spans="1:8" x14ac:dyDescent="0.2">
      <c r="A965" s="5">
        <v>45660.625551712961</v>
      </c>
      <c r="B965" s="1" t="s">
        <v>11</v>
      </c>
      <c r="C965" s="1">
        <v>2024</v>
      </c>
      <c r="D965" s="1" t="s">
        <v>302</v>
      </c>
      <c r="E965" s="6" t="s">
        <v>1737</v>
      </c>
      <c r="F965" s="7" t="str">
        <f>HYPERLINK("https://drive.google.com/open?id=1YzDqbFE4H4BS5N9a8WbsE5FQL-HEPRMj","1 files moved")</f>
        <v>1 files moved</v>
      </c>
      <c r="G965" s="6" t="s">
        <v>1738</v>
      </c>
      <c r="H965" s="1" t="s">
        <v>1739</v>
      </c>
    </row>
    <row r="966" spans="1:8" x14ac:dyDescent="0.2">
      <c r="A966" s="5">
        <v>45660.628328611114</v>
      </c>
      <c r="B966" s="1" t="s">
        <v>27</v>
      </c>
      <c r="C966" s="1">
        <v>2024</v>
      </c>
      <c r="D966" s="1" t="s">
        <v>302</v>
      </c>
      <c r="E966" s="6" t="s">
        <v>1740</v>
      </c>
      <c r="F966" s="7" t="str">
        <f>HYPERLINK("https://drive.google.com/open?id=1bGJWCN7-bZQSl3cMCCd4KJRrHz1r1jve","1 files moved")</f>
        <v>1 files moved</v>
      </c>
      <c r="G966" s="6" t="s">
        <v>1741</v>
      </c>
      <c r="H966" s="1" t="s">
        <v>1742</v>
      </c>
    </row>
    <row r="967" spans="1:8" x14ac:dyDescent="0.2">
      <c r="A967" s="5">
        <v>45660.658826087965</v>
      </c>
      <c r="B967" s="1" t="s">
        <v>56</v>
      </c>
      <c r="C967" s="1">
        <v>2024</v>
      </c>
      <c r="D967" s="1" t="s">
        <v>302</v>
      </c>
      <c r="E967" s="6" t="s">
        <v>1743</v>
      </c>
      <c r="F967" s="7" t="str">
        <f>HYPERLINK("https://drive.google.com/open?id=1YZIPSo9PodNGWCjC1zK15cW1JEByXJ7w","1 files moved")</f>
        <v>1 files moved</v>
      </c>
      <c r="G967" s="6" t="s">
        <v>1744</v>
      </c>
      <c r="H967" s="1" t="s">
        <v>1745</v>
      </c>
    </row>
    <row r="968" spans="1:8" x14ac:dyDescent="0.2">
      <c r="A968" s="5">
        <v>45663.3266984375</v>
      </c>
      <c r="B968" s="1" t="s">
        <v>37</v>
      </c>
      <c r="C968" s="1">
        <v>2024</v>
      </c>
      <c r="D968" s="1" t="s">
        <v>302</v>
      </c>
      <c r="E968" s="6" t="s">
        <v>1746</v>
      </c>
      <c r="F968" s="7" t="str">
        <f>HYPERLINK("https://drive.google.com/open?id=1qa1mLZHOuZIAKZUnYIblWo1lTS9NuBTm","1 files moved")</f>
        <v>1 files moved</v>
      </c>
      <c r="G968" s="6" t="s">
        <v>1747</v>
      </c>
      <c r="H968" s="1" t="s">
        <v>1748</v>
      </c>
    </row>
    <row r="969" spans="1:8" x14ac:dyDescent="0.2">
      <c r="A969" s="5">
        <v>45663.394590891199</v>
      </c>
      <c r="B969" s="1" t="s">
        <v>45</v>
      </c>
      <c r="C969" s="1">
        <v>2024</v>
      </c>
      <c r="D969" s="1" t="s">
        <v>302</v>
      </c>
      <c r="E969" s="6" t="s">
        <v>1749</v>
      </c>
      <c r="F969" s="7" t="str">
        <f>HYPERLINK("https://drive.google.com/open?id=1WOu53emjYl9MgCM11eFHkgxwdHlBm2Xz","1 files moved")</f>
        <v>1 files moved</v>
      </c>
      <c r="G969" s="6" t="s">
        <v>1750</v>
      </c>
      <c r="H969" s="1" t="s">
        <v>1751</v>
      </c>
    </row>
    <row r="970" spans="1:8" x14ac:dyDescent="0.2">
      <c r="A970" s="5">
        <v>45663.429472696764</v>
      </c>
      <c r="B970" s="1" t="s">
        <v>70</v>
      </c>
      <c r="C970" s="1">
        <v>2024</v>
      </c>
      <c r="D970" s="1" t="s">
        <v>302</v>
      </c>
      <c r="E970" s="6" t="s">
        <v>1752</v>
      </c>
      <c r="F970" s="7" t="str">
        <f>HYPERLINK("https://drive.google.com/open?id=1tJPwF2su0hso4TETThLNHI9_S0dJdbLl","1 files moved")</f>
        <v>1 files moved</v>
      </c>
      <c r="G970" s="6" t="s">
        <v>1753</v>
      </c>
      <c r="H970" s="1" t="s">
        <v>1754</v>
      </c>
    </row>
    <row r="971" spans="1:8" x14ac:dyDescent="0.2">
      <c r="A971" s="5">
        <v>45663.433503344902</v>
      </c>
      <c r="B971" s="1" t="s">
        <v>22</v>
      </c>
      <c r="C971" s="1">
        <v>2024</v>
      </c>
      <c r="D971" s="1" t="s">
        <v>302</v>
      </c>
      <c r="E971" s="6" t="s">
        <v>1755</v>
      </c>
      <c r="F971" s="7" t="str">
        <f>HYPERLINK("https://drive.google.com/open?id=1WAbmR1kP-K3GSrnpnC5igzsk9XdBZPD_","1 files moved")</f>
        <v>1 files moved</v>
      </c>
      <c r="G971" s="6" t="s">
        <v>1756</v>
      </c>
      <c r="H971" s="1" t="s">
        <v>1757</v>
      </c>
    </row>
    <row r="972" spans="1:8" x14ac:dyDescent="0.2">
      <c r="A972" s="5">
        <v>45663.448613831017</v>
      </c>
      <c r="B972" s="1" t="s">
        <v>112</v>
      </c>
      <c r="C972" s="1">
        <v>2024</v>
      </c>
      <c r="D972" s="1" t="s">
        <v>302</v>
      </c>
      <c r="E972" s="6" t="s">
        <v>1758</v>
      </c>
      <c r="F972" s="7" t="str">
        <f>HYPERLINK("https://drive.google.com/open?id=1bgfFevr_vWoS1TUMY9H3d79cj9SEs5AT","1 files moved")</f>
        <v>1 files moved</v>
      </c>
      <c r="G972" s="6" t="s">
        <v>1759</v>
      </c>
      <c r="H972" s="1" t="s">
        <v>1760</v>
      </c>
    </row>
    <row r="973" spans="1:8" x14ac:dyDescent="0.2">
      <c r="A973" s="5">
        <v>45663.449439027783</v>
      </c>
      <c r="B973" s="1" t="s">
        <v>1139</v>
      </c>
      <c r="C973" s="1">
        <v>2024</v>
      </c>
      <c r="D973" s="1" t="s">
        <v>302</v>
      </c>
      <c r="E973" s="6" t="s">
        <v>1761</v>
      </c>
      <c r="F973" s="7" t="str">
        <f>HYPERLINK("https://drive.google.com/open?id=1BTw6tbsd-8pzBcPd3Qgz7GdSqpJA1avM","1 files moved")</f>
        <v>1 files moved</v>
      </c>
      <c r="G973" s="6" t="s">
        <v>1762</v>
      </c>
      <c r="H973" s="1" t="s">
        <v>1763</v>
      </c>
    </row>
    <row r="974" spans="1:8" x14ac:dyDescent="0.2">
      <c r="A974" s="5">
        <v>45663.451588460652</v>
      </c>
      <c r="B974" s="1" t="s">
        <v>330</v>
      </c>
      <c r="C974" s="1">
        <v>2024</v>
      </c>
      <c r="D974" s="1" t="s">
        <v>302</v>
      </c>
      <c r="E974" s="6" t="s">
        <v>1764</v>
      </c>
      <c r="F974" s="7" t="str">
        <f>HYPERLINK("https://drive.google.com/open?id=1jgWFJ1Rnlmfp-xLJYcsceHq4Kj-jmyCy","1 files moved")</f>
        <v>1 files moved</v>
      </c>
      <c r="G974" s="6" t="s">
        <v>1765</v>
      </c>
      <c r="H974" s="1" t="s">
        <v>1766</v>
      </c>
    </row>
    <row r="975" spans="1:8" x14ac:dyDescent="0.2">
      <c r="A975" s="5">
        <v>45663.459267222221</v>
      </c>
      <c r="B975" s="1" t="s">
        <v>464</v>
      </c>
      <c r="C975" s="1">
        <v>2024</v>
      </c>
      <c r="D975" s="1" t="s">
        <v>302</v>
      </c>
      <c r="E975" s="6" t="s">
        <v>1767</v>
      </c>
      <c r="F975" s="7" t="str">
        <f>HYPERLINK("https://drive.google.com/open?id=1sNh5fA93l5peYz5IJKZGEClKmxdv9dcX","1 files moved")</f>
        <v>1 files moved</v>
      </c>
      <c r="G975" s="6" t="s">
        <v>1768</v>
      </c>
      <c r="H975" s="1" t="s">
        <v>1769</v>
      </c>
    </row>
    <row r="976" spans="1:8" x14ac:dyDescent="0.2">
      <c r="A976" s="5">
        <v>45663.461377164349</v>
      </c>
      <c r="B976" s="1" t="s">
        <v>39</v>
      </c>
      <c r="C976" s="1">
        <v>2024</v>
      </c>
      <c r="D976" s="1" t="s">
        <v>302</v>
      </c>
      <c r="E976" s="6" t="s">
        <v>1770</v>
      </c>
      <c r="F976" s="7" t="str">
        <f>HYPERLINK("https://drive.google.com/open?id=1BZohlpYH-tCf-m6ifXipKqyT42Gbzhkv","1 files moved")</f>
        <v>1 files moved</v>
      </c>
      <c r="G976" s="6" t="s">
        <v>1771</v>
      </c>
      <c r="H976" s="1" t="s">
        <v>1772</v>
      </c>
    </row>
    <row r="977" spans="1:8" x14ac:dyDescent="0.2">
      <c r="A977" s="5">
        <v>45663.461771863425</v>
      </c>
      <c r="B977" s="1" t="s">
        <v>29</v>
      </c>
      <c r="C977" s="1">
        <v>2024</v>
      </c>
      <c r="D977" s="1" t="s">
        <v>302</v>
      </c>
      <c r="E977" s="6" t="s">
        <v>1773</v>
      </c>
      <c r="F977" s="7" t="str">
        <f>HYPERLINK("https://drive.google.com/open?id=1jO7SQkOk_xjZHSX78M31VKgg3Vt_d9Aw","1 files moved")</f>
        <v>1 files moved</v>
      </c>
      <c r="G977" s="6" t="s">
        <v>1774</v>
      </c>
      <c r="H977" s="1" t="s">
        <v>1775</v>
      </c>
    </row>
    <row r="978" spans="1:8" x14ac:dyDescent="0.2">
      <c r="A978" s="5">
        <v>45663.462224513889</v>
      </c>
      <c r="B978" s="1" t="s">
        <v>33</v>
      </c>
      <c r="C978" s="1">
        <v>2024</v>
      </c>
      <c r="D978" s="1" t="s">
        <v>302</v>
      </c>
      <c r="E978" s="6" t="s">
        <v>1776</v>
      </c>
      <c r="F978" s="7" t="str">
        <f>HYPERLINK("https://drive.google.com/open?id=1vt-BVSJOLHBIrsp9094dDz7aTxUYbXOd","1 files moved")</f>
        <v>1 files moved</v>
      </c>
      <c r="G978" s="6" t="s">
        <v>1777</v>
      </c>
      <c r="H978" s="1" t="s">
        <v>1778</v>
      </c>
    </row>
    <row r="979" spans="1:8" x14ac:dyDescent="0.2">
      <c r="A979" s="5">
        <v>45663.467946782403</v>
      </c>
      <c r="B979" s="1" t="s">
        <v>969</v>
      </c>
      <c r="C979" s="1">
        <v>2024</v>
      </c>
      <c r="D979" s="1" t="s">
        <v>302</v>
      </c>
      <c r="E979" s="6" t="s">
        <v>1779</v>
      </c>
      <c r="F979" s="7" t="str">
        <f>HYPERLINK("https://drive.google.com/open?id=1jjaZ6sBJ-rgFFoV-a9VrKbvqiPbqOcgX","1 files moved")</f>
        <v>1 files moved</v>
      </c>
      <c r="G979" s="6" t="s">
        <v>1780</v>
      </c>
      <c r="H979" s="1" t="s">
        <v>1781</v>
      </c>
    </row>
    <row r="980" spans="1:8" x14ac:dyDescent="0.2">
      <c r="A980" s="5">
        <v>45663.514813136571</v>
      </c>
      <c r="B980" s="1" t="s">
        <v>43</v>
      </c>
      <c r="C980" s="1">
        <v>2024</v>
      </c>
      <c r="D980" s="1" t="s">
        <v>302</v>
      </c>
      <c r="E980" s="6" t="s">
        <v>1782</v>
      </c>
      <c r="F980" s="7" t="str">
        <f>HYPERLINK("https://drive.google.com/open?id=1V4TGvz085_QBAvEUyDaeNyMolr93zOZK","1 files moved")</f>
        <v>1 files moved</v>
      </c>
      <c r="G980" s="6" t="s">
        <v>1783</v>
      </c>
      <c r="H980" s="1" t="s">
        <v>1784</v>
      </c>
    </row>
    <row r="981" spans="1:8" x14ac:dyDescent="0.2">
      <c r="A981" s="5">
        <v>45663.514863749995</v>
      </c>
      <c r="B981" s="1" t="s">
        <v>666</v>
      </c>
      <c r="C981" s="1">
        <v>2024</v>
      </c>
      <c r="D981" s="1" t="s">
        <v>302</v>
      </c>
      <c r="E981" s="6" t="s">
        <v>1785</v>
      </c>
      <c r="F981" s="7" t="str">
        <f>HYPERLINK("https://drive.google.com/open?id=1V9JxAml7o3RDV4BK_aYYG2UrIwxiEXjP","1 files moved")</f>
        <v>1 files moved</v>
      </c>
      <c r="G981" s="6" t="s">
        <v>1786</v>
      </c>
      <c r="H981" s="1" t="s">
        <v>1787</v>
      </c>
    </row>
    <row r="982" spans="1:8" x14ac:dyDescent="0.2">
      <c r="A982" s="5">
        <v>45664.324299398148</v>
      </c>
      <c r="B982" s="1" t="s">
        <v>16</v>
      </c>
      <c r="C982" s="1">
        <v>2024</v>
      </c>
      <c r="D982" s="1" t="s">
        <v>302</v>
      </c>
      <c r="E982" s="6" t="s">
        <v>1788</v>
      </c>
      <c r="F982" s="7" t="str">
        <f>HYPERLINK("https://drive.google.com/open?id=1YNQBM17-ejVScp5nWkNR2hYKrlehzOCe","1 files moved")</f>
        <v>1 files moved</v>
      </c>
      <c r="G982" s="6" t="s">
        <v>1789</v>
      </c>
      <c r="H982" s="1" t="s">
        <v>1790</v>
      </c>
    </row>
    <row r="983" spans="1:8" x14ac:dyDescent="0.2">
      <c r="A983" s="5">
        <v>45664.347506006947</v>
      </c>
      <c r="B983" s="1" t="s">
        <v>397</v>
      </c>
      <c r="C983" s="1">
        <v>2024</v>
      </c>
      <c r="D983" s="1" t="s">
        <v>302</v>
      </c>
      <c r="E983" s="6" t="s">
        <v>1791</v>
      </c>
      <c r="F983" s="7" t="str">
        <f>HYPERLINK("https://drive.google.com/open?id=11skWmlW9bg1I5Y0qbtAwiD9dgHdxhUYl","1 files moved")</f>
        <v>1 files moved</v>
      </c>
      <c r="G983" s="6" t="s">
        <v>1792</v>
      </c>
      <c r="H983" s="1" t="s">
        <v>1793</v>
      </c>
    </row>
    <row r="984" spans="1:8" x14ac:dyDescent="0.2">
      <c r="A984" s="5">
        <v>45664.34921320602</v>
      </c>
      <c r="B984" s="1" t="s">
        <v>35</v>
      </c>
      <c r="C984" s="1">
        <v>2024</v>
      </c>
      <c r="D984" s="1" t="s">
        <v>302</v>
      </c>
      <c r="E984" s="6" t="s">
        <v>1794</v>
      </c>
      <c r="F984" s="7" t="str">
        <f>HYPERLINK("https://drive.google.com/open?id=1p9rKdY4QkNWIsmYys86EoZpuyIpPfpst","1 files moved")</f>
        <v>1 files moved</v>
      </c>
      <c r="G984" s="6" t="s">
        <v>1795</v>
      </c>
      <c r="H984" s="1" t="s">
        <v>1796</v>
      </c>
    </row>
    <row r="985" spans="1:8" x14ac:dyDescent="0.2">
      <c r="A985" s="5">
        <v>45664.378874780094</v>
      </c>
      <c r="B985" s="1" t="s">
        <v>68</v>
      </c>
      <c r="C985" s="1">
        <v>2024</v>
      </c>
      <c r="D985" s="1" t="s">
        <v>302</v>
      </c>
      <c r="E985" s="6" t="s">
        <v>1797</v>
      </c>
      <c r="F985" s="7" t="str">
        <f>HYPERLINK("https://drive.google.com/open?id=1OV29wdO4ju235Dn_RfWfQvZfv8o_gJRA","1 files moved")</f>
        <v>1 files moved</v>
      </c>
      <c r="G985" s="6" t="s">
        <v>1798</v>
      </c>
      <c r="H985" s="1" t="s">
        <v>1799</v>
      </c>
    </row>
    <row r="986" spans="1:8" x14ac:dyDescent="0.2">
      <c r="A986" s="5">
        <v>45664.390935821764</v>
      </c>
      <c r="B986" s="1" t="s">
        <v>53</v>
      </c>
      <c r="C986" s="1">
        <v>2024</v>
      </c>
      <c r="D986" s="1" t="s">
        <v>302</v>
      </c>
      <c r="E986" s="6" t="s">
        <v>1800</v>
      </c>
      <c r="F986" s="7" t="str">
        <f>HYPERLINK("https://drive.google.com/open?id=1mgwi5IYuDSmdes063EGgEET4VIkt5Ge6","1 files moved")</f>
        <v>1 files moved</v>
      </c>
      <c r="G986" s="6" t="s">
        <v>1801</v>
      </c>
      <c r="H986" s="1" t="s">
        <v>1802</v>
      </c>
    </row>
    <row r="987" spans="1:8" x14ac:dyDescent="0.2">
      <c r="A987" s="5">
        <v>45664.571032650463</v>
      </c>
      <c r="B987" s="1" t="s">
        <v>686</v>
      </c>
      <c r="C987" s="1">
        <v>2024</v>
      </c>
      <c r="D987" s="1" t="s">
        <v>302</v>
      </c>
      <c r="E987" s="6" t="s">
        <v>1803</v>
      </c>
      <c r="F987" s="7" t="str">
        <f t="shared" ref="F987:F988" si="14">HYPERLINK("https://drive.google.com/open?id=1raKDx-uNeIvhNP7U_Rt7B4uGTAH17pUT","1 files moved")</f>
        <v>1 files moved</v>
      </c>
      <c r="G987" s="6" t="s">
        <v>1804</v>
      </c>
      <c r="H987" s="1" t="s">
        <v>1805</v>
      </c>
    </row>
    <row r="988" spans="1:8" x14ac:dyDescent="0.2">
      <c r="A988" s="5">
        <v>45664.571482326384</v>
      </c>
      <c r="B988" s="1" t="s">
        <v>686</v>
      </c>
      <c r="C988" s="1">
        <v>2024</v>
      </c>
      <c r="D988" s="1" t="s">
        <v>883</v>
      </c>
      <c r="E988" s="6" t="s">
        <v>1806</v>
      </c>
      <c r="F988" s="7" t="str">
        <f t="shared" si="14"/>
        <v>1 files moved</v>
      </c>
      <c r="G988" s="6" t="s">
        <v>1807</v>
      </c>
      <c r="H988" s="1" t="s">
        <v>1808</v>
      </c>
    </row>
    <row r="989" spans="1:8" x14ac:dyDescent="0.2">
      <c r="A989" s="5">
        <v>45664.58386042824</v>
      </c>
      <c r="B989" s="1" t="s">
        <v>47</v>
      </c>
      <c r="C989" s="1">
        <v>2024</v>
      </c>
      <c r="D989" s="1" t="s">
        <v>302</v>
      </c>
      <c r="E989" s="6" t="s">
        <v>1809</v>
      </c>
      <c r="F989" s="7" t="str">
        <f>HYPERLINK("https://drive.google.com/open?id=1pM9D8l1ep_C4D6kUFxAGlSX58S2gNWw7","1 files moved")</f>
        <v>1 files moved</v>
      </c>
      <c r="G989" s="6" t="s">
        <v>1810</v>
      </c>
      <c r="H989" s="1" t="s">
        <v>1811</v>
      </c>
    </row>
    <row r="990" spans="1:8" x14ac:dyDescent="0.2">
      <c r="A990" s="5">
        <v>45665.366914722224</v>
      </c>
      <c r="B990" s="1" t="s">
        <v>451</v>
      </c>
      <c r="C990" s="1">
        <v>2024</v>
      </c>
      <c r="D990" s="1" t="s">
        <v>302</v>
      </c>
      <c r="E990" s="6" t="s">
        <v>1812</v>
      </c>
      <c r="F990" s="7" t="str">
        <f>HYPERLINK("https://drive.google.com/open?id=1KIx1m7meHb5nobC5pXq7RhJanL49Yo2o","1 files moved")</f>
        <v>1 files moved</v>
      </c>
      <c r="G990" s="6" t="s">
        <v>1813</v>
      </c>
      <c r="H990" s="1" t="s">
        <v>1814</v>
      </c>
    </row>
    <row r="991" spans="1:8" x14ac:dyDescent="0.2">
      <c r="A991" s="5">
        <v>45665.667394178236</v>
      </c>
      <c r="B991" s="1" t="s">
        <v>66</v>
      </c>
      <c r="C991" s="1">
        <v>2024</v>
      </c>
      <c r="D991" s="1" t="s">
        <v>302</v>
      </c>
      <c r="E991" s="6" t="s">
        <v>1815</v>
      </c>
      <c r="F991" s="7" t="str">
        <f>HYPERLINK("https://drive.google.com/open?id=1km-qyuVgwan24VTfuBcnXv-a0gKCGit4","1 files moved")</f>
        <v>1 files moved</v>
      </c>
      <c r="G991" s="6" t="s">
        <v>1816</v>
      </c>
      <c r="H991" s="1" t="s">
        <v>1817</v>
      </c>
    </row>
    <row r="992" spans="1:8" x14ac:dyDescent="0.2">
      <c r="A992" s="5">
        <v>45666.388400474534</v>
      </c>
      <c r="B992" s="1" t="s">
        <v>24</v>
      </c>
      <c r="C992" s="1">
        <v>2024</v>
      </c>
      <c r="D992" s="1" t="s">
        <v>302</v>
      </c>
      <c r="E992" s="6" t="s">
        <v>1818</v>
      </c>
      <c r="F992" s="7" t="str">
        <f t="shared" ref="F992:F993" si="15">HYPERLINK("https://drive.google.com/open?id=1lAkCTSJDqjfWsuZxvLL2COI53gbRENb_","1 files moved")</f>
        <v>1 files moved</v>
      </c>
      <c r="G992" s="6" t="s">
        <v>1819</v>
      </c>
      <c r="H992" s="1" t="s">
        <v>1820</v>
      </c>
    </row>
    <row r="993" spans="1:8" x14ac:dyDescent="0.2">
      <c r="A993" s="5">
        <v>45666.38912190972</v>
      </c>
      <c r="B993" s="1" t="s">
        <v>24</v>
      </c>
      <c r="C993" s="1">
        <v>2024</v>
      </c>
      <c r="D993" s="1" t="s">
        <v>883</v>
      </c>
      <c r="E993" s="6" t="s">
        <v>1821</v>
      </c>
      <c r="F993" s="7" t="str">
        <f t="shared" si="15"/>
        <v>1 files moved</v>
      </c>
      <c r="G993" s="6" t="s">
        <v>1822</v>
      </c>
      <c r="H993" s="1" t="s">
        <v>1823</v>
      </c>
    </row>
    <row r="994" spans="1:8" x14ac:dyDescent="0.2">
      <c r="A994" s="5">
        <v>45666.601523634265</v>
      </c>
      <c r="B994" s="1" t="s">
        <v>29</v>
      </c>
      <c r="C994" s="1">
        <v>2024</v>
      </c>
      <c r="D994" s="1" t="s">
        <v>883</v>
      </c>
      <c r="E994" s="6" t="s">
        <v>1824</v>
      </c>
      <c r="F994" s="7" t="str">
        <f t="shared" ref="F994:F1000" si="16">HYPERLINK("https://drive.google.com/open?id=13pz8ig7FZe8-9FyXdab-7-PAjKoCAKLq","1 files moved")</f>
        <v>1 files moved</v>
      </c>
      <c r="G994" s="6" t="s">
        <v>1825</v>
      </c>
      <c r="H994" s="1" t="s">
        <v>1826</v>
      </c>
    </row>
    <row r="995" spans="1:8" x14ac:dyDescent="0.2">
      <c r="A995" s="5">
        <v>45666.601975104168</v>
      </c>
      <c r="B995" s="1" t="s">
        <v>33</v>
      </c>
      <c r="C995" s="1">
        <v>2024</v>
      </c>
      <c r="D995" s="1" t="s">
        <v>883</v>
      </c>
      <c r="E995" s="6" t="s">
        <v>1827</v>
      </c>
      <c r="F995" s="7" t="str">
        <f t="shared" si="16"/>
        <v>1 files moved</v>
      </c>
      <c r="G995" s="6" t="s">
        <v>1828</v>
      </c>
      <c r="H995" s="1" t="s">
        <v>1829</v>
      </c>
    </row>
    <row r="996" spans="1:8" x14ac:dyDescent="0.2">
      <c r="A996" s="5">
        <v>45667.372434861114</v>
      </c>
      <c r="B996" s="1" t="s">
        <v>11</v>
      </c>
      <c r="C996" s="1">
        <v>2024</v>
      </c>
      <c r="D996" s="1" t="s">
        <v>883</v>
      </c>
      <c r="E996" s="6" t="s">
        <v>1830</v>
      </c>
      <c r="F996" s="7" t="str">
        <f t="shared" si="16"/>
        <v>1 files moved</v>
      </c>
      <c r="G996" s="6" t="s">
        <v>1831</v>
      </c>
      <c r="H996" s="1" t="s">
        <v>1832</v>
      </c>
    </row>
    <row r="997" spans="1:8" x14ac:dyDescent="0.2">
      <c r="A997" s="5">
        <v>45667.372765081018</v>
      </c>
      <c r="B997" s="1" t="s">
        <v>11</v>
      </c>
      <c r="C997" s="1">
        <v>2024</v>
      </c>
      <c r="D997" s="1" t="s">
        <v>883</v>
      </c>
      <c r="E997" s="6" t="s">
        <v>1833</v>
      </c>
      <c r="F997" s="7" t="str">
        <f t="shared" si="16"/>
        <v>1 files moved</v>
      </c>
      <c r="G997" s="6" t="s">
        <v>1834</v>
      </c>
      <c r="H997" s="1" t="s">
        <v>1835</v>
      </c>
    </row>
    <row r="998" spans="1:8" x14ac:dyDescent="0.2">
      <c r="A998" s="5">
        <v>45667.376325925929</v>
      </c>
      <c r="B998" s="1" t="s">
        <v>11</v>
      </c>
      <c r="C998" s="1">
        <v>2024</v>
      </c>
      <c r="D998" s="1" t="s">
        <v>883</v>
      </c>
      <c r="E998" s="6" t="s">
        <v>1836</v>
      </c>
      <c r="F998" s="7" t="str">
        <f t="shared" si="16"/>
        <v>1 files moved</v>
      </c>
      <c r="G998" s="6" t="s">
        <v>1837</v>
      </c>
      <c r="H998" s="1" t="s">
        <v>1838</v>
      </c>
    </row>
    <row r="999" spans="1:8" x14ac:dyDescent="0.2">
      <c r="A999" s="5">
        <v>45667.378597986113</v>
      </c>
      <c r="B999" s="1" t="s">
        <v>56</v>
      </c>
      <c r="C999" s="1">
        <v>2024</v>
      </c>
      <c r="D999" s="1" t="s">
        <v>883</v>
      </c>
      <c r="E999" s="6" t="s">
        <v>1839</v>
      </c>
      <c r="F999" s="7" t="str">
        <f t="shared" si="16"/>
        <v>1 files moved</v>
      </c>
      <c r="G999" s="6" t="s">
        <v>1840</v>
      </c>
      <c r="H999" s="1" t="s">
        <v>1841</v>
      </c>
    </row>
    <row r="1000" spans="1:8" x14ac:dyDescent="0.2">
      <c r="A1000" s="5">
        <v>45667.378887395833</v>
      </c>
      <c r="B1000" s="1" t="s">
        <v>56</v>
      </c>
      <c r="C1000" s="1">
        <v>2024</v>
      </c>
      <c r="D1000" s="1" t="s">
        <v>883</v>
      </c>
      <c r="E1000" s="6" t="s">
        <v>1842</v>
      </c>
      <c r="F1000" s="7" t="str">
        <f t="shared" si="16"/>
        <v>1 files moved</v>
      </c>
      <c r="G1000" s="6" t="s">
        <v>1843</v>
      </c>
      <c r="H1000" s="1" t="s">
        <v>1844</v>
      </c>
    </row>
    <row r="1001" spans="1:8" x14ac:dyDescent="0.2">
      <c r="A1001" s="5">
        <v>45667.681125046292</v>
      </c>
      <c r="B1001" s="1" t="s">
        <v>22</v>
      </c>
      <c r="C1001" s="1">
        <v>2024</v>
      </c>
      <c r="D1001" s="1" t="s">
        <v>883</v>
      </c>
      <c r="E1001" s="6" t="s">
        <v>1845</v>
      </c>
      <c r="G1001" s="6" t="s">
        <v>1846</v>
      </c>
      <c r="H1001" s="1" t="s">
        <v>1847</v>
      </c>
    </row>
    <row r="1002" spans="1:8" x14ac:dyDescent="0.2">
      <c r="A1002" s="5">
        <v>45672.421200937504</v>
      </c>
      <c r="B1002" s="1" t="s">
        <v>68</v>
      </c>
      <c r="C1002" s="1">
        <v>2024</v>
      </c>
      <c r="D1002" s="1" t="s">
        <v>883</v>
      </c>
      <c r="E1002" s="6" t="s">
        <v>1848</v>
      </c>
      <c r="F1002" s="7" t="str">
        <f>HYPERLINK("https://drive.google.com/open?id=1OV29wdO4ju235Dn_RfWfQvZfv8o_gJRA","1 files moved")</f>
        <v>1 files moved</v>
      </c>
      <c r="G1002" s="6" t="s">
        <v>1849</v>
      </c>
      <c r="H1002" s="1" t="s">
        <v>1850</v>
      </c>
    </row>
    <row r="1003" spans="1:8" x14ac:dyDescent="0.2">
      <c r="A1003" s="5">
        <v>45672.421635694445</v>
      </c>
      <c r="B1003" s="1" t="s">
        <v>39</v>
      </c>
      <c r="C1003" s="1">
        <v>2024</v>
      </c>
      <c r="D1003" s="1" t="s">
        <v>883</v>
      </c>
      <c r="E1003" s="6" t="s">
        <v>1851</v>
      </c>
      <c r="F1003" s="7" t="str">
        <f>HYPERLINK("https://drive.google.com/open?id=1BZohlpYH-tCf-m6ifXipKqyT42Gbzhkv","1 files moved")</f>
        <v>1 files moved</v>
      </c>
      <c r="G1003" s="6" t="s">
        <v>1852</v>
      </c>
      <c r="H1003" s="1" t="s">
        <v>1853</v>
      </c>
    </row>
    <row r="1004" spans="1:8" x14ac:dyDescent="0.2">
      <c r="A1004" s="5">
        <v>45677.31281019676</v>
      </c>
      <c r="B1004" s="1" t="s">
        <v>8</v>
      </c>
      <c r="C1004" s="1">
        <v>2024</v>
      </c>
      <c r="D1004" s="1" t="s">
        <v>302</v>
      </c>
      <c r="E1004" s="6" t="s">
        <v>1854</v>
      </c>
      <c r="F1004" s="7" t="str">
        <f t="shared" ref="F1004:F1005" si="17">HYPERLINK("https://drive.google.com/open?id=1RzBx4e3LIUFyXvV8TKxHGhvZPq7MCFk3","1 files moved")</f>
        <v>1 files moved</v>
      </c>
      <c r="G1004" s="6" t="s">
        <v>1855</v>
      </c>
      <c r="H1004" s="1" t="s">
        <v>1856</v>
      </c>
    </row>
    <row r="1005" spans="1:8" x14ac:dyDescent="0.2">
      <c r="A1005" s="5">
        <v>45677.325803645828</v>
      </c>
      <c r="B1005" s="1" t="s">
        <v>8</v>
      </c>
      <c r="C1005" s="1">
        <v>2024</v>
      </c>
      <c r="D1005" s="1" t="s">
        <v>883</v>
      </c>
      <c r="E1005" s="6" t="s">
        <v>1857</v>
      </c>
      <c r="F1005" s="7" t="str">
        <f t="shared" si="17"/>
        <v>1 files moved</v>
      </c>
      <c r="G1005" s="6" t="s">
        <v>1858</v>
      </c>
      <c r="H1005" s="1" t="s">
        <v>1859</v>
      </c>
    </row>
    <row r="1006" spans="1:8" x14ac:dyDescent="0.2">
      <c r="A1006" s="5">
        <v>45677.34440144676</v>
      </c>
      <c r="B1006" s="1" t="s">
        <v>76</v>
      </c>
      <c r="C1006" s="1">
        <v>2024</v>
      </c>
      <c r="D1006" s="1" t="s">
        <v>302</v>
      </c>
      <c r="E1006" s="6" t="s">
        <v>1860</v>
      </c>
      <c r="F1006" s="7" t="str">
        <f t="shared" ref="F1006:F1007" si="18">HYPERLINK("https://drive.google.com/open?id=1YKXc634Hd6ivOmY-kuk_dNKkhypgkHlR","1 files moved")</f>
        <v>1 files moved</v>
      </c>
      <c r="G1006" s="6" t="s">
        <v>1861</v>
      </c>
      <c r="H1006" s="1" t="s">
        <v>1862</v>
      </c>
    </row>
    <row r="1007" spans="1:8" x14ac:dyDescent="0.2">
      <c r="A1007" s="5">
        <v>45677.346200173612</v>
      </c>
      <c r="B1007" s="1" t="s">
        <v>76</v>
      </c>
      <c r="C1007" s="1">
        <v>2024</v>
      </c>
      <c r="D1007" s="1" t="s">
        <v>883</v>
      </c>
      <c r="E1007" s="6" t="s">
        <v>1863</v>
      </c>
      <c r="F1007" s="7" t="str">
        <f t="shared" si="18"/>
        <v>1 files moved</v>
      </c>
      <c r="G1007" s="6" t="s">
        <v>1864</v>
      </c>
      <c r="H1007" s="1" t="s">
        <v>1865</v>
      </c>
    </row>
    <row r="1008" spans="1:8" x14ac:dyDescent="0.2">
      <c r="A1008" s="5">
        <v>45678.620144780092</v>
      </c>
      <c r="B1008" s="1" t="s">
        <v>112</v>
      </c>
      <c r="C1008" s="1">
        <v>2024</v>
      </c>
      <c r="D1008" s="1" t="s">
        <v>1866</v>
      </c>
      <c r="E1008" s="6" t="s">
        <v>1867</v>
      </c>
      <c r="F1008" s="7" t="str">
        <f>HYPERLINK("https://drive.google.com/open?id=1bgfFevr_vWoS1TUMY9H3d79cj9SEs5AT","1 files moved")</f>
        <v>1 files moved</v>
      </c>
      <c r="G1008" s="6" t="s">
        <v>1868</v>
      </c>
      <c r="H1008" s="1" t="s">
        <v>1869</v>
      </c>
    </row>
    <row r="1009" spans="1:8" x14ac:dyDescent="0.2">
      <c r="A1009" s="5">
        <v>45678.621382824072</v>
      </c>
      <c r="B1009" s="1" t="s">
        <v>27</v>
      </c>
      <c r="C1009" s="1">
        <v>2024</v>
      </c>
      <c r="D1009" s="1" t="s">
        <v>1866</v>
      </c>
      <c r="E1009" s="6" t="s">
        <v>1870</v>
      </c>
      <c r="F1009" s="7" t="str">
        <f>HYPERLINK("https://drive.google.com/open?id=1bGJWCN7-bZQSl3cMCCd4KJRrHz1r1jve","1 files moved")</f>
        <v>1 files moved</v>
      </c>
      <c r="G1009" s="6" t="s">
        <v>1871</v>
      </c>
      <c r="H1009" s="1" t="s">
        <v>1872</v>
      </c>
    </row>
    <row r="1010" spans="1:8" x14ac:dyDescent="0.2">
      <c r="A1010" s="5">
        <v>45678.622105439819</v>
      </c>
      <c r="B1010" s="1" t="s">
        <v>1873</v>
      </c>
      <c r="C1010" s="1">
        <v>2024</v>
      </c>
      <c r="D1010" s="1" t="s">
        <v>302</v>
      </c>
      <c r="E1010" s="6" t="s">
        <v>1874</v>
      </c>
      <c r="F1010" s="7" t="str">
        <f>HYPERLINK("https://drive.google.com/open?id=1YX2RL83pvfGKIcbWPzS6tyrz6pE7_IDy","1 files moved")</f>
        <v>1 files moved</v>
      </c>
      <c r="G1010" s="6" t="s">
        <v>1875</v>
      </c>
      <c r="H1010" s="1" t="s">
        <v>1876</v>
      </c>
    </row>
    <row r="1011" spans="1:8" x14ac:dyDescent="0.2">
      <c r="A1011" s="5">
        <v>45678.622383136579</v>
      </c>
      <c r="B1011" s="1" t="s">
        <v>451</v>
      </c>
      <c r="C1011" s="1">
        <v>2024</v>
      </c>
      <c r="D1011" s="1" t="s">
        <v>1866</v>
      </c>
      <c r="E1011" s="6" t="s">
        <v>1877</v>
      </c>
      <c r="F1011" s="7" t="str">
        <f>HYPERLINK("https://drive.google.com/open?id=1KIx1m7meHb5nobC5pXq7RhJanL49Yo2o","1 files moved")</f>
        <v>1 files moved</v>
      </c>
      <c r="G1011" s="6" t="s">
        <v>1878</v>
      </c>
      <c r="H1011" s="1" t="s">
        <v>1879</v>
      </c>
    </row>
    <row r="1012" spans="1:8" x14ac:dyDescent="0.2">
      <c r="A1012" s="5">
        <v>45678.622548194442</v>
      </c>
      <c r="B1012" s="1" t="s">
        <v>464</v>
      </c>
      <c r="C1012" s="1">
        <v>2024</v>
      </c>
      <c r="D1012" s="1" t="s">
        <v>1866</v>
      </c>
      <c r="E1012" s="6" t="s">
        <v>1880</v>
      </c>
      <c r="F1012" s="7" t="str">
        <f t="shared" ref="F1012:F1014" si="19">HYPERLINK("https://drive.google.com/open?id=1sNh5fA93l5peYz5IJKZGEClKmxdv9dcX","1 files moved")</f>
        <v>1 files moved</v>
      </c>
      <c r="G1012" s="6" t="s">
        <v>1881</v>
      </c>
      <c r="H1012" s="1" t="s">
        <v>1882</v>
      </c>
    </row>
    <row r="1013" spans="1:8" x14ac:dyDescent="0.2">
      <c r="A1013" s="5">
        <v>45678.622974583333</v>
      </c>
      <c r="B1013" s="1" t="s">
        <v>464</v>
      </c>
      <c r="C1013" s="1">
        <v>2024</v>
      </c>
      <c r="D1013" s="1" t="s">
        <v>883</v>
      </c>
      <c r="E1013" s="6" t="s">
        <v>1883</v>
      </c>
      <c r="F1013" s="7" t="str">
        <f t="shared" si="19"/>
        <v>1 files moved</v>
      </c>
      <c r="G1013" s="6" t="s">
        <v>1884</v>
      </c>
      <c r="H1013" s="1" t="s">
        <v>1885</v>
      </c>
    </row>
    <row r="1014" spans="1:8" x14ac:dyDescent="0.2">
      <c r="A1014" s="5">
        <v>45678.623532858794</v>
      </c>
      <c r="B1014" s="1" t="s">
        <v>464</v>
      </c>
      <c r="C1014" s="1">
        <v>2024</v>
      </c>
      <c r="D1014" s="1" t="s">
        <v>883</v>
      </c>
      <c r="E1014" s="6" t="s">
        <v>1886</v>
      </c>
      <c r="F1014" s="7" t="str">
        <f t="shared" si="19"/>
        <v>1 files moved</v>
      </c>
      <c r="G1014" s="6" t="s">
        <v>1887</v>
      </c>
      <c r="H1014" s="1" t="s">
        <v>1888</v>
      </c>
    </row>
    <row r="1015" spans="1:8" x14ac:dyDescent="0.2">
      <c r="A1015" s="5">
        <v>45678.623781793984</v>
      </c>
      <c r="B1015" s="1" t="s">
        <v>1873</v>
      </c>
      <c r="C1015" s="1">
        <v>2024</v>
      </c>
      <c r="D1015" s="1" t="s">
        <v>1866</v>
      </c>
      <c r="E1015" s="6" t="s">
        <v>1889</v>
      </c>
      <c r="F1015" s="7" t="str">
        <f t="shared" ref="F1015:F1016" si="20">HYPERLINK("https://drive.google.com/open?id=1YX2RL83pvfGKIcbWPzS6tyrz6pE7_IDy","1 files moved")</f>
        <v>1 files moved</v>
      </c>
      <c r="G1015" s="6" t="s">
        <v>1890</v>
      </c>
      <c r="H1015" s="1" t="s">
        <v>1891</v>
      </c>
    </row>
    <row r="1016" spans="1:8" x14ac:dyDescent="0.2">
      <c r="A1016" s="5">
        <v>45678.624277233801</v>
      </c>
      <c r="B1016" s="1" t="s">
        <v>1873</v>
      </c>
      <c r="C1016" s="1">
        <v>2024</v>
      </c>
      <c r="D1016" s="1" t="s">
        <v>883</v>
      </c>
      <c r="E1016" s="6" t="s">
        <v>1892</v>
      </c>
      <c r="F1016" s="7" t="str">
        <f t="shared" si="20"/>
        <v>1 files moved</v>
      </c>
      <c r="G1016" s="6" t="s">
        <v>1893</v>
      </c>
      <c r="H1016" s="1" t="s">
        <v>1894</v>
      </c>
    </row>
    <row r="1017" spans="1:8" x14ac:dyDescent="0.2">
      <c r="A1017" s="5">
        <v>45678.624304780096</v>
      </c>
      <c r="B1017" s="1" t="s">
        <v>112</v>
      </c>
      <c r="C1017" s="1">
        <v>2024</v>
      </c>
      <c r="D1017" s="1" t="s">
        <v>1866</v>
      </c>
      <c r="E1017" s="6" t="s">
        <v>1895</v>
      </c>
      <c r="F1017" s="7" t="str">
        <f>HYPERLINK("https://drive.google.com/open?id=1bgfFevr_vWoS1TUMY9H3d79cj9SEs5AT","1 files moved")</f>
        <v>1 files moved</v>
      </c>
      <c r="G1017" s="6" t="s">
        <v>1896</v>
      </c>
      <c r="H1017" s="1" t="s">
        <v>1897</v>
      </c>
    </row>
    <row r="1018" spans="1:8" x14ac:dyDescent="0.2">
      <c r="A1018" s="5">
        <v>45678.625929155096</v>
      </c>
      <c r="B1018" s="1" t="s">
        <v>27</v>
      </c>
      <c r="C1018" s="1">
        <v>2024</v>
      </c>
      <c r="D1018" s="1" t="s">
        <v>1866</v>
      </c>
      <c r="E1018" s="6" t="s">
        <v>1898</v>
      </c>
      <c r="F1018" s="7" t="str">
        <f>HYPERLINK("https://drive.google.com/open?id=1bGJWCN7-bZQSl3cMCCd4KJRrHz1r1jve","1 files moved")</f>
        <v>1 files moved</v>
      </c>
      <c r="G1018" s="6" t="s">
        <v>1899</v>
      </c>
      <c r="H1018" s="1" t="s">
        <v>1900</v>
      </c>
    </row>
    <row r="1019" spans="1:8" x14ac:dyDescent="0.2">
      <c r="A1019" s="5">
        <v>45678.625931944443</v>
      </c>
      <c r="B1019" s="1" t="s">
        <v>62</v>
      </c>
      <c r="C1019" s="1">
        <v>2024</v>
      </c>
      <c r="D1019" s="1" t="s">
        <v>1866</v>
      </c>
      <c r="E1019" s="6" t="s">
        <v>1901</v>
      </c>
      <c r="F1019" s="7" t="str">
        <f>HYPERLINK("https://drive.google.com/open?id=1CSWuwAcjfOUkpFz17anJSHXpLD9oH9ta","1 files moved")</f>
        <v>1 files moved</v>
      </c>
      <c r="G1019" s="6" t="s">
        <v>1902</v>
      </c>
      <c r="H1019" s="1" t="s">
        <v>1903</v>
      </c>
    </row>
    <row r="1020" spans="1:8" x14ac:dyDescent="0.2">
      <c r="A1020" s="5">
        <v>45678.626554560185</v>
      </c>
      <c r="B1020" s="1" t="s">
        <v>27</v>
      </c>
      <c r="C1020" s="1">
        <v>2024</v>
      </c>
      <c r="D1020" s="1" t="s">
        <v>1866</v>
      </c>
      <c r="E1020" s="6" t="s">
        <v>1904</v>
      </c>
      <c r="F1020" s="7" t="str">
        <f>HYPERLINK("https://drive.google.com/open?id=1bGJWCN7-bZQSl3cMCCd4KJRrHz1r1jve","1 files moved")</f>
        <v>1 files moved</v>
      </c>
      <c r="G1020" s="6" t="s">
        <v>1905</v>
      </c>
      <c r="H1020" s="1" t="s">
        <v>1906</v>
      </c>
    </row>
    <row r="1021" spans="1:8" x14ac:dyDescent="0.2">
      <c r="A1021" s="5">
        <v>45678.626847384265</v>
      </c>
      <c r="B1021" s="1" t="s">
        <v>62</v>
      </c>
      <c r="C1021" s="1">
        <v>2024</v>
      </c>
      <c r="D1021" s="1" t="s">
        <v>883</v>
      </c>
      <c r="E1021" s="6" t="s">
        <v>1907</v>
      </c>
      <c r="F1021" s="7" t="str">
        <f>HYPERLINK("https://drive.google.com/open?id=1CSWuwAcjfOUkpFz17anJSHXpLD9oH9ta","1 files moved")</f>
        <v>1 files moved</v>
      </c>
      <c r="G1021" s="6" t="s">
        <v>1908</v>
      </c>
      <c r="H1021" s="1" t="s">
        <v>1909</v>
      </c>
    </row>
    <row r="1022" spans="1:8" x14ac:dyDescent="0.2">
      <c r="A1022" s="5">
        <v>45678.628302118057</v>
      </c>
      <c r="B1022" s="1" t="s">
        <v>397</v>
      </c>
      <c r="C1022" s="1">
        <v>2025</v>
      </c>
      <c r="D1022" s="1" t="s">
        <v>883</v>
      </c>
      <c r="E1022" s="6" t="s">
        <v>1910</v>
      </c>
      <c r="F1022" s="7" t="str">
        <f t="shared" ref="F1022:F1023" si="21">HYPERLINK("https://drive.google.com/open?id=11skWmlW9bg1I5Y0qbtAwiD9dgHdxhUYl","1 files moved")</f>
        <v>1 files moved</v>
      </c>
      <c r="G1022" s="6" t="s">
        <v>1911</v>
      </c>
      <c r="H1022" s="1" t="s">
        <v>1912</v>
      </c>
    </row>
    <row r="1023" spans="1:8" x14ac:dyDescent="0.2">
      <c r="A1023" s="5">
        <v>45678.629086215282</v>
      </c>
      <c r="B1023" s="1" t="s">
        <v>397</v>
      </c>
      <c r="C1023" s="1">
        <v>2025</v>
      </c>
      <c r="D1023" s="1" t="s">
        <v>1866</v>
      </c>
      <c r="E1023" s="6" t="s">
        <v>1913</v>
      </c>
      <c r="F1023" s="7" t="str">
        <f t="shared" si="21"/>
        <v>1 files moved</v>
      </c>
      <c r="G1023" s="6" t="s">
        <v>1914</v>
      </c>
      <c r="H1023" s="1" t="s">
        <v>1915</v>
      </c>
    </row>
    <row r="1024" spans="1:8" x14ac:dyDescent="0.2">
      <c r="A1024" s="5">
        <v>45678.630209456023</v>
      </c>
      <c r="B1024" s="1" t="s">
        <v>70</v>
      </c>
      <c r="C1024" s="1">
        <v>2024</v>
      </c>
      <c r="D1024" s="1" t="s">
        <v>1866</v>
      </c>
      <c r="E1024" s="6" t="s">
        <v>1916</v>
      </c>
      <c r="F1024" s="7" t="str">
        <f t="shared" ref="F1024:F1025" si="22">HYPERLINK("https://drive.google.com/open?id=1tJPwF2su0hso4TETThLNHI9_S0dJdbLl","1 files moved")</f>
        <v>1 files moved</v>
      </c>
      <c r="G1024" s="6" t="s">
        <v>1917</v>
      </c>
      <c r="H1024" s="1" t="s">
        <v>1918</v>
      </c>
    </row>
    <row r="1025" spans="1:8" x14ac:dyDescent="0.2">
      <c r="A1025" s="5">
        <v>45678.63054298611</v>
      </c>
      <c r="B1025" s="1" t="s">
        <v>70</v>
      </c>
      <c r="C1025" s="1">
        <v>2024</v>
      </c>
      <c r="D1025" s="1" t="s">
        <v>1866</v>
      </c>
      <c r="E1025" s="6" t="s">
        <v>1919</v>
      </c>
      <c r="F1025" s="7" t="str">
        <f t="shared" si="22"/>
        <v>1 files moved</v>
      </c>
      <c r="G1025" s="6" t="s">
        <v>1920</v>
      </c>
      <c r="H1025" s="1" t="s">
        <v>1921</v>
      </c>
    </row>
    <row r="1026" spans="1:8" x14ac:dyDescent="0.2">
      <c r="A1026" s="5">
        <v>45678.631203159719</v>
      </c>
      <c r="B1026" s="1" t="s">
        <v>37</v>
      </c>
      <c r="C1026" s="1">
        <v>2024</v>
      </c>
      <c r="D1026" s="1" t="s">
        <v>1866</v>
      </c>
      <c r="E1026" s="6" t="s">
        <v>1922</v>
      </c>
      <c r="F1026" s="7" t="str">
        <f>HYPERLINK("https://drive.google.com/open?id=1qa1mLZHOuZIAKZUnYIblWo1lTS9NuBTm","1 files moved")</f>
        <v>1 files moved</v>
      </c>
      <c r="G1026" s="6" t="s">
        <v>1923</v>
      </c>
      <c r="H1026" s="1" t="s">
        <v>1924</v>
      </c>
    </row>
    <row r="1027" spans="1:8" x14ac:dyDescent="0.2">
      <c r="A1027" s="5">
        <v>45678.631537395835</v>
      </c>
      <c r="B1027" s="1" t="s">
        <v>39</v>
      </c>
      <c r="C1027" s="1">
        <v>2024</v>
      </c>
      <c r="D1027" s="1" t="s">
        <v>883</v>
      </c>
      <c r="E1027" s="6" t="s">
        <v>1925</v>
      </c>
      <c r="F1027" s="7" t="str">
        <f t="shared" ref="F1027:F1028" si="23">HYPERLINK("https://drive.google.com/open?id=1BZohlpYH-tCf-m6ifXipKqyT42Gbzhkv","1 files moved")</f>
        <v>1 files moved</v>
      </c>
      <c r="G1027" s="6" t="s">
        <v>1926</v>
      </c>
      <c r="H1027" s="1" t="s">
        <v>1927</v>
      </c>
    </row>
    <row r="1028" spans="1:8" x14ac:dyDescent="0.2">
      <c r="A1028" s="5">
        <v>45678.631960509258</v>
      </c>
      <c r="B1028" s="1" t="s">
        <v>39</v>
      </c>
      <c r="C1028" s="1">
        <v>2024</v>
      </c>
      <c r="D1028" s="1" t="s">
        <v>883</v>
      </c>
      <c r="E1028" s="6" t="s">
        <v>1928</v>
      </c>
      <c r="F1028" s="7" t="str">
        <f t="shared" si="23"/>
        <v>1 files moved</v>
      </c>
      <c r="G1028" s="6" t="s">
        <v>1929</v>
      </c>
      <c r="H1028" s="1" t="s">
        <v>1930</v>
      </c>
    </row>
    <row r="1029" spans="1:8" x14ac:dyDescent="0.2">
      <c r="A1029" s="5">
        <v>45678.632291365742</v>
      </c>
      <c r="B1029" s="1" t="s">
        <v>22</v>
      </c>
      <c r="C1029" s="1">
        <v>2024</v>
      </c>
      <c r="D1029" s="1" t="s">
        <v>883</v>
      </c>
      <c r="E1029" s="6" t="s">
        <v>1931</v>
      </c>
      <c r="F1029" s="7" t="str">
        <f>HYPERLINK("https://drive.google.com/open?id=1WAbmR1kP-K3GSrnpnC5igzsk9XdBZPD_","1 files moved")</f>
        <v>1 files moved</v>
      </c>
      <c r="G1029" s="6" t="s">
        <v>1932</v>
      </c>
      <c r="H1029" s="1" t="s">
        <v>1933</v>
      </c>
    </row>
    <row r="1030" spans="1:8" x14ac:dyDescent="0.2">
      <c r="A1030" s="5">
        <v>45678.63255318287</v>
      </c>
      <c r="B1030" s="1" t="s">
        <v>39</v>
      </c>
      <c r="C1030" s="1">
        <v>2024</v>
      </c>
      <c r="D1030" s="1" t="s">
        <v>883</v>
      </c>
      <c r="E1030" s="6" t="s">
        <v>1934</v>
      </c>
      <c r="F1030" s="7" t="str">
        <f>HYPERLINK("https://drive.google.com/open?id=1BZohlpYH-tCf-m6ifXipKqyT42Gbzhkv","1 files moved")</f>
        <v>1 files moved</v>
      </c>
      <c r="G1030" s="6" t="s">
        <v>1935</v>
      </c>
      <c r="H1030" s="1" t="s">
        <v>1936</v>
      </c>
    </row>
    <row r="1031" spans="1:8" x14ac:dyDescent="0.2">
      <c r="A1031" s="5">
        <v>45678.632770381941</v>
      </c>
      <c r="B1031" s="1" t="s">
        <v>66</v>
      </c>
      <c r="C1031" s="1">
        <v>2024</v>
      </c>
      <c r="D1031" s="1" t="s">
        <v>1866</v>
      </c>
      <c r="E1031" s="6" t="s">
        <v>1937</v>
      </c>
      <c r="G1031" s="6" t="s">
        <v>1938</v>
      </c>
      <c r="H1031" s="1" t="s">
        <v>1939</v>
      </c>
    </row>
    <row r="1032" spans="1:8" x14ac:dyDescent="0.2">
      <c r="A1032" s="5">
        <v>45678.633332546291</v>
      </c>
      <c r="B1032" s="1" t="s">
        <v>22</v>
      </c>
      <c r="C1032" s="1">
        <v>2024</v>
      </c>
      <c r="D1032" s="1" t="s">
        <v>1866</v>
      </c>
      <c r="E1032" s="6" t="s">
        <v>1940</v>
      </c>
      <c r="G1032" s="6" t="s">
        <v>1941</v>
      </c>
      <c r="H1032" s="1" t="s">
        <v>1942</v>
      </c>
    </row>
    <row r="1033" spans="1:8" x14ac:dyDescent="0.2">
      <c r="A1033" s="5">
        <v>45678.637742268518</v>
      </c>
      <c r="B1033" s="1" t="s">
        <v>29</v>
      </c>
      <c r="C1033" s="1">
        <v>2024</v>
      </c>
      <c r="D1033" s="1" t="s">
        <v>883</v>
      </c>
      <c r="E1033" s="6" t="s">
        <v>1943</v>
      </c>
      <c r="G1033" s="6" t="s">
        <v>1944</v>
      </c>
      <c r="H1033" s="1" t="s">
        <v>1945</v>
      </c>
    </row>
    <row r="1034" spans="1:8" x14ac:dyDescent="0.2">
      <c r="A1034" s="5">
        <v>45678.638170069447</v>
      </c>
      <c r="B1034" s="1" t="s">
        <v>29</v>
      </c>
      <c r="C1034" s="1">
        <v>2024</v>
      </c>
      <c r="D1034" s="1" t="s">
        <v>883</v>
      </c>
      <c r="E1034" s="6" t="s">
        <v>1946</v>
      </c>
      <c r="G1034" s="6" t="s">
        <v>1947</v>
      </c>
      <c r="H1034" s="1" t="s">
        <v>1948</v>
      </c>
    </row>
    <row r="1035" spans="1:8" x14ac:dyDescent="0.2">
      <c r="A1035" s="5">
        <v>45678.638565370369</v>
      </c>
      <c r="B1035" s="1" t="s">
        <v>29</v>
      </c>
      <c r="C1035" s="1">
        <v>2024</v>
      </c>
      <c r="D1035" s="1" t="s">
        <v>883</v>
      </c>
      <c r="E1035" s="6" t="s">
        <v>1949</v>
      </c>
      <c r="G1035" s="6" t="s">
        <v>1950</v>
      </c>
      <c r="H1035" s="1" t="s">
        <v>1951</v>
      </c>
    </row>
    <row r="1036" spans="1:8" x14ac:dyDescent="0.2">
      <c r="A1036" s="5">
        <v>45678.640216793981</v>
      </c>
      <c r="B1036" s="1" t="s">
        <v>33</v>
      </c>
      <c r="C1036" s="1">
        <v>2024</v>
      </c>
      <c r="D1036" s="1" t="s">
        <v>883</v>
      </c>
      <c r="E1036" s="6" t="s">
        <v>1952</v>
      </c>
      <c r="G1036" s="6" t="s">
        <v>1953</v>
      </c>
      <c r="H1036" s="1" t="s">
        <v>1954</v>
      </c>
    </row>
    <row r="1037" spans="1:8" x14ac:dyDescent="0.2">
      <c r="A1037" s="5">
        <v>45678.640614594908</v>
      </c>
      <c r="B1037" s="1" t="s">
        <v>33</v>
      </c>
      <c r="C1037" s="1">
        <v>2024</v>
      </c>
      <c r="D1037" s="1" t="s">
        <v>883</v>
      </c>
      <c r="E1037" s="6" t="s">
        <v>1955</v>
      </c>
      <c r="G1037" s="6" t="s">
        <v>1956</v>
      </c>
      <c r="H1037" s="1" t="s">
        <v>1957</v>
      </c>
    </row>
    <row r="1038" spans="1:8" x14ac:dyDescent="0.2">
      <c r="A1038" s="5">
        <v>45678.640983715275</v>
      </c>
      <c r="B1038" s="1" t="s">
        <v>33</v>
      </c>
      <c r="C1038" s="1">
        <v>2024</v>
      </c>
      <c r="D1038" s="1" t="s">
        <v>883</v>
      </c>
      <c r="E1038" s="6" t="s">
        <v>1958</v>
      </c>
      <c r="G1038" s="6" t="s">
        <v>1959</v>
      </c>
      <c r="H1038" s="1" t="s">
        <v>1960</v>
      </c>
    </row>
    <row r="1039" spans="1:8" x14ac:dyDescent="0.2">
      <c r="A1039" s="5">
        <v>45678.653079189811</v>
      </c>
      <c r="B1039" s="1" t="s">
        <v>969</v>
      </c>
      <c r="C1039" s="1">
        <v>2024</v>
      </c>
      <c r="D1039" s="1" t="s">
        <v>1866</v>
      </c>
      <c r="E1039" s="6" t="s">
        <v>1961</v>
      </c>
      <c r="G1039" s="6" t="s">
        <v>1962</v>
      </c>
      <c r="H1039" s="1" t="s">
        <v>1963</v>
      </c>
    </row>
    <row r="1040" spans="1:8" x14ac:dyDescent="0.2">
      <c r="A1040" s="5">
        <v>45678.656407141199</v>
      </c>
      <c r="B1040" s="1" t="s">
        <v>666</v>
      </c>
      <c r="C1040" s="1">
        <v>2024</v>
      </c>
      <c r="D1040" s="1" t="s">
        <v>1866</v>
      </c>
      <c r="E1040" s="6" t="s">
        <v>1964</v>
      </c>
      <c r="G1040" s="6" t="s">
        <v>1965</v>
      </c>
      <c r="H1040" s="1" t="s">
        <v>1966</v>
      </c>
    </row>
    <row r="1041" spans="1:8" x14ac:dyDescent="0.2">
      <c r="A1041" s="5">
        <v>45678.656792592592</v>
      </c>
      <c r="B1041" s="1" t="s">
        <v>666</v>
      </c>
      <c r="C1041" s="1">
        <v>2024</v>
      </c>
      <c r="D1041" s="1" t="s">
        <v>1866</v>
      </c>
      <c r="E1041" s="6" t="s">
        <v>1967</v>
      </c>
      <c r="G1041" s="6" t="s">
        <v>1968</v>
      </c>
      <c r="H1041" s="1" t="s">
        <v>1969</v>
      </c>
    </row>
    <row r="1042" spans="1:8" x14ac:dyDescent="0.2">
      <c r="A1042" s="5">
        <v>45678.664831550923</v>
      </c>
      <c r="B1042" s="1" t="s">
        <v>13</v>
      </c>
      <c r="C1042" s="1">
        <v>2024</v>
      </c>
      <c r="D1042" s="1" t="s">
        <v>1866</v>
      </c>
      <c r="E1042" s="6" t="s">
        <v>1970</v>
      </c>
      <c r="G1042" s="6" t="s">
        <v>1971</v>
      </c>
      <c r="H1042" s="1" t="s">
        <v>1972</v>
      </c>
    </row>
    <row r="1043" spans="1:8" x14ac:dyDescent="0.2">
      <c r="A1043" s="5">
        <v>45678.665559212968</v>
      </c>
      <c r="B1043" s="1" t="s">
        <v>13</v>
      </c>
      <c r="C1043" s="1">
        <v>2024</v>
      </c>
      <c r="D1043" s="1" t="s">
        <v>1866</v>
      </c>
      <c r="E1043" s="6" t="s">
        <v>1973</v>
      </c>
      <c r="G1043" s="6" t="s">
        <v>1974</v>
      </c>
      <c r="H1043" s="1" t="s">
        <v>1975</v>
      </c>
    </row>
    <row r="1044" spans="1:8" x14ac:dyDescent="0.2">
      <c r="A1044" s="5">
        <v>45679.251266319443</v>
      </c>
      <c r="B1044" s="1" t="s">
        <v>378</v>
      </c>
      <c r="C1044" s="1">
        <v>2024</v>
      </c>
      <c r="D1044" s="1" t="s">
        <v>1866</v>
      </c>
      <c r="E1044" s="6" t="s">
        <v>1976</v>
      </c>
      <c r="G1044" s="6" t="s">
        <v>1977</v>
      </c>
      <c r="H1044" s="1" t="s">
        <v>1978</v>
      </c>
    </row>
    <row r="1045" spans="1:8" x14ac:dyDescent="0.2">
      <c r="A1045" s="5">
        <v>45679.251671550926</v>
      </c>
      <c r="B1045" s="1" t="s">
        <v>378</v>
      </c>
      <c r="C1045" s="1">
        <v>2024</v>
      </c>
      <c r="D1045" s="1" t="s">
        <v>1866</v>
      </c>
      <c r="E1045" s="6" t="s">
        <v>1979</v>
      </c>
      <c r="G1045" s="6" t="s">
        <v>1980</v>
      </c>
      <c r="H1045" s="1" t="s">
        <v>1981</v>
      </c>
    </row>
    <row r="1046" spans="1:8" x14ac:dyDescent="0.2">
      <c r="A1046" s="5">
        <v>45679.352666342587</v>
      </c>
      <c r="B1046" s="1" t="s">
        <v>330</v>
      </c>
      <c r="C1046" s="1">
        <v>2024</v>
      </c>
      <c r="D1046" s="1" t="s">
        <v>1866</v>
      </c>
      <c r="E1046" s="6" t="s">
        <v>1982</v>
      </c>
      <c r="G1046" s="6" t="s">
        <v>1983</v>
      </c>
      <c r="H1046" s="1" t="s">
        <v>1984</v>
      </c>
    </row>
    <row r="1047" spans="1:8" x14ac:dyDescent="0.2">
      <c r="A1047" s="5">
        <v>45679.353456423611</v>
      </c>
      <c r="B1047" s="1" t="s">
        <v>330</v>
      </c>
      <c r="C1047" s="1">
        <v>2024</v>
      </c>
      <c r="D1047" s="1" t="s">
        <v>883</v>
      </c>
      <c r="E1047" s="6" t="s">
        <v>1985</v>
      </c>
      <c r="G1047" s="6" t="s">
        <v>1986</v>
      </c>
      <c r="H1047" s="1" t="s">
        <v>1987</v>
      </c>
    </row>
    <row r="1048" spans="1:8" x14ac:dyDescent="0.2">
      <c r="A1048" s="5">
        <v>45679.379099120371</v>
      </c>
      <c r="B1048" s="1" t="s">
        <v>45</v>
      </c>
      <c r="C1048" s="1">
        <v>2024</v>
      </c>
      <c r="D1048" s="1" t="s">
        <v>883</v>
      </c>
      <c r="E1048" s="6" t="s">
        <v>1988</v>
      </c>
      <c r="G1048" s="6" t="s">
        <v>1989</v>
      </c>
      <c r="H1048" s="1" t="s">
        <v>1990</v>
      </c>
    </row>
    <row r="1049" spans="1:8" x14ac:dyDescent="0.2">
      <c r="A1049" s="5">
        <v>45679.413300960645</v>
      </c>
      <c r="B1049" s="1" t="s">
        <v>47</v>
      </c>
      <c r="C1049" s="1">
        <v>2024</v>
      </c>
      <c r="D1049" s="1" t="s">
        <v>883</v>
      </c>
      <c r="E1049" s="6" t="s">
        <v>1991</v>
      </c>
      <c r="G1049" s="6" t="s">
        <v>1992</v>
      </c>
      <c r="H1049" s="1" t="s">
        <v>1993</v>
      </c>
    </row>
    <row r="1050" spans="1:8" x14ac:dyDescent="0.2">
      <c r="A1050" s="5">
        <v>45679.430368541667</v>
      </c>
      <c r="B1050" s="1" t="s">
        <v>53</v>
      </c>
      <c r="C1050" s="1">
        <v>2024</v>
      </c>
      <c r="D1050" s="1" t="s">
        <v>883</v>
      </c>
      <c r="E1050" s="6" t="s">
        <v>1994</v>
      </c>
      <c r="G1050" s="6" t="s">
        <v>1995</v>
      </c>
      <c r="H1050" s="1" t="s">
        <v>1996</v>
      </c>
    </row>
    <row r="1051" spans="1:8" x14ac:dyDescent="0.2">
      <c r="A1051" s="5">
        <v>45679.43081711806</v>
      </c>
      <c r="B1051" s="1" t="s">
        <v>53</v>
      </c>
      <c r="C1051" s="1">
        <v>2024</v>
      </c>
      <c r="D1051" s="1" t="s">
        <v>1866</v>
      </c>
      <c r="E1051" s="6" t="s">
        <v>1997</v>
      </c>
      <c r="G1051" s="6" t="s">
        <v>1998</v>
      </c>
      <c r="H1051" s="1" t="s">
        <v>1999</v>
      </c>
    </row>
    <row r="1052" spans="1:8" x14ac:dyDescent="0.2">
      <c r="A1052" s="5">
        <v>45692.307823506941</v>
      </c>
      <c r="B1052" s="1" t="s">
        <v>8</v>
      </c>
      <c r="C1052" s="1">
        <v>2024</v>
      </c>
      <c r="D1052" s="1" t="s">
        <v>1866</v>
      </c>
      <c r="E1052" s="6" t="s">
        <v>2000</v>
      </c>
      <c r="F1052" s="7" t="str">
        <f>HYPERLINK("https://drive.google.com/open?id=1RzBx4e3LIUFyXvV8TKxHGhvZPq7MCFk3","1 files moved")</f>
        <v>1 files moved</v>
      </c>
      <c r="G1052" s="6" t="s">
        <v>2001</v>
      </c>
      <c r="H1052" s="1" t="s">
        <v>2002</v>
      </c>
    </row>
    <row r="1053" spans="1:8" x14ac:dyDescent="0.2">
      <c r="A1053" s="5">
        <v>45692.331063530088</v>
      </c>
      <c r="B1053" s="1" t="s">
        <v>24</v>
      </c>
      <c r="C1053" s="1">
        <v>2024</v>
      </c>
      <c r="D1053" s="1" t="s">
        <v>1866</v>
      </c>
      <c r="E1053" s="6" t="s">
        <v>2003</v>
      </c>
      <c r="F1053" s="7" t="str">
        <f>HYPERLINK("https://drive.google.com/open?id=1lAkCTSJDqjfWsuZxvLL2COI53gbRENb_","1 files moved")</f>
        <v>1 files moved</v>
      </c>
      <c r="G1053" s="6" t="s">
        <v>2004</v>
      </c>
      <c r="H1053" s="1" t="s">
        <v>2005</v>
      </c>
    </row>
    <row r="1054" spans="1:8" x14ac:dyDescent="0.2">
      <c r="A1054" s="5">
        <v>45692.336347951394</v>
      </c>
      <c r="B1054" s="1" t="s">
        <v>11</v>
      </c>
      <c r="C1054" s="1">
        <v>2024</v>
      </c>
      <c r="D1054" s="1" t="s">
        <v>1866</v>
      </c>
      <c r="E1054" s="6" t="s">
        <v>2006</v>
      </c>
      <c r="F1054" s="7" t="str">
        <f>HYPERLINK("https://drive.google.com/open?id=1YzDqbFE4H4BS5N9a8WbsE5FQL-HEPRMj","1 files moved")</f>
        <v>1 files moved</v>
      </c>
      <c r="G1054" s="6" t="s">
        <v>2007</v>
      </c>
      <c r="H1054" s="1" t="s">
        <v>2008</v>
      </c>
    </row>
    <row r="1055" spans="1:8" x14ac:dyDescent="0.2">
      <c r="A1055" s="5">
        <v>45700.329218923609</v>
      </c>
      <c r="B1055" s="1" t="s">
        <v>16</v>
      </c>
      <c r="C1055" s="1">
        <v>2024</v>
      </c>
      <c r="D1055" s="1" t="s">
        <v>1866</v>
      </c>
      <c r="E1055" s="6" t="s">
        <v>2009</v>
      </c>
      <c r="F1055" s="7" t="str">
        <f>HYPERLINK("https://drive.google.com/open?id=1YNQBM17-ejVScp5nWkNR2hYKrlehzOCe","1 files moved")</f>
        <v>1 files moved</v>
      </c>
      <c r="G1055" s="6" t="s">
        <v>2010</v>
      </c>
      <c r="H1055" s="1" t="s">
        <v>2011</v>
      </c>
    </row>
    <row r="1056" spans="1:8" x14ac:dyDescent="0.2">
      <c r="A1056" s="5">
        <v>45700.377518506946</v>
      </c>
      <c r="B1056" s="1" t="s">
        <v>348</v>
      </c>
      <c r="C1056" s="1">
        <v>2024</v>
      </c>
      <c r="D1056" s="1" t="s">
        <v>1866</v>
      </c>
      <c r="E1056" s="6" t="s">
        <v>2012</v>
      </c>
      <c r="F1056" s="7" t="str">
        <f>HYPERLINK("https://drive.google.com/open?id=17WOaAXl5jFgeySypAmjW1SMD0z4Hcu1k","1 files moved")</f>
        <v>1 files moved</v>
      </c>
      <c r="G1056" s="6" t="s">
        <v>2013</v>
      </c>
      <c r="H1056" s="1" t="s">
        <v>2014</v>
      </c>
    </row>
    <row r="1057" spans="1:8" x14ac:dyDescent="0.2">
      <c r="A1057" s="5">
        <v>45700.396641944448</v>
      </c>
      <c r="B1057" s="1" t="s">
        <v>11</v>
      </c>
      <c r="C1057" s="1">
        <v>2024</v>
      </c>
      <c r="D1057" s="1" t="s">
        <v>2015</v>
      </c>
      <c r="E1057" s="6" t="s">
        <v>2016</v>
      </c>
      <c r="F1057" s="7" t="str">
        <f>HYPERLINK("https://drive.google.com/open?id=1YzDqbFE4H4BS5N9a8WbsE5FQL-HEPRMj","1 files moved")</f>
        <v>1 files moved</v>
      </c>
      <c r="G1057" s="6" t="s">
        <v>2017</v>
      </c>
      <c r="H1057" s="1" t="s">
        <v>2018</v>
      </c>
    </row>
    <row r="1058" spans="1:8" x14ac:dyDescent="0.2">
      <c r="A1058" s="5">
        <v>45700.397566331019</v>
      </c>
      <c r="B1058" s="1" t="s">
        <v>686</v>
      </c>
      <c r="C1058" s="1">
        <v>2024</v>
      </c>
      <c r="D1058" s="1" t="s">
        <v>1866</v>
      </c>
      <c r="E1058" s="6" t="s">
        <v>2019</v>
      </c>
      <c r="F1058" s="7" t="str">
        <f t="shared" ref="F1058:F1059" si="24">HYPERLINK("https://drive.google.com/open?id=1raKDx-uNeIvhNP7U_Rt7B4uGTAH17pUT","1 files moved")</f>
        <v>1 files moved</v>
      </c>
      <c r="G1058" s="6" t="s">
        <v>2020</v>
      </c>
      <c r="H1058" s="1" t="s">
        <v>2021</v>
      </c>
    </row>
    <row r="1059" spans="1:8" x14ac:dyDescent="0.2">
      <c r="A1059" s="5">
        <v>45700.398206064812</v>
      </c>
      <c r="B1059" s="1" t="s">
        <v>686</v>
      </c>
      <c r="C1059" s="1">
        <v>2024</v>
      </c>
      <c r="D1059" s="1" t="s">
        <v>2015</v>
      </c>
      <c r="E1059" s="6" t="s">
        <v>2022</v>
      </c>
      <c r="F1059" s="7" t="str">
        <f t="shared" si="24"/>
        <v>1 files moved</v>
      </c>
      <c r="G1059" s="6" t="s">
        <v>2023</v>
      </c>
      <c r="H1059" s="1" t="s">
        <v>2024</v>
      </c>
    </row>
    <row r="1060" spans="1:8" x14ac:dyDescent="0.2">
      <c r="A1060" s="5">
        <v>45700.399293854163</v>
      </c>
      <c r="B1060" s="1" t="s">
        <v>464</v>
      </c>
      <c r="C1060" s="1">
        <v>2024</v>
      </c>
      <c r="D1060" s="1" t="s">
        <v>2015</v>
      </c>
      <c r="E1060" s="6" t="s">
        <v>2025</v>
      </c>
      <c r="F1060" s="7" t="str">
        <f>HYPERLINK("https://drive.google.com/open?id=1sNh5fA93l5peYz5IJKZGEClKmxdv9dcX","1 files moved")</f>
        <v>1 files moved</v>
      </c>
      <c r="G1060" s="6" t="s">
        <v>2026</v>
      </c>
      <c r="H1060" s="1" t="s">
        <v>2027</v>
      </c>
    </row>
    <row r="1061" spans="1:8" x14ac:dyDescent="0.2">
      <c r="A1061" s="5">
        <v>45700.399597986107</v>
      </c>
      <c r="B1061" s="1" t="s">
        <v>13</v>
      </c>
      <c r="C1061" s="1">
        <v>2024</v>
      </c>
      <c r="D1061" s="1" t="s">
        <v>2015</v>
      </c>
      <c r="E1061" s="6" t="s">
        <v>2028</v>
      </c>
      <c r="F1061" s="7" t="str">
        <f>HYPERLINK("https://drive.google.com/open?id=1Zryv8yNLErRzmBqkGZTRY6f8oQgaib5M","1 files moved")</f>
        <v>1 files moved</v>
      </c>
      <c r="G1061" s="6" t="s">
        <v>2029</v>
      </c>
      <c r="H1061" s="1" t="s">
        <v>2030</v>
      </c>
    </row>
    <row r="1062" spans="1:8" x14ac:dyDescent="0.2">
      <c r="A1062" s="5">
        <v>45700.399777083338</v>
      </c>
      <c r="B1062" s="1" t="s">
        <v>27</v>
      </c>
      <c r="C1062" s="1">
        <v>2024</v>
      </c>
      <c r="D1062" s="1" t="s">
        <v>1866</v>
      </c>
      <c r="E1062" s="6" t="s">
        <v>2031</v>
      </c>
      <c r="F1062" s="7" t="str">
        <f>HYPERLINK("https://drive.google.com/open?id=1bGJWCN7-bZQSl3cMCCd4KJRrHz1r1jve","1 files moved")</f>
        <v>1 files moved</v>
      </c>
      <c r="G1062" s="6" t="s">
        <v>2032</v>
      </c>
      <c r="H1062" s="1" t="s">
        <v>2033</v>
      </c>
    </row>
    <row r="1063" spans="1:8" x14ac:dyDescent="0.2">
      <c r="A1063" s="5">
        <v>45700.399810798612</v>
      </c>
      <c r="B1063" s="1" t="s">
        <v>70</v>
      </c>
      <c r="C1063" s="1">
        <v>2024</v>
      </c>
      <c r="D1063" s="1" t="s">
        <v>2015</v>
      </c>
      <c r="E1063" s="6" t="s">
        <v>2034</v>
      </c>
      <c r="F1063" s="7" t="str">
        <f>HYPERLINK("https://drive.google.com/open?id=1tJPwF2su0hso4TETThLNHI9_S0dJdbLl","1 files moved")</f>
        <v>1 files moved</v>
      </c>
      <c r="G1063" s="6" t="s">
        <v>2035</v>
      </c>
      <c r="H1063" s="1" t="s">
        <v>2036</v>
      </c>
    </row>
    <row r="1064" spans="1:8" x14ac:dyDescent="0.2">
      <c r="A1064" s="5">
        <v>45700.402192708338</v>
      </c>
      <c r="B1064" s="1" t="s">
        <v>22</v>
      </c>
      <c r="C1064" s="1">
        <v>2024</v>
      </c>
      <c r="D1064" s="1" t="s">
        <v>2015</v>
      </c>
      <c r="E1064" s="6" t="s">
        <v>2037</v>
      </c>
      <c r="F1064" s="7" t="str">
        <f>HYPERLINK("https://drive.google.com/open?id=1WAbmR1kP-K3GSrnpnC5igzsk9XdBZPD_","1 files moved")</f>
        <v>1 files moved</v>
      </c>
      <c r="G1064" s="6" t="s">
        <v>2038</v>
      </c>
      <c r="H1064" s="1" t="s">
        <v>2039</v>
      </c>
    </row>
    <row r="1065" spans="1:8" x14ac:dyDescent="0.2">
      <c r="A1065" s="5">
        <v>45700.402378738421</v>
      </c>
      <c r="B1065" s="1" t="s">
        <v>68</v>
      </c>
      <c r="C1065" s="1">
        <v>2024</v>
      </c>
      <c r="D1065" s="1" t="s">
        <v>1866</v>
      </c>
      <c r="E1065" s="6" t="s">
        <v>2040</v>
      </c>
      <c r="F1065" s="7" t="str">
        <f>HYPERLINK("https://drive.google.com/open?id=1OV29wdO4ju235Dn_RfWfQvZfv8o_gJRA","1 files moved")</f>
        <v>1 files moved</v>
      </c>
      <c r="G1065" s="6" t="s">
        <v>2041</v>
      </c>
      <c r="H1065" s="1" t="s">
        <v>2042</v>
      </c>
    </row>
    <row r="1066" spans="1:8" x14ac:dyDescent="0.2">
      <c r="A1066" s="5">
        <v>45700.40251266204</v>
      </c>
      <c r="B1066" s="1" t="s">
        <v>43</v>
      </c>
      <c r="C1066" s="1">
        <v>2024</v>
      </c>
      <c r="D1066" s="1" t="s">
        <v>1866</v>
      </c>
      <c r="E1066" s="6" t="s">
        <v>2043</v>
      </c>
      <c r="F1066" s="7" t="str">
        <f>HYPERLINK("https://drive.google.com/open?id=1V4TGvz085_QBAvEUyDaeNyMolr93zOZK","1 files moved")</f>
        <v>1 files moved</v>
      </c>
      <c r="G1066" s="6" t="s">
        <v>2044</v>
      </c>
      <c r="H1066" s="1" t="s">
        <v>2045</v>
      </c>
    </row>
    <row r="1067" spans="1:8" x14ac:dyDescent="0.2">
      <c r="A1067" s="5">
        <v>45700.402864594907</v>
      </c>
      <c r="B1067" s="1" t="s">
        <v>666</v>
      </c>
      <c r="C1067" s="1">
        <v>2024</v>
      </c>
      <c r="D1067" s="1" t="s">
        <v>2015</v>
      </c>
      <c r="E1067" s="6" t="s">
        <v>2046</v>
      </c>
      <c r="F1067" s="7" t="str">
        <f>HYPERLINK("https://drive.google.com/open?id=1V9JxAml7o3RDV4BK_aYYG2UrIwxiEXjP","1 files moved")</f>
        <v>1 files moved</v>
      </c>
      <c r="G1067" s="6" t="s">
        <v>2047</v>
      </c>
      <c r="H1067" s="1" t="s">
        <v>2048</v>
      </c>
    </row>
    <row r="1068" spans="1:8" x14ac:dyDescent="0.2">
      <c r="A1068" s="5">
        <v>45700.403053217597</v>
      </c>
      <c r="B1068" s="1" t="s">
        <v>43</v>
      </c>
      <c r="C1068" s="1">
        <v>2024</v>
      </c>
      <c r="D1068" s="1" t="s">
        <v>2015</v>
      </c>
      <c r="E1068" s="6" t="s">
        <v>2049</v>
      </c>
      <c r="F1068" s="7" t="str">
        <f>HYPERLINK("https://drive.google.com/open?id=1V4TGvz085_QBAvEUyDaeNyMolr93zOZK","1 files moved")</f>
        <v>1 files moved</v>
      </c>
      <c r="G1068" s="6" t="s">
        <v>2050</v>
      </c>
      <c r="H1068" s="1" t="s">
        <v>2051</v>
      </c>
    </row>
    <row r="1069" spans="1:8" x14ac:dyDescent="0.2">
      <c r="A1069" s="5">
        <v>45700.404202152778</v>
      </c>
      <c r="B1069" s="1" t="s">
        <v>37</v>
      </c>
      <c r="C1069" s="1">
        <v>2024</v>
      </c>
      <c r="D1069" s="1" t="s">
        <v>1866</v>
      </c>
      <c r="E1069" s="6" t="s">
        <v>2052</v>
      </c>
      <c r="F1069" s="7" t="str">
        <f>HYPERLINK("https://drive.google.com/open?id=1qa1mLZHOuZIAKZUnYIblWo1lTS9NuBTm","1 files moved")</f>
        <v>1 files moved</v>
      </c>
      <c r="G1069" s="6" t="s">
        <v>2053</v>
      </c>
      <c r="H1069" s="1" t="s">
        <v>2054</v>
      </c>
    </row>
    <row r="1070" spans="1:8" x14ac:dyDescent="0.2">
      <c r="A1070" s="5">
        <v>45700.404509756947</v>
      </c>
      <c r="B1070" s="1" t="s">
        <v>1873</v>
      </c>
      <c r="C1070" s="1">
        <v>2024</v>
      </c>
      <c r="D1070" s="1" t="s">
        <v>2015</v>
      </c>
      <c r="E1070" s="6" t="s">
        <v>2055</v>
      </c>
      <c r="F1070" s="7" t="str">
        <f>HYPERLINK("https://drive.google.com/open?id=1YX2RL83pvfGKIcbWPzS6tyrz6pE7_IDy","1 files moved")</f>
        <v>1 files moved</v>
      </c>
      <c r="G1070" s="6" t="s">
        <v>2056</v>
      </c>
      <c r="H1070" s="1" t="s">
        <v>2057</v>
      </c>
    </row>
    <row r="1071" spans="1:8" x14ac:dyDescent="0.2">
      <c r="A1071" s="5">
        <v>45700.40459337963</v>
      </c>
      <c r="B1071" s="1" t="s">
        <v>37</v>
      </c>
      <c r="C1071" s="1">
        <v>2024</v>
      </c>
      <c r="D1071" s="1" t="s">
        <v>2015</v>
      </c>
      <c r="E1071" s="6" t="s">
        <v>2058</v>
      </c>
      <c r="F1071" s="7" t="str">
        <f t="shared" ref="F1071:F1072" si="25">HYPERLINK("https://drive.google.com/open?id=1qa1mLZHOuZIAKZUnYIblWo1lTS9NuBTm","1 files moved")</f>
        <v>1 files moved</v>
      </c>
      <c r="G1071" s="6" t="s">
        <v>2059</v>
      </c>
      <c r="H1071" s="1" t="s">
        <v>2060</v>
      </c>
    </row>
    <row r="1072" spans="1:8" x14ac:dyDescent="0.2">
      <c r="A1072" s="5">
        <v>45700.405156053239</v>
      </c>
      <c r="B1072" s="1" t="s">
        <v>37</v>
      </c>
      <c r="C1072" s="1">
        <v>2024</v>
      </c>
      <c r="D1072" s="1" t="s">
        <v>883</v>
      </c>
      <c r="E1072" s="6" t="s">
        <v>2061</v>
      </c>
      <c r="F1072" s="7" t="str">
        <f t="shared" si="25"/>
        <v>1 files moved</v>
      </c>
      <c r="G1072" s="6" t="s">
        <v>2062</v>
      </c>
      <c r="H1072" s="1" t="s">
        <v>2063</v>
      </c>
    </row>
    <row r="1073" spans="1:8" x14ac:dyDescent="0.2">
      <c r="A1073" s="5">
        <v>45700.405298668979</v>
      </c>
      <c r="B1073" s="1" t="s">
        <v>1873</v>
      </c>
      <c r="C1073" s="1">
        <v>2024</v>
      </c>
      <c r="D1073" s="1" t="s">
        <v>883</v>
      </c>
      <c r="E1073" s="6" t="s">
        <v>2064</v>
      </c>
      <c r="F1073" s="7" t="str">
        <f>HYPERLINK("https://drive.google.com/open?id=1YX2RL83pvfGKIcbWPzS6tyrz6pE7_IDy","1 files moved")</f>
        <v>1 files moved</v>
      </c>
      <c r="G1073" s="6" t="s">
        <v>2065</v>
      </c>
      <c r="H1073" s="1" t="s">
        <v>2066</v>
      </c>
    </row>
    <row r="1074" spans="1:8" x14ac:dyDescent="0.2">
      <c r="A1074" s="5">
        <v>45700.409389768523</v>
      </c>
      <c r="B1074" s="1" t="s">
        <v>68</v>
      </c>
      <c r="C1074" s="1">
        <v>2024</v>
      </c>
      <c r="D1074" s="1" t="s">
        <v>2015</v>
      </c>
      <c r="E1074" s="6" t="s">
        <v>2067</v>
      </c>
      <c r="F1074" s="7" t="str">
        <f>HYPERLINK("https://drive.google.com/open?id=1OV29wdO4ju235Dn_RfWfQvZfv8o_gJRA","1 files moved")</f>
        <v>1 files moved</v>
      </c>
      <c r="G1074" s="6" t="s">
        <v>2068</v>
      </c>
      <c r="H1074" s="1" t="s">
        <v>2069</v>
      </c>
    </row>
    <row r="1075" spans="1:8" x14ac:dyDescent="0.2">
      <c r="A1075" s="5">
        <v>45700.410200833328</v>
      </c>
      <c r="B1075" s="1" t="s">
        <v>8</v>
      </c>
      <c r="C1075" s="1">
        <v>2024</v>
      </c>
      <c r="D1075" s="1" t="s">
        <v>2015</v>
      </c>
      <c r="E1075" s="6" t="s">
        <v>2070</v>
      </c>
      <c r="F1075" s="7" t="str">
        <f>HYPERLINK("https://drive.google.com/open?id=1RzBx4e3LIUFyXvV8TKxHGhvZPq7MCFk3","1 files moved")</f>
        <v>1 files moved</v>
      </c>
      <c r="G1075" s="6" t="s">
        <v>2071</v>
      </c>
      <c r="H1075" s="1" t="s">
        <v>2072</v>
      </c>
    </row>
    <row r="1076" spans="1:8" x14ac:dyDescent="0.2">
      <c r="A1076" s="5">
        <v>45700.411429502317</v>
      </c>
      <c r="B1076" s="1" t="s">
        <v>56</v>
      </c>
      <c r="C1076" s="1">
        <v>2024</v>
      </c>
      <c r="D1076" s="1" t="s">
        <v>1866</v>
      </c>
      <c r="E1076" s="6" t="s">
        <v>2073</v>
      </c>
      <c r="F1076" s="7" t="str">
        <f>HYPERLINK("https://drive.google.com/open?id=1YZIPSo9PodNGWCjC1zK15cW1JEByXJ7w","1 files moved")</f>
        <v>1 files moved</v>
      </c>
      <c r="G1076" s="6" t="s">
        <v>2074</v>
      </c>
      <c r="H1076" s="1" t="s">
        <v>2075</v>
      </c>
    </row>
    <row r="1077" spans="1:8" x14ac:dyDescent="0.2">
      <c r="A1077" s="5">
        <v>45700.411858854168</v>
      </c>
      <c r="B1077" s="1" t="s">
        <v>13</v>
      </c>
      <c r="C1077" s="1">
        <v>2024</v>
      </c>
      <c r="D1077" s="1" t="s">
        <v>302</v>
      </c>
      <c r="E1077" s="6" t="s">
        <v>2076</v>
      </c>
      <c r="F1077" s="7" t="str">
        <f>HYPERLINK("https://drive.google.com/open?id=1Zryv8yNLErRzmBqkGZTRY6f8oQgaib5M","1 files moved")</f>
        <v>1 files moved</v>
      </c>
      <c r="G1077" s="6" t="s">
        <v>2077</v>
      </c>
      <c r="H1077" s="1" t="s">
        <v>2078</v>
      </c>
    </row>
    <row r="1078" spans="1:8" x14ac:dyDescent="0.2">
      <c r="A1078" s="5">
        <v>45700.411937280092</v>
      </c>
      <c r="B1078" s="1" t="s">
        <v>112</v>
      </c>
      <c r="C1078" s="1">
        <v>2024</v>
      </c>
      <c r="D1078" s="1" t="s">
        <v>2015</v>
      </c>
      <c r="E1078" s="6" t="s">
        <v>2079</v>
      </c>
      <c r="F1078" s="7" t="str">
        <f t="shared" ref="F1078:F1079" si="26">HYPERLINK("https://drive.google.com/open?id=1bgfFevr_vWoS1TUMY9H3d79cj9SEs5AT","1 files moved")</f>
        <v>1 files moved</v>
      </c>
      <c r="G1078" s="6" t="s">
        <v>2080</v>
      </c>
      <c r="H1078" s="1" t="s">
        <v>2081</v>
      </c>
    </row>
    <row r="1079" spans="1:8" x14ac:dyDescent="0.2">
      <c r="A1079" s="5">
        <v>45700.412209224538</v>
      </c>
      <c r="B1079" s="1" t="s">
        <v>112</v>
      </c>
      <c r="C1079" s="1">
        <v>2024</v>
      </c>
      <c r="D1079" s="1" t="s">
        <v>883</v>
      </c>
      <c r="E1079" s="6" t="s">
        <v>2082</v>
      </c>
      <c r="F1079" s="7" t="str">
        <f t="shared" si="26"/>
        <v>1 files moved</v>
      </c>
      <c r="G1079" s="6" t="s">
        <v>2083</v>
      </c>
      <c r="H1079" s="1" t="s">
        <v>2084</v>
      </c>
    </row>
    <row r="1080" spans="1:8" x14ac:dyDescent="0.2">
      <c r="A1080" s="5">
        <v>45700.412455138889</v>
      </c>
      <c r="B1080" s="1" t="s">
        <v>24</v>
      </c>
      <c r="C1080" s="1">
        <v>2024</v>
      </c>
      <c r="D1080" s="1" t="s">
        <v>2015</v>
      </c>
      <c r="E1080" s="6" t="s">
        <v>2085</v>
      </c>
      <c r="G1080" s="6" t="s">
        <v>2086</v>
      </c>
      <c r="H1080" s="1" t="s">
        <v>2087</v>
      </c>
    </row>
    <row r="1081" spans="1:8" x14ac:dyDescent="0.2">
      <c r="A1081" s="5">
        <v>45700.412635196757</v>
      </c>
      <c r="B1081" s="1" t="s">
        <v>1139</v>
      </c>
      <c r="C1081" s="1">
        <v>2024</v>
      </c>
      <c r="D1081" s="1" t="s">
        <v>883</v>
      </c>
      <c r="E1081" s="6" t="s">
        <v>2088</v>
      </c>
      <c r="G1081" s="6" t="s">
        <v>2089</v>
      </c>
      <c r="H1081" s="1" t="s">
        <v>2090</v>
      </c>
    </row>
    <row r="1082" spans="1:8" x14ac:dyDescent="0.2">
      <c r="A1082" s="5">
        <v>45700.412805219908</v>
      </c>
      <c r="B1082" s="1" t="s">
        <v>53</v>
      </c>
      <c r="C1082" s="1">
        <v>2024</v>
      </c>
      <c r="D1082" s="1" t="s">
        <v>2015</v>
      </c>
      <c r="E1082" s="6" t="s">
        <v>2091</v>
      </c>
      <c r="G1082" s="6" t="s">
        <v>2092</v>
      </c>
      <c r="H1082" s="1" t="s">
        <v>2093</v>
      </c>
    </row>
    <row r="1083" spans="1:8" x14ac:dyDescent="0.2">
      <c r="A1083" s="5">
        <v>45700.413154942129</v>
      </c>
      <c r="B1083" s="1" t="s">
        <v>666</v>
      </c>
      <c r="C1083" s="1">
        <v>2024</v>
      </c>
      <c r="D1083" s="1" t="s">
        <v>883</v>
      </c>
      <c r="E1083" s="6" t="s">
        <v>2094</v>
      </c>
      <c r="G1083" s="6" t="s">
        <v>2095</v>
      </c>
      <c r="H1083" s="1" t="s">
        <v>2096</v>
      </c>
    </row>
    <row r="1084" spans="1:8" x14ac:dyDescent="0.2">
      <c r="A1084" s="5">
        <v>45700.413471631946</v>
      </c>
      <c r="B1084" s="1" t="s">
        <v>56</v>
      </c>
      <c r="C1084" s="1">
        <v>2024</v>
      </c>
      <c r="D1084" s="1" t="s">
        <v>2015</v>
      </c>
      <c r="E1084" s="6" t="s">
        <v>2097</v>
      </c>
      <c r="G1084" s="6" t="s">
        <v>2098</v>
      </c>
      <c r="H1084" s="1" t="s">
        <v>2099</v>
      </c>
    </row>
    <row r="1085" spans="1:8" x14ac:dyDescent="0.2">
      <c r="A1085" s="5">
        <v>45700.413517719906</v>
      </c>
      <c r="B1085" s="1" t="s">
        <v>1139</v>
      </c>
      <c r="C1085" s="1">
        <v>2024</v>
      </c>
      <c r="D1085" s="1" t="s">
        <v>1866</v>
      </c>
      <c r="E1085" s="6" t="s">
        <v>2100</v>
      </c>
      <c r="G1085" s="6" t="s">
        <v>2101</v>
      </c>
      <c r="H1085" s="1" t="s">
        <v>2102</v>
      </c>
    </row>
    <row r="1086" spans="1:8" x14ac:dyDescent="0.2">
      <c r="A1086" s="5">
        <v>45700.413644224536</v>
      </c>
      <c r="B1086" s="1" t="s">
        <v>378</v>
      </c>
      <c r="C1086" s="1">
        <v>2024</v>
      </c>
      <c r="D1086" s="1" t="s">
        <v>1866</v>
      </c>
      <c r="E1086" s="6" t="s">
        <v>2103</v>
      </c>
      <c r="G1086" s="6" t="s">
        <v>2104</v>
      </c>
      <c r="H1086" s="1" t="s">
        <v>2105</v>
      </c>
    </row>
    <row r="1087" spans="1:8" x14ac:dyDescent="0.2">
      <c r="A1087" s="5">
        <v>45700.414022303245</v>
      </c>
      <c r="B1087" s="1" t="s">
        <v>378</v>
      </c>
      <c r="C1087" s="1">
        <v>2024</v>
      </c>
      <c r="D1087" s="1" t="s">
        <v>2015</v>
      </c>
      <c r="E1087" s="6" t="s">
        <v>2106</v>
      </c>
      <c r="G1087" s="6" t="s">
        <v>2107</v>
      </c>
      <c r="H1087" s="1" t="s">
        <v>2108</v>
      </c>
    </row>
    <row r="1088" spans="1:8" x14ac:dyDescent="0.2">
      <c r="A1088" s="5">
        <v>45700.414051111111</v>
      </c>
      <c r="B1088" s="1" t="s">
        <v>1139</v>
      </c>
      <c r="C1088" s="1">
        <v>2024</v>
      </c>
      <c r="D1088" s="1" t="s">
        <v>2015</v>
      </c>
      <c r="E1088" s="6" t="s">
        <v>2109</v>
      </c>
      <c r="G1088" s="6" t="s">
        <v>2110</v>
      </c>
      <c r="H1088" s="1" t="s">
        <v>2111</v>
      </c>
    </row>
    <row r="1089" spans="1:8" x14ac:dyDescent="0.2">
      <c r="A1089" s="5">
        <v>45700.41439903935</v>
      </c>
      <c r="B1089" s="1" t="s">
        <v>666</v>
      </c>
      <c r="C1089" s="1">
        <v>2024</v>
      </c>
      <c r="D1089" s="1" t="s">
        <v>1114</v>
      </c>
      <c r="E1089" s="6" t="s">
        <v>2112</v>
      </c>
      <c r="G1089" s="6" t="s">
        <v>2113</v>
      </c>
      <c r="H1089" s="1" t="s">
        <v>2114</v>
      </c>
    </row>
    <row r="1090" spans="1:8" x14ac:dyDescent="0.2">
      <c r="A1090" s="5">
        <v>45700.415441400459</v>
      </c>
      <c r="B1090" s="1" t="s">
        <v>378</v>
      </c>
      <c r="C1090" s="1">
        <v>2024</v>
      </c>
      <c r="D1090" s="1" t="s">
        <v>883</v>
      </c>
      <c r="E1090" s="6" t="s">
        <v>2115</v>
      </c>
      <c r="G1090" s="6" t="s">
        <v>2116</v>
      </c>
      <c r="H1090" s="1" t="s">
        <v>2117</v>
      </c>
    </row>
    <row r="1091" spans="1:8" x14ac:dyDescent="0.2">
      <c r="A1091" s="5">
        <v>45700.416172824072</v>
      </c>
      <c r="B1091" s="1" t="s">
        <v>70</v>
      </c>
      <c r="C1091" s="1">
        <v>2024</v>
      </c>
      <c r="D1091" s="1" t="s">
        <v>9</v>
      </c>
      <c r="E1091" s="6" t="s">
        <v>2118</v>
      </c>
      <c r="G1091" s="6" t="s">
        <v>2119</v>
      </c>
      <c r="H1091" s="1" t="s">
        <v>2120</v>
      </c>
    </row>
    <row r="1092" spans="1:8" x14ac:dyDescent="0.2">
      <c r="A1092" s="5">
        <v>45700.417381921296</v>
      </c>
      <c r="B1092" s="1" t="s">
        <v>397</v>
      </c>
      <c r="C1092" s="1">
        <v>2024</v>
      </c>
      <c r="D1092" s="1" t="s">
        <v>1866</v>
      </c>
      <c r="E1092" s="6" t="s">
        <v>2121</v>
      </c>
      <c r="G1092" s="6" t="s">
        <v>2122</v>
      </c>
      <c r="H1092" s="1" t="s">
        <v>2123</v>
      </c>
    </row>
    <row r="1093" spans="1:8" x14ac:dyDescent="0.2">
      <c r="A1093" s="5">
        <v>45700.417769699074</v>
      </c>
      <c r="B1093" s="1" t="s">
        <v>397</v>
      </c>
      <c r="C1093" s="1">
        <v>2024</v>
      </c>
      <c r="D1093" s="1" t="s">
        <v>2015</v>
      </c>
      <c r="E1093" s="6" t="s">
        <v>2124</v>
      </c>
      <c r="G1093" s="6" t="s">
        <v>2125</v>
      </c>
      <c r="H1093" s="1" t="s">
        <v>2126</v>
      </c>
    </row>
    <row r="1094" spans="1:8" x14ac:dyDescent="0.2">
      <c r="A1094" s="5">
        <v>45700.418367071761</v>
      </c>
      <c r="B1094" s="1" t="s">
        <v>27</v>
      </c>
      <c r="C1094" s="1">
        <v>2024</v>
      </c>
      <c r="D1094" s="1" t="s">
        <v>9</v>
      </c>
      <c r="E1094" s="6" t="s">
        <v>2127</v>
      </c>
      <c r="G1094" s="6" t="s">
        <v>2128</v>
      </c>
      <c r="H1094" s="1" t="s">
        <v>2129</v>
      </c>
    </row>
    <row r="1095" spans="1:8" x14ac:dyDescent="0.2">
      <c r="A1095" s="5">
        <v>45700.418736469903</v>
      </c>
      <c r="B1095" s="1" t="s">
        <v>27</v>
      </c>
      <c r="C1095" s="1">
        <v>2024</v>
      </c>
      <c r="D1095" s="1" t="s">
        <v>883</v>
      </c>
      <c r="E1095" s="6" t="s">
        <v>2130</v>
      </c>
      <c r="G1095" s="6" t="s">
        <v>2131</v>
      </c>
      <c r="H1095" s="1" t="s">
        <v>2132</v>
      </c>
    </row>
    <row r="1096" spans="1:8" x14ac:dyDescent="0.2">
      <c r="A1096" s="5">
        <v>45700.419001666669</v>
      </c>
      <c r="B1096" s="1" t="s">
        <v>62</v>
      </c>
      <c r="C1096" s="1">
        <v>2024</v>
      </c>
      <c r="D1096" s="1" t="s">
        <v>883</v>
      </c>
      <c r="E1096" s="6" t="s">
        <v>2133</v>
      </c>
      <c r="G1096" s="6" t="s">
        <v>2134</v>
      </c>
      <c r="H1096" s="1" t="s">
        <v>2135</v>
      </c>
    </row>
    <row r="1097" spans="1:8" x14ac:dyDescent="0.2">
      <c r="A1097" s="5">
        <v>45700.419056701387</v>
      </c>
      <c r="B1097" s="1" t="s">
        <v>27</v>
      </c>
      <c r="C1097" s="1">
        <v>2024</v>
      </c>
      <c r="D1097" s="1" t="s">
        <v>1866</v>
      </c>
      <c r="E1097" s="6" t="s">
        <v>2136</v>
      </c>
      <c r="G1097" s="6" t="s">
        <v>2137</v>
      </c>
      <c r="H1097" s="1" t="s">
        <v>2138</v>
      </c>
    </row>
    <row r="1098" spans="1:8" x14ac:dyDescent="0.2">
      <c r="A1098" s="5">
        <v>45700.419343912035</v>
      </c>
      <c r="B1098" s="1" t="s">
        <v>27</v>
      </c>
      <c r="C1098" s="1">
        <v>2024</v>
      </c>
      <c r="D1098" s="1" t="s">
        <v>2015</v>
      </c>
      <c r="E1098" s="6" t="s">
        <v>2139</v>
      </c>
      <c r="G1098" s="6" t="s">
        <v>2140</v>
      </c>
      <c r="H1098" s="1" t="s">
        <v>2141</v>
      </c>
    </row>
    <row r="1099" spans="1:8" x14ac:dyDescent="0.2">
      <c r="A1099" s="5">
        <v>45700.41941696759</v>
      </c>
      <c r="B1099" s="1" t="s">
        <v>39</v>
      </c>
      <c r="C1099" s="1">
        <v>2024</v>
      </c>
      <c r="D1099" s="1" t="s">
        <v>1866</v>
      </c>
      <c r="E1099" s="6" t="s">
        <v>2142</v>
      </c>
      <c r="G1099" s="6" t="s">
        <v>2143</v>
      </c>
      <c r="H1099" s="1" t="s">
        <v>2144</v>
      </c>
    </row>
    <row r="1100" spans="1:8" x14ac:dyDescent="0.2">
      <c r="A1100" s="5">
        <v>45700.419979768514</v>
      </c>
      <c r="B1100" s="1" t="s">
        <v>39</v>
      </c>
      <c r="C1100" s="1">
        <v>2024</v>
      </c>
      <c r="D1100" s="1" t="s">
        <v>2015</v>
      </c>
      <c r="E1100" s="6" t="s">
        <v>2145</v>
      </c>
      <c r="G1100" s="6" t="s">
        <v>2146</v>
      </c>
      <c r="H1100" s="1" t="s">
        <v>2147</v>
      </c>
    </row>
    <row r="1101" spans="1:8" x14ac:dyDescent="0.2">
      <c r="A1101" s="5">
        <v>45700.42008059028</v>
      </c>
      <c r="B1101" s="1" t="s">
        <v>464</v>
      </c>
      <c r="C1101" s="1">
        <v>2024</v>
      </c>
      <c r="D1101" s="1" t="s">
        <v>9</v>
      </c>
      <c r="E1101" s="6" t="s">
        <v>2148</v>
      </c>
      <c r="G1101" s="6" t="s">
        <v>2149</v>
      </c>
      <c r="H1101" s="1" t="s">
        <v>2150</v>
      </c>
    </row>
    <row r="1102" spans="1:8" x14ac:dyDescent="0.2">
      <c r="A1102" s="5">
        <v>45700.420368958337</v>
      </c>
      <c r="B1102" s="1" t="s">
        <v>29</v>
      </c>
      <c r="C1102" s="1">
        <v>2024</v>
      </c>
      <c r="D1102" s="1" t="s">
        <v>1866</v>
      </c>
      <c r="E1102" s="6" t="s">
        <v>2151</v>
      </c>
      <c r="G1102" s="6" t="s">
        <v>2152</v>
      </c>
      <c r="H1102" s="1" t="s">
        <v>2153</v>
      </c>
    </row>
    <row r="1103" spans="1:8" x14ac:dyDescent="0.2">
      <c r="A1103" s="5">
        <v>45700.420570694449</v>
      </c>
      <c r="B1103" s="1" t="s">
        <v>397</v>
      </c>
      <c r="C1103" s="1">
        <v>2024</v>
      </c>
      <c r="D1103" s="1" t="s">
        <v>883</v>
      </c>
      <c r="E1103" s="6" t="s">
        <v>2154</v>
      </c>
      <c r="G1103" s="6" t="s">
        <v>2155</v>
      </c>
      <c r="H1103" s="1" t="s">
        <v>2156</v>
      </c>
    </row>
    <row r="1104" spans="1:8" x14ac:dyDescent="0.2">
      <c r="A1104" s="5">
        <v>45700.420591597227</v>
      </c>
      <c r="B1104" s="1" t="s">
        <v>70</v>
      </c>
      <c r="C1104" s="1">
        <v>2024</v>
      </c>
      <c r="D1104" s="1" t="s">
        <v>883</v>
      </c>
      <c r="E1104" s="6" t="s">
        <v>2157</v>
      </c>
      <c r="G1104" s="6" t="s">
        <v>2158</v>
      </c>
      <c r="H1104" s="1" t="s">
        <v>2159</v>
      </c>
    </row>
    <row r="1105" spans="1:8" x14ac:dyDescent="0.2">
      <c r="A1105" s="5">
        <v>45700.420698865739</v>
      </c>
      <c r="B1105" s="1" t="s">
        <v>39</v>
      </c>
      <c r="C1105" s="1">
        <v>2024</v>
      </c>
      <c r="D1105" s="1" t="s">
        <v>2015</v>
      </c>
      <c r="E1105" s="6" t="s">
        <v>2160</v>
      </c>
      <c r="G1105" s="6" t="s">
        <v>2161</v>
      </c>
      <c r="H1105" s="1" t="s">
        <v>2162</v>
      </c>
    </row>
    <row r="1106" spans="1:8" x14ac:dyDescent="0.2">
      <c r="A1106" s="5">
        <v>45700.420963402779</v>
      </c>
      <c r="B1106" s="1" t="s">
        <v>70</v>
      </c>
      <c r="C1106" s="1">
        <v>2024</v>
      </c>
      <c r="D1106" s="1" t="s">
        <v>883</v>
      </c>
      <c r="E1106" s="6" t="s">
        <v>2163</v>
      </c>
      <c r="G1106" s="6" t="s">
        <v>2164</v>
      </c>
      <c r="H1106" s="1" t="s">
        <v>2165</v>
      </c>
    </row>
    <row r="1107" spans="1:8" x14ac:dyDescent="0.2">
      <c r="A1107" s="5">
        <v>45700.420983402779</v>
      </c>
      <c r="B1107" s="1" t="s">
        <v>397</v>
      </c>
      <c r="C1107" s="1">
        <v>2025</v>
      </c>
      <c r="D1107" s="1" t="s">
        <v>883</v>
      </c>
      <c r="E1107" s="6" t="s">
        <v>2166</v>
      </c>
      <c r="G1107" s="6" t="s">
        <v>2167</v>
      </c>
      <c r="H1107" s="1" t="s">
        <v>2168</v>
      </c>
    </row>
    <row r="1108" spans="1:8" x14ac:dyDescent="0.2">
      <c r="A1108" s="5">
        <v>45700.421107499998</v>
      </c>
      <c r="B1108" s="1" t="s">
        <v>29</v>
      </c>
      <c r="C1108" s="1">
        <v>2024</v>
      </c>
      <c r="D1108" s="1" t="s">
        <v>2015</v>
      </c>
      <c r="E1108" s="6" t="s">
        <v>2169</v>
      </c>
      <c r="G1108" s="6" t="s">
        <v>2170</v>
      </c>
      <c r="H1108" s="1" t="s">
        <v>2171</v>
      </c>
    </row>
    <row r="1109" spans="1:8" x14ac:dyDescent="0.2">
      <c r="A1109" s="5">
        <v>45700.42142885417</v>
      </c>
      <c r="B1109" s="1" t="s">
        <v>70</v>
      </c>
      <c r="C1109" s="1">
        <v>2024</v>
      </c>
      <c r="D1109" s="1" t="s">
        <v>1866</v>
      </c>
      <c r="E1109" s="6" t="s">
        <v>2172</v>
      </c>
      <c r="G1109" s="6" t="s">
        <v>2173</v>
      </c>
      <c r="H1109" s="1" t="s">
        <v>2174</v>
      </c>
    </row>
    <row r="1110" spans="1:8" x14ac:dyDescent="0.2">
      <c r="A1110" s="5">
        <v>45700.421829224535</v>
      </c>
      <c r="B1110" s="1" t="s">
        <v>70</v>
      </c>
      <c r="C1110" s="1">
        <v>2024</v>
      </c>
      <c r="D1110" s="1" t="s">
        <v>1866</v>
      </c>
      <c r="E1110" s="6" t="s">
        <v>2175</v>
      </c>
      <c r="G1110" s="6" t="s">
        <v>2176</v>
      </c>
      <c r="H1110" s="1" t="s">
        <v>2177</v>
      </c>
    </row>
    <row r="1111" spans="1:8" x14ac:dyDescent="0.2">
      <c r="A1111" s="5">
        <v>45700.422213634258</v>
      </c>
      <c r="B1111" s="1" t="s">
        <v>70</v>
      </c>
      <c r="C1111" s="1">
        <v>2024</v>
      </c>
      <c r="D1111" s="1" t="s">
        <v>2015</v>
      </c>
      <c r="E1111" s="6" t="s">
        <v>2178</v>
      </c>
      <c r="G1111" s="6" t="s">
        <v>2179</v>
      </c>
      <c r="H1111" s="1" t="s">
        <v>2180</v>
      </c>
    </row>
    <row r="1112" spans="1:8" x14ac:dyDescent="0.2">
      <c r="A1112" s="5">
        <v>45700.422602974533</v>
      </c>
      <c r="B1112" s="1" t="s">
        <v>70</v>
      </c>
      <c r="C1112" s="1">
        <v>2024</v>
      </c>
      <c r="D1112" s="1" t="s">
        <v>2015</v>
      </c>
      <c r="E1112" s="6" t="s">
        <v>2181</v>
      </c>
      <c r="G1112" s="6" t="s">
        <v>2182</v>
      </c>
      <c r="H1112" s="1" t="s">
        <v>2183</v>
      </c>
    </row>
    <row r="1113" spans="1:8" x14ac:dyDescent="0.2">
      <c r="A1113" s="5">
        <v>45700.428819525463</v>
      </c>
      <c r="B1113" s="1" t="s">
        <v>35</v>
      </c>
      <c r="C1113" s="1">
        <v>2024</v>
      </c>
      <c r="D1113" s="1" t="s">
        <v>1866</v>
      </c>
      <c r="E1113" s="6" t="s">
        <v>2184</v>
      </c>
      <c r="G1113" s="6" t="s">
        <v>2185</v>
      </c>
      <c r="H1113" s="1" t="s">
        <v>2186</v>
      </c>
    </row>
    <row r="1114" spans="1:8" x14ac:dyDescent="0.2">
      <c r="A1114" s="5">
        <v>45700.429293749999</v>
      </c>
      <c r="B1114" s="1" t="s">
        <v>35</v>
      </c>
      <c r="C1114" s="1">
        <v>2024</v>
      </c>
      <c r="D1114" s="1" t="s">
        <v>2015</v>
      </c>
      <c r="E1114" s="6" t="s">
        <v>2187</v>
      </c>
      <c r="G1114" s="6" t="s">
        <v>2188</v>
      </c>
      <c r="H1114" s="1" t="s">
        <v>2189</v>
      </c>
    </row>
    <row r="1115" spans="1:8" x14ac:dyDescent="0.2">
      <c r="A1115" s="5">
        <v>45723.592851504625</v>
      </c>
      <c r="B1115" s="1" t="s">
        <v>53</v>
      </c>
      <c r="C1115" s="1">
        <v>2025</v>
      </c>
      <c r="D1115" s="1" t="s">
        <v>2190</v>
      </c>
      <c r="E1115" s="6" t="s">
        <v>2191</v>
      </c>
      <c r="F1115" s="7" t="str">
        <f>HYPERLINK("https://drive.google.com/open?id=1mgwi5IYuDSmdes063EGgEET4VIkt5Ge6","1 files moved")</f>
        <v>1 files moved</v>
      </c>
      <c r="G1115" s="6" t="s">
        <v>2192</v>
      </c>
      <c r="H1115" s="1" t="s">
        <v>2193</v>
      </c>
    </row>
    <row r="1116" spans="1:8" x14ac:dyDescent="0.2">
      <c r="A1116" s="5">
        <v>45723.594421620372</v>
      </c>
      <c r="B1116" s="1" t="s">
        <v>969</v>
      </c>
      <c r="C1116" s="1">
        <v>2025</v>
      </c>
      <c r="D1116" s="1" t="s">
        <v>2190</v>
      </c>
      <c r="E1116" s="6" t="s">
        <v>2194</v>
      </c>
      <c r="F1116" s="7" t="str">
        <f>HYPERLINK("https://drive.google.com/open?id=1jjaZ6sBJ-rgFFoV-a9VrKbvqiPbqOcgX","1 files moved")</f>
        <v>1 files moved</v>
      </c>
      <c r="G1116" s="6" t="s">
        <v>2195</v>
      </c>
      <c r="H1116" s="1" t="s">
        <v>2196</v>
      </c>
    </row>
    <row r="1117" spans="1:8" x14ac:dyDescent="0.2">
      <c r="A1117" s="5">
        <v>45723.595000694448</v>
      </c>
      <c r="B1117" s="1" t="s">
        <v>53</v>
      </c>
      <c r="C1117" s="1">
        <v>2025</v>
      </c>
      <c r="D1117" s="1" t="s">
        <v>2197</v>
      </c>
      <c r="E1117" s="6" t="s">
        <v>2198</v>
      </c>
      <c r="F1117" s="7" t="str">
        <f>HYPERLINK("https://drive.google.com/open?id=1mgwi5IYuDSmdes063EGgEET4VIkt5Ge6","1 files moved")</f>
        <v>1 files moved</v>
      </c>
      <c r="G1117" s="6" t="s">
        <v>2199</v>
      </c>
      <c r="H1117" s="1" t="s">
        <v>2200</v>
      </c>
    </row>
    <row r="1118" spans="1:8" x14ac:dyDescent="0.2">
      <c r="A1118" s="5">
        <v>45723.597312164347</v>
      </c>
      <c r="B1118" s="1" t="s">
        <v>70</v>
      </c>
      <c r="C1118" s="1">
        <v>2025</v>
      </c>
      <c r="D1118" s="1" t="s">
        <v>2197</v>
      </c>
      <c r="E1118" s="6" t="s">
        <v>2201</v>
      </c>
      <c r="F1118" s="7" t="str">
        <f t="shared" ref="F1118:F1119" si="27">HYPERLINK("https://drive.google.com/open?id=1tJPwF2su0hso4TETThLNHI9_S0dJdbLl","1 files moved")</f>
        <v>1 files moved</v>
      </c>
      <c r="G1118" s="6" t="s">
        <v>2202</v>
      </c>
      <c r="H1118" s="1" t="s">
        <v>2203</v>
      </c>
    </row>
    <row r="1119" spans="1:8" x14ac:dyDescent="0.2">
      <c r="A1119" s="5">
        <v>45723.59770672454</v>
      </c>
      <c r="B1119" s="1" t="s">
        <v>70</v>
      </c>
      <c r="C1119" s="1">
        <v>2025</v>
      </c>
      <c r="D1119" s="1" t="s">
        <v>2190</v>
      </c>
      <c r="E1119" s="6" t="s">
        <v>2204</v>
      </c>
      <c r="F1119" s="7" t="str">
        <f t="shared" si="27"/>
        <v>1 files moved</v>
      </c>
      <c r="G1119" s="6" t="s">
        <v>2205</v>
      </c>
      <c r="H1119" s="1" t="s">
        <v>2206</v>
      </c>
    </row>
    <row r="1120" spans="1:8" x14ac:dyDescent="0.2">
      <c r="A1120" s="5">
        <v>45723.600615324074</v>
      </c>
      <c r="B1120" s="1" t="s">
        <v>27</v>
      </c>
      <c r="C1120" s="1">
        <v>2024</v>
      </c>
      <c r="D1120" s="1" t="s">
        <v>2190</v>
      </c>
      <c r="E1120" s="6" t="s">
        <v>2207</v>
      </c>
      <c r="F1120" s="7" t="str">
        <f t="shared" ref="F1120:F1121" si="28">HYPERLINK("https://drive.google.com/open?id=1bGJWCN7-bZQSl3cMCCd4KJRrHz1r1jve","1 files moved")</f>
        <v>1 files moved</v>
      </c>
      <c r="G1120" s="6" t="s">
        <v>2208</v>
      </c>
      <c r="H1120" s="1" t="s">
        <v>2209</v>
      </c>
    </row>
    <row r="1121" spans="1:8" x14ac:dyDescent="0.2">
      <c r="A1121" s="5">
        <v>45723.60124491898</v>
      </c>
      <c r="B1121" s="1" t="s">
        <v>27</v>
      </c>
      <c r="C1121" s="1">
        <v>2024</v>
      </c>
      <c r="D1121" s="1" t="s">
        <v>2190</v>
      </c>
      <c r="E1121" s="6" t="s">
        <v>2210</v>
      </c>
      <c r="F1121" s="7" t="str">
        <f t="shared" si="28"/>
        <v>1 files moved</v>
      </c>
      <c r="G1121" s="6" t="s">
        <v>2211</v>
      </c>
      <c r="H1121" s="1" t="s">
        <v>2212</v>
      </c>
    </row>
    <row r="1122" spans="1:8" x14ac:dyDescent="0.2">
      <c r="A1122" s="5">
        <v>45723.602912523143</v>
      </c>
      <c r="B1122" s="1" t="s">
        <v>33</v>
      </c>
      <c r="C1122" s="1">
        <v>2025</v>
      </c>
      <c r="D1122" s="1" t="s">
        <v>2197</v>
      </c>
      <c r="E1122" s="6" t="s">
        <v>2213</v>
      </c>
      <c r="F1122" s="7" t="str">
        <f t="shared" ref="F1122:F1123" si="29">HYPERLINK("https://drive.google.com/open?id=1vt-BVSJOLHBIrsp9094dDz7aTxUYbXOd","1 files moved")</f>
        <v>1 files moved</v>
      </c>
      <c r="G1122" s="6" t="s">
        <v>2214</v>
      </c>
      <c r="H1122" s="1" t="s">
        <v>2215</v>
      </c>
    </row>
    <row r="1123" spans="1:8" x14ac:dyDescent="0.2">
      <c r="A1123" s="5">
        <v>45723.603387650466</v>
      </c>
      <c r="B1123" s="1" t="s">
        <v>33</v>
      </c>
      <c r="C1123" s="1">
        <v>2025</v>
      </c>
      <c r="D1123" s="1" t="s">
        <v>2190</v>
      </c>
      <c r="E1123" s="6" t="s">
        <v>2216</v>
      </c>
      <c r="F1123" s="7" t="str">
        <f t="shared" si="29"/>
        <v>1 files moved</v>
      </c>
      <c r="G1123" s="6" t="s">
        <v>2217</v>
      </c>
      <c r="H1123" s="1" t="s">
        <v>2218</v>
      </c>
    </row>
    <row r="1124" spans="1:8" x14ac:dyDescent="0.2">
      <c r="A1124" s="5">
        <v>45723.604180995375</v>
      </c>
      <c r="B1124" s="1" t="s">
        <v>13</v>
      </c>
      <c r="C1124" s="1">
        <v>2025</v>
      </c>
      <c r="D1124" s="1" t="s">
        <v>2190</v>
      </c>
      <c r="E1124" s="6" t="s">
        <v>2219</v>
      </c>
      <c r="F1124" s="7" t="str">
        <f t="shared" ref="F1124:F1125" si="30">HYPERLINK("https://drive.google.com/open?id=1Zryv8yNLErRzmBqkGZTRY6f8oQgaib5M","1 files moved")</f>
        <v>1 files moved</v>
      </c>
      <c r="G1124" s="6" t="s">
        <v>2220</v>
      </c>
      <c r="H1124" s="1" t="s">
        <v>2221</v>
      </c>
    </row>
    <row r="1125" spans="1:8" x14ac:dyDescent="0.2">
      <c r="A1125" s="5">
        <v>45723.605252395835</v>
      </c>
      <c r="B1125" s="1" t="s">
        <v>13</v>
      </c>
      <c r="C1125" s="1">
        <v>2025</v>
      </c>
      <c r="D1125" s="1" t="s">
        <v>2190</v>
      </c>
      <c r="E1125" s="6" t="s">
        <v>2222</v>
      </c>
      <c r="F1125" s="7" t="str">
        <f t="shared" si="30"/>
        <v>1 files moved</v>
      </c>
      <c r="G1125" s="6" t="s">
        <v>2223</v>
      </c>
      <c r="H1125" s="1" t="s">
        <v>2224</v>
      </c>
    </row>
    <row r="1126" spans="1:8" x14ac:dyDescent="0.2">
      <c r="A1126" s="5">
        <v>45723.607009976855</v>
      </c>
      <c r="B1126" s="1" t="s">
        <v>22</v>
      </c>
      <c r="C1126" s="1">
        <v>2025</v>
      </c>
      <c r="D1126" s="1" t="s">
        <v>2190</v>
      </c>
      <c r="E1126" s="6" t="s">
        <v>2225</v>
      </c>
      <c r="F1126" s="7" t="str">
        <f t="shared" ref="F1126:F1127" si="31">HYPERLINK("https://drive.google.com/open?id=1WAbmR1kP-K3GSrnpnC5igzsk9XdBZPD_","1 files moved")</f>
        <v>1 files moved</v>
      </c>
      <c r="G1126" s="6" t="s">
        <v>2226</v>
      </c>
      <c r="H1126" s="1" t="s">
        <v>2227</v>
      </c>
    </row>
    <row r="1127" spans="1:8" x14ac:dyDescent="0.2">
      <c r="A1127" s="5">
        <v>45723.609109502315</v>
      </c>
      <c r="B1127" s="1" t="s">
        <v>22</v>
      </c>
      <c r="C1127" s="1">
        <v>2025</v>
      </c>
      <c r="D1127" s="1" t="s">
        <v>2197</v>
      </c>
      <c r="E1127" s="6" t="s">
        <v>2228</v>
      </c>
      <c r="F1127" s="7" t="str">
        <f t="shared" si="31"/>
        <v>1 files moved</v>
      </c>
      <c r="G1127" s="6" t="s">
        <v>2229</v>
      </c>
      <c r="H1127" s="1" t="s">
        <v>2230</v>
      </c>
    </row>
    <row r="1128" spans="1:8" x14ac:dyDescent="0.2">
      <c r="A1128" s="5">
        <v>45723.611118668981</v>
      </c>
      <c r="B1128" s="1" t="s">
        <v>37</v>
      </c>
      <c r="C1128" s="1">
        <v>2025</v>
      </c>
      <c r="D1128" s="1" t="s">
        <v>2197</v>
      </c>
      <c r="E1128" s="6" t="s">
        <v>2231</v>
      </c>
      <c r="F1128" s="7" t="str">
        <f t="shared" ref="F1128:F1129" si="32">HYPERLINK("https://drive.google.com/open?id=1qa1mLZHOuZIAKZUnYIblWo1lTS9NuBTm","1 files moved")</f>
        <v>1 files moved</v>
      </c>
      <c r="G1128" s="6" t="s">
        <v>2232</v>
      </c>
      <c r="H1128" s="1" t="s">
        <v>2233</v>
      </c>
    </row>
    <row r="1129" spans="1:8" x14ac:dyDescent="0.2">
      <c r="A1129" s="5">
        <v>45723.611481608794</v>
      </c>
      <c r="B1129" s="1" t="s">
        <v>37</v>
      </c>
      <c r="C1129" s="1">
        <v>2025</v>
      </c>
      <c r="D1129" s="1" t="s">
        <v>2190</v>
      </c>
      <c r="E1129" s="6" t="s">
        <v>2234</v>
      </c>
      <c r="F1129" s="7" t="str">
        <f t="shared" si="32"/>
        <v>1 files moved</v>
      </c>
      <c r="G1129" s="6" t="s">
        <v>2235</v>
      </c>
      <c r="H1129" s="1" t="s">
        <v>2236</v>
      </c>
    </row>
    <row r="1130" spans="1:8" x14ac:dyDescent="0.2">
      <c r="A1130" s="5">
        <v>45723.615877546297</v>
      </c>
      <c r="B1130" s="1" t="s">
        <v>378</v>
      </c>
      <c r="C1130" s="1">
        <v>2025</v>
      </c>
      <c r="D1130" s="1" t="s">
        <v>2190</v>
      </c>
      <c r="E1130" s="6" t="s">
        <v>2237</v>
      </c>
      <c r="F1130" s="7" t="str">
        <f>HYPERLINK("https://drive.google.com/open?id=1UaOhVLC8EU7AZLMQiErwZkrTRt0YZt3o","1 files moved")</f>
        <v>1 files moved</v>
      </c>
      <c r="G1130" s="6" t="s">
        <v>2238</v>
      </c>
      <c r="H1130" s="1" t="s">
        <v>2239</v>
      </c>
    </row>
    <row r="1131" spans="1:8" x14ac:dyDescent="0.2">
      <c r="A1131" s="5">
        <v>45723.615973749998</v>
      </c>
      <c r="B1131" s="1" t="s">
        <v>68</v>
      </c>
      <c r="C1131" s="1">
        <v>2025</v>
      </c>
      <c r="D1131" s="1" t="s">
        <v>2190</v>
      </c>
      <c r="E1131" s="6" t="s">
        <v>2240</v>
      </c>
      <c r="F1131" s="7" t="str">
        <f>HYPERLINK("https://drive.google.com/open?id=1OV29wdO4ju235Dn_RfWfQvZfv8o_gJRA","1 files moved")</f>
        <v>1 files moved</v>
      </c>
      <c r="G1131" s="6" t="s">
        <v>2241</v>
      </c>
      <c r="H1131" s="1" t="s">
        <v>2242</v>
      </c>
    </row>
    <row r="1132" spans="1:8" x14ac:dyDescent="0.2">
      <c r="A1132" s="5">
        <v>45723.616239282404</v>
      </c>
      <c r="B1132" s="1" t="s">
        <v>53</v>
      </c>
      <c r="C1132" s="1">
        <v>2025</v>
      </c>
      <c r="D1132" s="1" t="s">
        <v>2197</v>
      </c>
      <c r="E1132" s="6" t="s">
        <v>2243</v>
      </c>
      <c r="F1132" s="7" t="str">
        <f>HYPERLINK("https://drive.google.com/open?id=1mgwi5IYuDSmdes063EGgEET4VIkt5Ge6","1 files moved")</f>
        <v>1 files moved</v>
      </c>
      <c r="G1132" s="6" t="s">
        <v>2244</v>
      </c>
      <c r="H1132" s="1" t="s">
        <v>2245</v>
      </c>
    </row>
    <row r="1133" spans="1:8" x14ac:dyDescent="0.2">
      <c r="A1133" s="5">
        <v>45723.616296307868</v>
      </c>
      <c r="B1133" s="1" t="s">
        <v>70</v>
      </c>
      <c r="C1133" s="1">
        <v>2025</v>
      </c>
      <c r="D1133" s="1" t="s">
        <v>2197</v>
      </c>
      <c r="E1133" s="6" t="s">
        <v>2246</v>
      </c>
      <c r="F1133" s="7" t="str">
        <f>HYPERLINK("https://drive.google.com/open?id=1tJPwF2su0hso4TETThLNHI9_S0dJdbLl","1 files moved")</f>
        <v>1 files moved</v>
      </c>
      <c r="G1133" s="6" t="s">
        <v>2247</v>
      </c>
      <c r="H1133" s="1" t="s">
        <v>2248</v>
      </c>
    </row>
    <row r="1134" spans="1:8" x14ac:dyDescent="0.2">
      <c r="A1134" s="5">
        <v>45723.616326944444</v>
      </c>
      <c r="B1134" s="1" t="s">
        <v>378</v>
      </c>
      <c r="C1134" s="1">
        <v>2025</v>
      </c>
      <c r="D1134" s="1" t="s">
        <v>2197</v>
      </c>
      <c r="E1134" s="6" t="s">
        <v>2249</v>
      </c>
      <c r="F1134" s="7" t="str">
        <f>HYPERLINK("https://drive.google.com/open?id=1UaOhVLC8EU7AZLMQiErwZkrTRt0YZt3o","1 files moved")</f>
        <v>1 files moved</v>
      </c>
      <c r="G1134" s="6" t="s">
        <v>2250</v>
      </c>
      <c r="H1134" s="1" t="s">
        <v>2251</v>
      </c>
    </row>
    <row r="1135" spans="1:8" x14ac:dyDescent="0.2">
      <c r="A1135" s="5">
        <v>45723.61668767361</v>
      </c>
      <c r="B1135" s="1" t="s">
        <v>39</v>
      </c>
      <c r="C1135" s="1">
        <v>2025</v>
      </c>
      <c r="D1135" s="1" t="s">
        <v>2190</v>
      </c>
      <c r="E1135" s="6" t="s">
        <v>2252</v>
      </c>
      <c r="F1135" s="7" t="str">
        <f>HYPERLINK("https://drive.google.com/open?id=1BZohlpYH-tCf-m6ifXipKqyT42Gbzhkv","1 files moved")</f>
        <v>1 files moved</v>
      </c>
      <c r="G1135" s="6" t="s">
        <v>2253</v>
      </c>
      <c r="H1135" s="1" t="s">
        <v>2254</v>
      </c>
    </row>
    <row r="1136" spans="1:8" x14ac:dyDescent="0.2">
      <c r="A1136" s="5">
        <v>45723.619065659717</v>
      </c>
      <c r="B1136" s="1" t="s">
        <v>29</v>
      </c>
      <c r="C1136" s="1">
        <v>2025</v>
      </c>
      <c r="D1136" s="1" t="s">
        <v>2190</v>
      </c>
      <c r="E1136" s="6" t="s">
        <v>2255</v>
      </c>
      <c r="F1136" s="7" t="str">
        <f t="shared" ref="F1136:F1137" si="33">HYPERLINK("https://drive.google.com/open?id=1jO7SQkOk_xjZHSX78M31VKgg3Vt_d9Aw","1 files moved")</f>
        <v>1 files moved</v>
      </c>
      <c r="G1136" s="6" t="s">
        <v>2256</v>
      </c>
      <c r="H1136" s="1" t="s">
        <v>2257</v>
      </c>
    </row>
    <row r="1137" spans="1:8" x14ac:dyDescent="0.2">
      <c r="A1137" s="5">
        <v>45723.620863402779</v>
      </c>
      <c r="B1137" s="1" t="s">
        <v>29</v>
      </c>
      <c r="C1137" s="1">
        <v>2025</v>
      </c>
      <c r="D1137" s="1" t="s">
        <v>2190</v>
      </c>
      <c r="E1137" s="6" t="s">
        <v>2258</v>
      </c>
      <c r="F1137" s="7" t="str">
        <f t="shared" si="33"/>
        <v>1 files moved</v>
      </c>
      <c r="G1137" s="6" t="s">
        <v>2259</v>
      </c>
      <c r="H1137" s="1" t="s">
        <v>2260</v>
      </c>
    </row>
    <row r="1138" spans="1:8" x14ac:dyDescent="0.2">
      <c r="A1138" s="5">
        <v>45723.621303043983</v>
      </c>
      <c r="B1138" s="1" t="s">
        <v>39</v>
      </c>
      <c r="C1138" s="1">
        <v>2025</v>
      </c>
      <c r="D1138" s="1" t="s">
        <v>2190</v>
      </c>
      <c r="E1138" s="6" t="s">
        <v>2261</v>
      </c>
      <c r="F1138" s="7" t="str">
        <f>HYPERLINK("https://drive.google.com/open?id=1BZohlpYH-tCf-m6ifXipKqyT42Gbzhkv","1 files moved")</f>
        <v>1 files moved</v>
      </c>
      <c r="G1138" s="6" t="s">
        <v>2262</v>
      </c>
      <c r="H1138" s="1" t="s">
        <v>2263</v>
      </c>
    </row>
    <row r="1139" spans="1:8" x14ac:dyDescent="0.2">
      <c r="A1139" s="5">
        <v>45723.623870902782</v>
      </c>
      <c r="B1139" s="1" t="s">
        <v>68</v>
      </c>
      <c r="C1139" s="1">
        <v>2025</v>
      </c>
      <c r="D1139" s="1" t="s">
        <v>2190</v>
      </c>
      <c r="E1139" s="6" t="s">
        <v>2264</v>
      </c>
      <c r="F1139" s="7" t="str">
        <f>HYPERLINK("https://drive.google.com/open?id=1OV29wdO4ju235Dn_RfWfQvZfv8o_gJRA","1 files moved")</f>
        <v>1 files moved</v>
      </c>
      <c r="G1139" s="6" t="s">
        <v>2265</v>
      </c>
      <c r="H1139" s="1" t="s">
        <v>2266</v>
      </c>
    </row>
    <row r="1140" spans="1:8" x14ac:dyDescent="0.2">
      <c r="A1140" s="5">
        <v>45723.625907754627</v>
      </c>
      <c r="B1140" s="1" t="s">
        <v>27</v>
      </c>
      <c r="C1140" s="1">
        <v>2025</v>
      </c>
      <c r="D1140" s="1" t="s">
        <v>2197</v>
      </c>
      <c r="E1140" s="6" t="s">
        <v>2267</v>
      </c>
      <c r="F1140" s="7" t="str">
        <f>HYPERLINK("https://drive.google.com/open?id=1bGJWCN7-bZQSl3cMCCd4KJRrHz1r1jve","1 files moved")</f>
        <v>1 files moved</v>
      </c>
      <c r="G1140" s="6" t="s">
        <v>2268</v>
      </c>
      <c r="H1140" s="1" t="s">
        <v>2269</v>
      </c>
    </row>
    <row r="1141" spans="1:8" x14ac:dyDescent="0.2">
      <c r="A1141" s="5">
        <v>45723.62620042824</v>
      </c>
      <c r="B1141" s="1" t="s">
        <v>43</v>
      </c>
      <c r="C1141" s="1">
        <v>2025</v>
      </c>
      <c r="D1141" s="1" t="s">
        <v>318</v>
      </c>
      <c r="E1141" s="6" t="s">
        <v>2270</v>
      </c>
      <c r="G1141" s="6" t="s">
        <v>2271</v>
      </c>
      <c r="H1141" s="1" t="s">
        <v>2272</v>
      </c>
    </row>
    <row r="1142" spans="1:8" x14ac:dyDescent="0.2">
      <c r="A1142" s="5">
        <v>45723.626692534723</v>
      </c>
      <c r="B1142" s="1" t="s">
        <v>43</v>
      </c>
      <c r="C1142" s="1">
        <v>2025</v>
      </c>
      <c r="D1142" s="1" t="s">
        <v>318</v>
      </c>
      <c r="E1142" s="6" t="s">
        <v>2273</v>
      </c>
      <c r="G1142" s="6" t="s">
        <v>2274</v>
      </c>
      <c r="H1142" s="1" t="s">
        <v>2275</v>
      </c>
    </row>
    <row r="1143" spans="1:8" x14ac:dyDescent="0.2">
      <c r="A1143" s="5">
        <v>45723.626807928245</v>
      </c>
      <c r="B1143" s="1" t="s">
        <v>11</v>
      </c>
      <c r="C1143" s="1">
        <v>2025</v>
      </c>
      <c r="D1143" s="1" t="s">
        <v>2197</v>
      </c>
      <c r="E1143" s="6" t="s">
        <v>2276</v>
      </c>
      <c r="G1143" s="6" t="s">
        <v>2277</v>
      </c>
      <c r="H1143" s="1" t="s">
        <v>2278</v>
      </c>
    </row>
    <row r="1144" spans="1:8" x14ac:dyDescent="0.2">
      <c r="A1144" s="5">
        <v>45723.626919305556</v>
      </c>
      <c r="B1144" s="1" t="s">
        <v>68</v>
      </c>
      <c r="C1144" s="1">
        <v>2025</v>
      </c>
      <c r="D1144" s="1" t="s">
        <v>2190</v>
      </c>
      <c r="E1144" s="6" t="s">
        <v>2279</v>
      </c>
      <c r="G1144" s="6" t="s">
        <v>2280</v>
      </c>
      <c r="H1144" s="1" t="s">
        <v>2281</v>
      </c>
    </row>
    <row r="1145" spans="1:8" x14ac:dyDescent="0.2">
      <c r="A1145" s="5">
        <v>45723.627464675927</v>
      </c>
      <c r="B1145" s="1" t="s">
        <v>39</v>
      </c>
      <c r="C1145" s="1">
        <v>2025</v>
      </c>
      <c r="D1145" s="1" t="s">
        <v>2197</v>
      </c>
      <c r="E1145" s="6" t="s">
        <v>2282</v>
      </c>
      <c r="G1145" s="6" t="s">
        <v>2283</v>
      </c>
      <c r="H1145" s="1" t="s">
        <v>2284</v>
      </c>
    </row>
    <row r="1146" spans="1:8" x14ac:dyDescent="0.2">
      <c r="A1146" s="5">
        <v>45723.627792662039</v>
      </c>
      <c r="B1146" s="1" t="s">
        <v>68</v>
      </c>
      <c r="C1146" s="1">
        <v>2025</v>
      </c>
      <c r="D1146" s="1" t="s">
        <v>2197</v>
      </c>
      <c r="E1146" s="6" t="s">
        <v>2285</v>
      </c>
      <c r="G1146" s="6" t="s">
        <v>2286</v>
      </c>
      <c r="H1146" s="1" t="s">
        <v>2287</v>
      </c>
    </row>
    <row r="1147" spans="1:8" x14ac:dyDescent="0.2">
      <c r="A1147" s="5">
        <v>45723.628435358798</v>
      </c>
      <c r="B1147" s="1" t="s">
        <v>24</v>
      </c>
      <c r="C1147" s="1">
        <v>2025</v>
      </c>
      <c r="D1147" s="1" t="s">
        <v>2197</v>
      </c>
      <c r="E1147" s="6" t="s">
        <v>2288</v>
      </c>
      <c r="G1147" s="6" t="s">
        <v>2289</v>
      </c>
      <c r="H1147" s="1" t="s">
        <v>2290</v>
      </c>
    </row>
    <row r="1148" spans="1:8" x14ac:dyDescent="0.2">
      <c r="A1148" s="5">
        <v>45723.628876608796</v>
      </c>
      <c r="B1148" s="1" t="s">
        <v>1139</v>
      </c>
      <c r="C1148" s="1">
        <v>2025</v>
      </c>
      <c r="D1148" s="1" t="s">
        <v>2197</v>
      </c>
      <c r="E1148" s="6" t="s">
        <v>2291</v>
      </c>
      <c r="G1148" s="6" t="s">
        <v>2292</v>
      </c>
      <c r="H1148" s="1" t="s">
        <v>2293</v>
      </c>
    </row>
    <row r="1149" spans="1:8" x14ac:dyDescent="0.2">
      <c r="A1149" s="5">
        <v>45723.628878159725</v>
      </c>
      <c r="B1149" s="1" t="s">
        <v>11</v>
      </c>
      <c r="C1149" s="1">
        <v>2025</v>
      </c>
      <c r="D1149" s="1" t="s">
        <v>2190</v>
      </c>
      <c r="E1149" s="6" t="s">
        <v>2294</v>
      </c>
      <c r="G1149" s="6" t="s">
        <v>2295</v>
      </c>
      <c r="H1149" s="1" t="s">
        <v>2296</v>
      </c>
    </row>
    <row r="1150" spans="1:8" x14ac:dyDescent="0.2">
      <c r="A1150" s="5">
        <v>45723.628892650464</v>
      </c>
      <c r="B1150" s="1" t="s">
        <v>29</v>
      </c>
      <c r="C1150" s="1">
        <v>2025</v>
      </c>
      <c r="D1150" s="1" t="s">
        <v>2197</v>
      </c>
      <c r="E1150" s="6" t="s">
        <v>2297</v>
      </c>
      <c r="G1150" s="6" t="s">
        <v>2298</v>
      </c>
      <c r="H1150" s="1" t="s">
        <v>2299</v>
      </c>
    </row>
    <row r="1151" spans="1:8" x14ac:dyDescent="0.2">
      <c r="A1151" s="5">
        <v>45723.629170717591</v>
      </c>
      <c r="B1151" s="1" t="s">
        <v>24</v>
      </c>
      <c r="C1151" s="1">
        <v>2025</v>
      </c>
      <c r="D1151" s="1" t="s">
        <v>2190</v>
      </c>
      <c r="E1151" s="1" t="s">
        <v>2300</v>
      </c>
      <c r="G1151" s="6" t="s">
        <v>2301</v>
      </c>
      <c r="H1151" s="1" t="s">
        <v>2302</v>
      </c>
    </row>
    <row r="1152" spans="1:8" x14ac:dyDescent="0.2">
      <c r="A1152" s="5">
        <v>45723.629520150462</v>
      </c>
      <c r="B1152" s="1" t="s">
        <v>22</v>
      </c>
      <c r="C1152" s="1">
        <v>2025</v>
      </c>
      <c r="D1152" s="1" t="s">
        <v>2197</v>
      </c>
      <c r="E1152" s="6" t="s">
        <v>2303</v>
      </c>
      <c r="G1152" s="6" t="s">
        <v>2304</v>
      </c>
      <c r="H1152" s="1" t="s">
        <v>2305</v>
      </c>
    </row>
    <row r="1153" spans="1:8" x14ac:dyDescent="0.2">
      <c r="A1153" s="5">
        <v>45723.630740567125</v>
      </c>
      <c r="B1153" s="1" t="s">
        <v>53</v>
      </c>
      <c r="C1153" s="1">
        <v>2025</v>
      </c>
      <c r="D1153" s="1" t="s">
        <v>2190</v>
      </c>
      <c r="E1153" s="6" t="s">
        <v>2306</v>
      </c>
      <c r="G1153" s="6" t="s">
        <v>2307</v>
      </c>
      <c r="H1153" s="1" t="s">
        <v>2308</v>
      </c>
    </row>
    <row r="1154" spans="1:8" x14ac:dyDescent="0.2">
      <c r="A1154" s="5">
        <v>45723.64333097222</v>
      </c>
      <c r="B1154" s="1" t="s">
        <v>56</v>
      </c>
      <c r="C1154" s="1">
        <v>2025</v>
      </c>
      <c r="D1154" s="1" t="s">
        <v>2190</v>
      </c>
      <c r="E1154" s="6" t="s">
        <v>2309</v>
      </c>
      <c r="G1154" s="6" t="s">
        <v>2310</v>
      </c>
      <c r="H1154" s="1" t="s">
        <v>2311</v>
      </c>
    </row>
    <row r="1155" spans="1:8" x14ac:dyDescent="0.2">
      <c r="A1155" s="5">
        <v>45723.643648576384</v>
      </c>
      <c r="B1155" s="1" t="s">
        <v>56</v>
      </c>
      <c r="C1155" s="1">
        <v>2025</v>
      </c>
      <c r="D1155" s="1" t="s">
        <v>2197</v>
      </c>
      <c r="E1155" s="6" t="s">
        <v>2312</v>
      </c>
      <c r="G1155" s="6" t="s">
        <v>2313</v>
      </c>
      <c r="H1155" s="1" t="s">
        <v>2314</v>
      </c>
    </row>
    <row r="1156" spans="1:8" x14ac:dyDescent="0.2">
      <c r="A1156" s="5">
        <v>45723.643920069444</v>
      </c>
      <c r="B1156" s="1" t="s">
        <v>37</v>
      </c>
      <c r="C1156" s="1">
        <v>2025</v>
      </c>
      <c r="D1156" s="1" t="s">
        <v>2197</v>
      </c>
      <c r="E1156" s="6" t="s">
        <v>2315</v>
      </c>
      <c r="G1156" s="6" t="s">
        <v>2316</v>
      </c>
      <c r="H1156" s="1" t="s">
        <v>2317</v>
      </c>
    </row>
    <row r="1157" spans="1:8" x14ac:dyDescent="0.2">
      <c r="A1157" s="5">
        <v>45723.646401423612</v>
      </c>
      <c r="B1157" s="1" t="s">
        <v>13</v>
      </c>
      <c r="C1157" s="1">
        <v>2025</v>
      </c>
      <c r="D1157" s="1" t="s">
        <v>2197</v>
      </c>
      <c r="E1157" s="6" t="s">
        <v>2318</v>
      </c>
      <c r="G1157" s="6" t="s">
        <v>2319</v>
      </c>
      <c r="H1157" s="1" t="s">
        <v>2320</v>
      </c>
    </row>
    <row r="1158" spans="1:8" x14ac:dyDescent="0.2">
      <c r="A1158" s="5">
        <v>45723.647378032409</v>
      </c>
      <c r="B1158" s="1" t="s">
        <v>56</v>
      </c>
      <c r="C1158" s="1">
        <v>2025</v>
      </c>
      <c r="D1158" s="1" t="s">
        <v>2190</v>
      </c>
      <c r="E1158" s="1" t="s">
        <v>2321</v>
      </c>
      <c r="G1158" s="6" t="s">
        <v>2322</v>
      </c>
      <c r="H1158" s="1" t="s">
        <v>2323</v>
      </c>
    </row>
    <row r="1159" spans="1:8" x14ac:dyDescent="0.2">
      <c r="A1159" s="5">
        <v>45723.647496562495</v>
      </c>
      <c r="B1159" s="1" t="s">
        <v>37</v>
      </c>
      <c r="C1159" s="1">
        <v>2025</v>
      </c>
      <c r="D1159" s="1" t="s">
        <v>2190</v>
      </c>
      <c r="E1159" s="1" t="s">
        <v>2324</v>
      </c>
      <c r="G1159" s="6" t="s">
        <v>2325</v>
      </c>
      <c r="H1159" s="1" t="s">
        <v>2326</v>
      </c>
    </row>
    <row r="1160" spans="1:8" x14ac:dyDescent="0.2">
      <c r="A1160" s="5">
        <v>45723.648162060184</v>
      </c>
      <c r="B1160" s="1" t="s">
        <v>8</v>
      </c>
      <c r="C1160" s="1">
        <v>2025</v>
      </c>
      <c r="D1160" s="1" t="s">
        <v>2197</v>
      </c>
      <c r="E1160" s="6" t="s">
        <v>2327</v>
      </c>
      <c r="G1160" s="6" t="s">
        <v>2328</v>
      </c>
      <c r="H1160" s="1" t="s">
        <v>2329</v>
      </c>
    </row>
    <row r="1161" spans="1:8" x14ac:dyDescent="0.2">
      <c r="A1161" s="5">
        <v>45723.648466655097</v>
      </c>
      <c r="B1161" s="1" t="s">
        <v>8</v>
      </c>
      <c r="C1161" s="1">
        <v>2025</v>
      </c>
      <c r="D1161" s="1" t="s">
        <v>2190</v>
      </c>
      <c r="E1161" s="1" t="s">
        <v>2330</v>
      </c>
      <c r="G1161" s="6" t="s">
        <v>2331</v>
      </c>
      <c r="H1161" s="1" t="s">
        <v>2332</v>
      </c>
    </row>
    <row r="1162" spans="1:8" x14ac:dyDescent="0.2">
      <c r="A1162" s="5">
        <v>45723.655783692127</v>
      </c>
      <c r="B1162" s="1" t="s">
        <v>112</v>
      </c>
      <c r="C1162" s="1">
        <v>2025</v>
      </c>
      <c r="D1162" s="1" t="s">
        <v>2190</v>
      </c>
      <c r="E1162" s="6" t="s">
        <v>2333</v>
      </c>
      <c r="G1162" s="6" t="s">
        <v>2334</v>
      </c>
      <c r="H1162" s="1" t="s">
        <v>2335</v>
      </c>
    </row>
    <row r="1163" spans="1:8" x14ac:dyDescent="0.2">
      <c r="A1163" s="5">
        <v>45723.656258460644</v>
      </c>
      <c r="B1163" s="1" t="s">
        <v>112</v>
      </c>
      <c r="C1163" s="1">
        <v>2025</v>
      </c>
      <c r="D1163" s="1" t="s">
        <v>2197</v>
      </c>
      <c r="E1163" s="6" t="s">
        <v>2336</v>
      </c>
      <c r="G1163" s="6" t="s">
        <v>2337</v>
      </c>
      <c r="H1163" s="1" t="s">
        <v>2338</v>
      </c>
    </row>
    <row r="1164" spans="1:8" x14ac:dyDescent="0.2">
      <c r="A1164" s="5">
        <v>45723.69541472222</v>
      </c>
      <c r="B1164" s="1" t="s">
        <v>66</v>
      </c>
      <c r="C1164" s="1">
        <v>2025</v>
      </c>
      <c r="D1164" s="1" t="s">
        <v>2190</v>
      </c>
      <c r="E1164" s="6" t="s">
        <v>2339</v>
      </c>
      <c r="G1164" s="6" t="s">
        <v>2340</v>
      </c>
      <c r="H1164" s="1" t="s">
        <v>2341</v>
      </c>
    </row>
    <row r="1165" spans="1:8" x14ac:dyDescent="0.2">
      <c r="A1165" s="5">
        <v>45723.695723263889</v>
      </c>
      <c r="B1165" s="1" t="s">
        <v>66</v>
      </c>
      <c r="C1165" s="1">
        <v>2025</v>
      </c>
      <c r="D1165" s="1" t="s">
        <v>2197</v>
      </c>
      <c r="E1165" s="6" t="s">
        <v>2342</v>
      </c>
      <c r="G1165" s="6" t="s">
        <v>2343</v>
      </c>
      <c r="H1165" s="1" t="s">
        <v>2344</v>
      </c>
    </row>
    <row r="1166" spans="1:8" x14ac:dyDescent="0.2">
      <c r="A1166" s="5">
        <v>45723.696311516207</v>
      </c>
      <c r="B1166" s="1" t="s">
        <v>956</v>
      </c>
      <c r="C1166" s="1">
        <v>2025</v>
      </c>
      <c r="D1166" s="1" t="s">
        <v>2190</v>
      </c>
      <c r="E1166" s="6" t="s">
        <v>2345</v>
      </c>
      <c r="G1166" s="6" t="s">
        <v>2346</v>
      </c>
      <c r="H1166" s="1" t="s">
        <v>2347</v>
      </c>
    </row>
    <row r="1167" spans="1:8" x14ac:dyDescent="0.2">
      <c r="A1167" s="5">
        <v>45723.697026828704</v>
      </c>
      <c r="B1167" s="1" t="s">
        <v>1139</v>
      </c>
      <c r="C1167" s="1">
        <v>2025</v>
      </c>
      <c r="D1167" s="1" t="s">
        <v>2190</v>
      </c>
      <c r="E1167" s="6" t="s">
        <v>2348</v>
      </c>
      <c r="G1167" s="6" t="s">
        <v>2349</v>
      </c>
      <c r="H1167" s="1" t="s">
        <v>2350</v>
      </c>
    </row>
    <row r="1168" spans="1:8" x14ac:dyDescent="0.2">
      <c r="A1168" s="5">
        <v>45723.697524282412</v>
      </c>
      <c r="B1168" s="1" t="s">
        <v>348</v>
      </c>
      <c r="C1168" s="1">
        <v>2025</v>
      </c>
      <c r="D1168" s="1" t="s">
        <v>2190</v>
      </c>
      <c r="E1168" s="6" t="s">
        <v>2351</v>
      </c>
      <c r="G1168" s="6" t="s">
        <v>2352</v>
      </c>
      <c r="H1168" s="1" t="s">
        <v>2353</v>
      </c>
    </row>
    <row r="1169" spans="1:8" x14ac:dyDescent="0.2">
      <c r="A1169" s="5">
        <v>45723.698166504633</v>
      </c>
      <c r="B1169" s="1" t="s">
        <v>348</v>
      </c>
      <c r="C1169" s="1">
        <v>2025</v>
      </c>
      <c r="D1169" s="1" t="s">
        <v>2197</v>
      </c>
      <c r="E1169" s="6" t="s">
        <v>2354</v>
      </c>
      <c r="G1169" s="6" t="s">
        <v>2355</v>
      </c>
      <c r="H1169" s="1" t="s">
        <v>2356</v>
      </c>
    </row>
    <row r="1170" spans="1:8" x14ac:dyDescent="0.2">
      <c r="A1170" s="5">
        <v>45723.704325902778</v>
      </c>
      <c r="B1170" s="1" t="s">
        <v>45</v>
      </c>
      <c r="C1170" s="1">
        <v>2025</v>
      </c>
      <c r="D1170" s="1" t="s">
        <v>2190</v>
      </c>
      <c r="E1170" s="6" t="s">
        <v>2357</v>
      </c>
      <c r="G1170" s="6" t="s">
        <v>2358</v>
      </c>
      <c r="H1170" s="1" t="s">
        <v>2359</v>
      </c>
    </row>
    <row r="1171" spans="1:8" x14ac:dyDescent="0.2">
      <c r="A1171" s="5">
        <v>45723.704676238427</v>
      </c>
      <c r="B1171" s="1" t="s">
        <v>45</v>
      </c>
      <c r="C1171" s="1">
        <v>2025</v>
      </c>
      <c r="D1171" s="1" t="s">
        <v>2197</v>
      </c>
      <c r="E1171" s="6" t="s">
        <v>2360</v>
      </c>
      <c r="G1171" s="6" t="s">
        <v>2361</v>
      </c>
      <c r="H1171" s="1" t="s">
        <v>2362</v>
      </c>
    </row>
    <row r="1172" spans="1:8" x14ac:dyDescent="0.2">
      <c r="A1172" s="5">
        <v>45723.705883981485</v>
      </c>
      <c r="B1172" s="1" t="s">
        <v>1139</v>
      </c>
      <c r="C1172" s="1">
        <v>2025</v>
      </c>
      <c r="D1172" s="1" t="s">
        <v>2190</v>
      </c>
      <c r="E1172" s="6" t="s">
        <v>2363</v>
      </c>
      <c r="G1172" s="6" t="s">
        <v>2364</v>
      </c>
      <c r="H1172" s="1" t="s">
        <v>2365</v>
      </c>
    </row>
    <row r="1173" spans="1:8" x14ac:dyDescent="0.2">
      <c r="A1173" s="5">
        <v>45724.470461064819</v>
      </c>
      <c r="B1173" s="1" t="s">
        <v>16</v>
      </c>
      <c r="C1173" s="1">
        <v>2025</v>
      </c>
      <c r="D1173" s="1" t="s">
        <v>2190</v>
      </c>
      <c r="E1173" s="6" t="s">
        <v>2366</v>
      </c>
      <c r="G1173" s="6" t="s">
        <v>2367</v>
      </c>
      <c r="H1173" s="1" t="s">
        <v>2368</v>
      </c>
    </row>
    <row r="1174" spans="1:8" x14ac:dyDescent="0.2">
      <c r="A1174" s="5">
        <v>45724.47091113426</v>
      </c>
      <c r="B1174" s="1" t="s">
        <v>16</v>
      </c>
      <c r="C1174" s="1">
        <v>2025</v>
      </c>
      <c r="D1174" s="1" t="s">
        <v>2197</v>
      </c>
      <c r="E1174" s="6" t="s">
        <v>2369</v>
      </c>
      <c r="G1174" s="6" t="s">
        <v>2370</v>
      </c>
      <c r="H1174" s="1" t="s">
        <v>2371</v>
      </c>
    </row>
    <row r="1175" spans="1:8" x14ac:dyDescent="0.2">
      <c r="A1175" s="5">
        <v>45724.592842800921</v>
      </c>
      <c r="B1175" s="1" t="s">
        <v>33</v>
      </c>
      <c r="C1175" s="1">
        <v>2025</v>
      </c>
      <c r="D1175" s="1" t="s">
        <v>2190</v>
      </c>
      <c r="E1175" s="6" t="s">
        <v>2372</v>
      </c>
      <c r="G1175" s="6" t="s">
        <v>2373</v>
      </c>
      <c r="H1175" s="1" t="s">
        <v>2374</v>
      </c>
    </row>
    <row r="1176" spans="1:8" x14ac:dyDescent="0.2">
      <c r="A1176" s="5">
        <v>45724.593157083335</v>
      </c>
      <c r="B1176" s="1" t="s">
        <v>33</v>
      </c>
      <c r="C1176" s="1">
        <v>2025</v>
      </c>
      <c r="D1176" s="1" t="s">
        <v>2197</v>
      </c>
      <c r="E1176" s="6" t="s">
        <v>2375</v>
      </c>
      <c r="G1176" s="6" t="s">
        <v>2376</v>
      </c>
      <c r="H1176" s="1" t="s">
        <v>2377</v>
      </c>
    </row>
    <row r="1177" spans="1:8" x14ac:dyDescent="0.2">
      <c r="A1177" s="5">
        <v>45725.678813483799</v>
      </c>
      <c r="B1177" s="1" t="s">
        <v>464</v>
      </c>
      <c r="C1177" s="1">
        <v>2025</v>
      </c>
      <c r="D1177" s="1" t="s">
        <v>2197</v>
      </c>
      <c r="E1177" s="1" t="s">
        <v>2378</v>
      </c>
      <c r="F1177" s="7" t="str">
        <f>HYPERLINK("https://drive.google.com/open?id=1sNh5fA93l5peYz5IJKZGEClKmxdv9dcX","2 files moved")</f>
        <v>2 files moved</v>
      </c>
      <c r="G1177" s="6" t="s">
        <v>2379</v>
      </c>
      <c r="H1177" s="1" t="s">
        <v>2380</v>
      </c>
    </row>
    <row r="1178" spans="1:8" x14ac:dyDescent="0.2">
      <c r="A1178" s="5">
        <v>45726.317944340277</v>
      </c>
      <c r="B1178" s="1" t="s">
        <v>24</v>
      </c>
      <c r="C1178" s="1">
        <v>2025</v>
      </c>
      <c r="D1178" s="1" t="s">
        <v>2190</v>
      </c>
      <c r="E1178" s="6" t="s">
        <v>2381</v>
      </c>
      <c r="F1178" s="7" t="str">
        <f>HYPERLINK("https://drive.google.com/open?id=1lAkCTSJDqjfWsuZxvLL2COI53gbRENb_","1 files moved")</f>
        <v>1 files moved</v>
      </c>
      <c r="G1178" s="6" t="s">
        <v>2382</v>
      </c>
      <c r="H1178" s="1" t="s">
        <v>2383</v>
      </c>
    </row>
    <row r="1179" spans="1:8" x14ac:dyDescent="0.2">
      <c r="A1179" s="5">
        <v>45726.320261423607</v>
      </c>
      <c r="B1179" s="1" t="s">
        <v>35</v>
      </c>
      <c r="C1179" s="1">
        <v>2025</v>
      </c>
      <c r="D1179" s="1" t="s">
        <v>2190</v>
      </c>
      <c r="E1179" s="6" t="s">
        <v>2384</v>
      </c>
      <c r="F1179" s="7" t="str">
        <f t="shared" ref="F1179:F1181" si="34">HYPERLINK("https://drive.google.com/open?id=1p9rKdY4QkNWIsmYys86EoZpuyIpPfpst","1 files moved")</f>
        <v>1 files moved</v>
      </c>
      <c r="G1179" s="6" t="s">
        <v>2385</v>
      </c>
      <c r="H1179" s="1" t="s">
        <v>2386</v>
      </c>
    </row>
    <row r="1180" spans="1:8" x14ac:dyDescent="0.2">
      <c r="A1180" s="5">
        <v>45726.32171300926</v>
      </c>
      <c r="B1180" s="1" t="s">
        <v>35</v>
      </c>
      <c r="C1180" s="1">
        <v>2025</v>
      </c>
      <c r="D1180" s="1" t="s">
        <v>2190</v>
      </c>
      <c r="E1180" s="6" t="s">
        <v>2387</v>
      </c>
      <c r="F1180" s="7" t="str">
        <f t="shared" si="34"/>
        <v>1 files moved</v>
      </c>
      <c r="G1180" s="6" t="s">
        <v>2388</v>
      </c>
      <c r="H1180" s="1" t="s">
        <v>2389</v>
      </c>
    </row>
    <row r="1181" spans="1:8" x14ac:dyDescent="0.2">
      <c r="A1181" s="5">
        <v>45726.329314270828</v>
      </c>
      <c r="B1181" s="1" t="s">
        <v>35</v>
      </c>
      <c r="C1181" s="1">
        <v>2025</v>
      </c>
      <c r="D1181" s="1" t="s">
        <v>2197</v>
      </c>
      <c r="E1181" s="6" t="s">
        <v>2390</v>
      </c>
      <c r="F1181" s="7" t="str">
        <f t="shared" si="34"/>
        <v>1 files moved</v>
      </c>
      <c r="G1181" s="6" t="s">
        <v>2391</v>
      </c>
      <c r="H1181" s="1" t="s">
        <v>2392</v>
      </c>
    </row>
    <row r="1182" spans="1:8" x14ac:dyDescent="0.2">
      <c r="A1182" s="5">
        <v>45726.329491261575</v>
      </c>
      <c r="B1182" s="1" t="s">
        <v>8</v>
      </c>
      <c r="C1182" s="1">
        <v>2025</v>
      </c>
      <c r="D1182" s="1" t="s">
        <v>2190</v>
      </c>
      <c r="E1182" s="6" t="s">
        <v>2393</v>
      </c>
      <c r="F1182" s="7" t="str">
        <f>HYPERLINK("https://drive.google.com/open?id=1RzBx4e3LIUFyXvV8TKxHGhvZPq7MCFk3","1 files moved")</f>
        <v>1 files moved</v>
      </c>
      <c r="G1182" s="6" t="s">
        <v>2394</v>
      </c>
      <c r="H1182" s="1" t="s">
        <v>2395</v>
      </c>
    </row>
    <row r="1183" spans="1:8" x14ac:dyDescent="0.2">
      <c r="A1183" s="5">
        <v>45726.32978944444</v>
      </c>
      <c r="B1183" s="1" t="s">
        <v>35</v>
      </c>
      <c r="C1183" s="1">
        <v>2025</v>
      </c>
      <c r="D1183" s="1" t="s">
        <v>2197</v>
      </c>
      <c r="E1183" s="6" t="s">
        <v>2396</v>
      </c>
      <c r="F1183" s="7" t="str">
        <f>HYPERLINK("https://drive.google.com/open?id=1p9rKdY4QkNWIsmYys86EoZpuyIpPfpst","1 files moved")</f>
        <v>1 files moved</v>
      </c>
      <c r="G1183" s="6" t="s">
        <v>2397</v>
      </c>
      <c r="H1183" s="1" t="s">
        <v>2398</v>
      </c>
    </row>
    <row r="1184" spans="1:8" x14ac:dyDescent="0.2">
      <c r="A1184" s="5">
        <v>45726.334901817128</v>
      </c>
      <c r="B1184" s="1" t="s">
        <v>76</v>
      </c>
      <c r="C1184" s="1">
        <v>2025</v>
      </c>
      <c r="D1184" s="1" t="s">
        <v>2190</v>
      </c>
      <c r="E1184" s="6" t="s">
        <v>2399</v>
      </c>
      <c r="F1184" s="7" t="str">
        <f>HYPERLINK("https://drive.google.com/open?id=1YKXc634Hd6ivOmY-kuk_dNKkhypgkHlR","1 files moved")</f>
        <v>1 files moved</v>
      </c>
      <c r="G1184" s="6" t="s">
        <v>2400</v>
      </c>
      <c r="H1184" s="1" t="s">
        <v>2401</v>
      </c>
    </row>
    <row r="1185" spans="1:8" x14ac:dyDescent="0.2">
      <c r="A1185" s="5">
        <v>45726.372454976852</v>
      </c>
      <c r="B1185" s="1" t="s">
        <v>686</v>
      </c>
      <c r="C1185" s="1">
        <v>2025</v>
      </c>
      <c r="D1185" s="1" t="s">
        <v>2190</v>
      </c>
      <c r="E1185" s="6" t="s">
        <v>2402</v>
      </c>
      <c r="F1185" s="7" t="str">
        <f>HYPERLINK("https://drive.google.com/open?id=1raKDx-uNeIvhNP7U_Rt7B4uGTAH17pUT","1 files moved")</f>
        <v>1 files moved</v>
      </c>
      <c r="G1185" s="6" t="s">
        <v>2403</v>
      </c>
      <c r="H1185" s="1" t="s">
        <v>2404</v>
      </c>
    </row>
    <row r="1186" spans="1:8" x14ac:dyDescent="0.2">
      <c r="A1186" s="5">
        <v>45726.382808738425</v>
      </c>
      <c r="B1186" s="1" t="s">
        <v>451</v>
      </c>
      <c r="C1186" s="1">
        <v>2025</v>
      </c>
      <c r="D1186" s="1" t="s">
        <v>2190</v>
      </c>
      <c r="E1186" s="6" t="s">
        <v>2405</v>
      </c>
      <c r="F1186" s="7" t="str">
        <f t="shared" ref="F1186:F1187" si="35">HYPERLINK("https://drive.google.com/open?id=1KIx1m7meHb5nobC5pXq7RhJanL49Yo2o","1 files moved")</f>
        <v>1 files moved</v>
      </c>
      <c r="G1186" s="6" t="s">
        <v>2406</v>
      </c>
      <c r="H1186" s="1" t="s">
        <v>2407</v>
      </c>
    </row>
    <row r="1187" spans="1:8" x14ac:dyDescent="0.2">
      <c r="A1187" s="5">
        <v>45726.384877013887</v>
      </c>
      <c r="B1187" s="1" t="s">
        <v>451</v>
      </c>
      <c r="C1187" s="1">
        <v>2025</v>
      </c>
      <c r="D1187" s="1" t="s">
        <v>2190</v>
      </c>
      <c r="E1187" s="6" t="s">
        <v>2408</v>
      </c>
      <c r="F1187" s="7" t="str">
        <f t="shared" si="35"/>
        <v>1 files moved</v>
      </c>
      <c r="G1187" s="6" t="s">
        <v>2409</v>
      </c>
      <c r="H1187" s="1" t="s">
        <v>2410</v>
      </c>
    </row>
    <row r="1188" spans="1:8" x14ac:dyDescent="0.2">
      <c r="A1188" s="5">
        <v>45726.390745937504</v>
      </c>
      <c r="B1188" s="1" t="s">
        <v>686</v>
      </c>
      <c r="C1188" s="1">
        <v>2025</v>
      </c>
      <c r="D1188" s="1" t="s">
        <v>2197</v>
      </c>
      <c r="E1188" s="6" t="s">
        <v>2411</v>
      </c>
      <c r="F1188" s="7" t="str">
        <f>HYPERLINK("https://drive.google.com/open?id=1raKDx-uNeIvhNP7U_Rt7B4uGTAH17pUT","1 files moved")</f>
        <v>1 files moved</v>
      </c>
      <c r="G1188" s="6" t="s">
        <v>2412</v>
      </c>
      <c r="H1188" s="1" t="s">
        <v>2413</v>
      </c>
    </row>
    <row r="1189" spans="1:8" x14ac:dyDescent="0.2">
      <c r="A1189" s="5">
        <v>45726.39266484954</v>
      </c>
      <c r="B1189" s="1" t="s">
        <v>666</v>
      </c>
      <c r="C1189" s="1">
        <v>2025</v>
      </c>
      <c r="D1189" s="1" t="s">
        <v>2190</v>
      </c>
      <c r="E1189" s="6" t="s">
        <v>2414</v>
      </c>
      <c r="F1189" s="7" t="str">
        <f>HYPERLINK("https://drive.google.com/open?id=1V9JxAml7o3RDV4BK_aYYG2UrIwxiEXjP","1 files moved")</f>
        <v>1 files moved</v>
      </c>
      <c r="G1189" s="6" t="s">
        <v>2415</v>
      </c>
      <c r="H1189" s="1" t="s">
        <v>2416</v>
      </c>
    </row>
    <row r="1190" spans="1:8" x14ac:dyDescent="0.2">
      <c r="A1190" s="5">
        <v>45726.393928194448</v>
      </c>
      <c r="B1190" s="1" t="s">
        <v>62</v>
      </c>
      <c r="C1190" s="1">
        <v>2025</v>
      </c>
      <c r="D1190" s="1" t="s">
        <v>2190</v>
      </c>
      <c r="E1190" s="6" t="s">
        <v>2417</v>
      </c>
      <c r="F1190" s="7" t="str">
        <f t="shared" ref="F1190:F1191" si="36">HYPERLINK("https://drive.google.com/open?id=1CSWuwAcjfOUkpFz17anJSHXpLD9oH9ta","1 files moved")</f>
        <v>1 files moved</v>
      </c>
      <c r="G1190" s="6" t="s">
        <v>2418</v>
      </c>
      <c r="H1190" s="1" t="s">
        <v>2419</v>
      </c>
    </row>
    <row r="1191" spans="1:8" x14ac:dyDescent="0.2">
      <c r="A1191" s="5">
        <v>45726.394243217597</v>
      </c>
      <c r="B1191" s="1" t="s">
        <v>62</v>
      </c>
      <c r="C1191" s="1">
        <v>2025</v>
      </c>
      <c r="D1191" s="1" t="s">
        <v>2197</v>
      </c>
      <c r="E1191" s="6" t="s">
        <v>2420</v>
      </c>
      <c r="F1191" s="7" t="str">
        <f t="shared" si="36"/>
        <v>1 files moved</v>
      </c>
      <c r="G1191" s="6" t="s">
        <v>2421</v>
      </c>
      <c r="H1191" s="1" t="s">
        <v>2422</v>
      </c>
    </row>
    <row r="1192" spans="1:8" x14ac:dyDescent="0.2">
      <c r="A1192" s="5">
        <v>45726.394880208332</v>
      </c>
      <c r="B1192" s="1" t="s">
        <v>451</v>
      </c>
      <c r="C1192" s="1">
        <v>2025</v>
      </c>
      <c r="D1192" s="1" t="s">
        <v>2197</v>
      </c>
      <c r="E1192" s="6" t="s">
        <v>2423</v>
      </c>
      <c r="F1192" s="7" t="str">
        <f>HYPERLINK("https://drive.google.com/open?id=1KIx1m7meHb5nobC5pXq7RhJanL49Yo2o","1 files moved")</f>
        <v>1 files moved</v>
      </c>
      <c r="G1192" s="6" t="s">
        <v>2424</v>
      </c>
      <c r="H1192" s="1" t="s">
        <v>2425</v>
      </c>
    </row>
    <row r="1193" spans="1:8" x14ac:dyDescent="0.2">
      <c r="A1193" s="5">
        <v>45726.395209803246</v>
      </c>
      <c r="B1193" s="1" t="s">
        <v>45</v>
      </c>
      <c r="C1193" s="1">
        <v>2025</v>
      </c>
      <c r="D1193" s="1" t="s">
        <v>2197</v>
      </c>
      <c r="E1193" s="6" t="s">
        <v>2426</v>
      </c>
      <c r="F1193" s="7" t="str">
        <f>HYPERLINK("https://drive.google.com/open?id=1WOu53emjYl9MgCM11eFHkgxwdHlBm2Xz","1 files moved")</f>
        <v>1 files moved</v>
      </c>
      <c r="G1193" s="6" t="s">
        <v>2427</v>
      </c>
      <c r="H1193" s="1" t="s">
        <v>2428</v>
      </c>
    </row>
    <row r="1194" spans="1:8" x14ac:dyDescent="0.2">
      <c r="A1194" s="5">
        <v>45726.395232719908</v>
      </c>
      <c r="B1194" s="1" t="s">
        <v>397</v>
      </c>
      <c r="C1194" s="1">
        <v>2025</v>
      </c>
      <c r="D1194" s="1" t="s">
        <v>2197</v>
      </c>
      <c r="E1194" s="6" t="s">
        <v>2429</v>
      </c>
      <c r="F1194" s="7" t="str">
        <f t="shared" ref="F1194:F1195" si="37">HYPERLINK("https://drive.google.com/open?id=11skWmlW9bg1I5Y0qbtAwiD9dgHdxhUYl","1 files moved")</f>
        <v>1 files moved</v>
      </c>
      <c r="G1194" s="6" t="s">
        <v>2430</v>
      </c>
      <c r="H1194" s="1" t="s">
        <v>2431</v>
      </c>
    </row>
    <row r="1195" spans="1:8" x14ac:dyDescent="0.2">
      <c r="A1195" s="5">
        <v>45726.395782013889</v>
      </c>
      <c r="B1195" s="1" t="s">
        <v>397</v>
      </c>
      <c r="C1195" s="1">
        <v>2025</v>
      </c>
      <c r="D1195" s="1" t="s">
        <v>2190</v>
      </c>
      <c r="E1195" s="6" t="s">
        <v>2432</v>
      </c>
      <c r="F1195" s="7" t="str">
        <f t="shared" si="37"/>
        <v>1 files moved</v>
      </c>
      <c r="G1195" s="6" t="s">
        <v>2433</v>
      </c>
      <c r="H1195" s="1" t="s">
        <v>2434</v>
      </c>
    </row>
    <row r="1196" spans="1:8" x14ac:dyDescent="0.2">
      <c r="A1196" s="5">
        <v>45726.395806967594</v>
      </c>
      <c r="B1196" s="1" t="s">
        <v>47</v>
      </c>
      <c r="C1196" s="1">
        <v>2025</v>
      </c>
      <c r="D1196" s="1" t="s">
        <v>2190</v>
      </c>
      <c r="E1196" s="6" t="s">
        <v>2435</v>
      </c>
      <c r="F1196" s="7" t="str">
        <f t="shared" ref="F1196:F1197" si="38">HYPERLINK("https://drive.google.com/open?id=1pM9D8l1ep_C4D6kUFxAGlSX58S2gNWw7","1 files moved")</f>
        <v>1 files moved</v>
      </c>
      <c r="G1196" s="6" t="s">
        <v>2436</v>
      </c>
      <c r="H1196" s="1" t="s">
        <v>2437</v>
      </c>
    </row>
    <row r="1197" spans="1:8" x14ac:dyDescent="0.2">
      <c r="A1197" s="5">
        <v>45726.397045601851</v>
      </c>
      <c r="B1197" s="1" t="s">
        <v>47</v>
      </c>
      <c r="C1197" s="1">
        <v>2025</v>
      </c>
      <c r="D1197" s="1" t="s">
        <v>2197</v>
      </c>
      <c r="E1197" s="6" t="s">
        <v>2438</v>
      </c>
      <c r="F1197" s="7" t="str">
        <f t="shared" si="38"/>
        <v>1 files moved</v>
      </c>
      <c r="G1197" s="6" t="s">
        <v>2439</v>
      </c>
      <c r="H1197" s="1" t="s">
        <v>2440</v>
      </c>
    </row>
    <row r="1198" spans="1:8" x14ac:dyDescent="0.2">
      <c r="A1198" s="5">
        <v>45726.406731331022</v>
      </c>
      <c r="B1198" s="1" t="s">
        <v>112</v>
      </c>
      <c r="C1198" s="1">
        <v>2025</v>
      </c>
      <c r="D1198" s="1" t="s">
        <v>318</v>
      </c>
      <c r="E1198" s="6" t="s">
        <v>2441</v>
      </c>
      <c r="F1198" s="7" t="str">
        <f>HYPERLINK("https://drive.google.com/open?id=1bgfFevr_vWoS1TUMY9H3d79cj9SEs5AT","1 files moved")</f>
        <v>1 files moved</v>
      </c>
      <c r="G1198" s="6" t="s">
        <v>2442</v>
      </c>
      <c r="H1198" s="1" t="s">
        <v>2443</v>
      </c>
    </row>
    <row r="1199" spans="1:8" x14ac:dyDescent="0.2">
      <c r="A1199" s="5">
        <v>45726.410973310187</v>
      </c>
      <c r="B1199" s="1" t="s">
        <v>969</v>
      </c>
      <c r="C1199" s="1">
        <v>2025</v>
      </c>
      <c r="D1199" s="1" t="s">
        <v>2197</v>
      </c>
      <c r="E1199" s="6" t="s">
        <v>2444</v>
      </c>
      <c r="F1199" s="7" t="str">
        <f>HYPERLINK("https://drive.google.com/open?id=1jjaZ6sBJ-rgFFoV-a9VrKbvqiPbqOcgX","1 files moved")</f>
        <v>1 files moved</v>
      </c>
      <c r="G1199" s="6" t="s">
        <v>2445</v>
      </c>
      <c r="H1199" s="1" t="s">
        <v>2446</v>
      </c>
    </row>
    <row r="1200" spans="1:8" x14ac:dyDescent="0.2">
      <c r="A1200" s="5">
        <v>45726.417050300923</v>
      </c>
      <c r="B1200" s="1" t="s">
        <v>330</v>
      </c>
      <c r="C1200" s="1">
        <v>2025</v>
      </c>
      <c r="D1200" s="1" t="s">
        <v>2190</v>
      </c>
      <c r="E1200" s="6" t="s">
        <v>2447</v>
      </c>
      <c r="F1200" s="7" t="str">
        <f t="shared" ref="F1200:F1201" si="39">HYPERLINK("https://drive.google.com/open?id=1jgWFJ1Rnlmfp-xLJYcsceHq4Kj-jmyCy","1 files moved")</f>
        <v>1 files moved</v>
      </c>
      <c r="G1200" s="6" t="s">
        <v>2448</v>
      </c>
      <c r="H1200" s="1" t="s">
        <v>2449</v>
      </c>
    </row>
    <row r="1201" spans="1:8" x14ac:dyDescent="0.2">
      <c r="A1201" s="5">
        <v>45726.418467546297</v>
      </c>
      <c r="B1201" s="1" t="s">
        <v>330</v>
      </c>
      <c r="C1201" s="1">
        <v>2025</v>
      </c>
      <c r="D1201" s="1" t="s">
        <v>2197</v>
      </c>
      <c r="E1201" s="6" t="s">
        <v>2450</v>
      </c>
      <c r="F1201" s="7" t="str">
        <f t="shared" si="39"/>
        <v>1 files moved</v>
      </c>
      <c r="G1201" s="6" t="s">
        <v>2451</v>
      </c>
      <c r="H1201" s="1" t="s">
        <v>2452</v>
      </c>
    </row>
    <row r="1202" spans="1:8" x14ac:dyDescent="0.2">
      <c r="A1202" s="5">
        <v>45726.425479803242</v>
      </c>
      <c r="B1202" s="1" t="s">
        <v>47</v>
      </c>
      <c r="C1202" s="1">
        <v>2025</v>
      </c>
      <c r="D1202" s="1" t="s">
        <v>2197</v>
      </c>
      <c r="E1202" s="6" t="s">
        <v>2453</v>
      </c>
      <c r="F1202" s="7" t="str">
        <f>HYPERLINK("https://drive.google.com/open?id=1pM9D8l1ep_C4D6kUFxAGlSX58S2gNWw7","1 files moved")</f>
        <v>1 files moved</v>
      </c>
      <c r="G1202" s="6" t="s">
        <v>2454</v>
      </c>
      <c r="H1202" s="1" t="s">
        <v>2455</v>
      </c>
    </row>
    <row r="1203" spans="1:8" x14ac:dyDescent="0.2">
      <c r="A1203" s="5">
        <v>45726.427439756946</v>
      </c>
      <c r="B1203" s="1" t="s">
        <v>112</v>
      </c>
      <c r="C1203" s="1">
        <v>2025</v>
      </c>
      <c r="D1203" s="1" t="s">
        <v>2197</v>
      </c>
      <c r="E1203" s="6" t="s">
        <v>2456</v>
      </c>
      <c r="F1203" s="7" t="str">
        <f>HYPERLINK("https://drive.google.com/open?id=1bgfFevr_vWoS1TUMY9H3d79cj9SEs5AT","1 files moved")</f>
        <v>1 files moved</v>
      </c>
      <c r="G1203" s="6" t="s">
        <v>2457</v>
      </c>
      <c r="H1203" s="1" t="s">
        <v>2458</v>
      </c>
    </row>
    <row r="1204" spans="1:8" x14ac:dyDescent="0.2">
      <c r="A1204" s="5">
        <v>45726.431640347218</v>
      </c>
      <c r="B1204" s="1" t="s">
        <v>1873</v>
      </c>
      <c r="C1204" s="1">
        <v>2025</v>
      </c>
      <c r="D1204" s="1" t="s">
        <v>2190</v>
      </c>
      <c r="E1204" s="6" t="s">
        <v>2459</v>
      </c>
      <c r="G1204" s="6" t="s">
        <v>2460</v>
      </c>
      <c r="H1204" s="1" t="s">
        <v>2461</v>
      </c>
    </row>
    <row r="1205" spans="1:8" x14ac:dyDescent="0.2">
      <c r="A1205" s="5">
        <v>45726.447052025462</v>
      </c>
      <c r="B1205" s="1" t="s">
        <v>1873</v>
      </c>
      <c r="C1205" s="1">
        <v>2025</v>
      </c>
      <c r="D1205" s="1" t="s">
        <v>2197</v>
      </c>
      <c r="E1205" s="6" t="s">
        <v>2462</v>
      </c>
      <c r="G1205" s="6" t="s">
        <v>2463</v>
      </c>
      <c r="H1205" s="1" t="s">
        <v>2464</v>
      </c>
    </row>
    <row r="1206" spans="1:8" x14ac:dyDescent="0.2">
      <c r="A1206" s="5">
        <v>45728.326009583332</v>
      </c>
      <c r="B1206" s="1" t="s">
        <v>68</v>
      </c>
      <c r="C1206" s="1">
        <v>2025</v>
      </c>
      <c r="D1206" s="1" t="s">
        <v>318</v>
      </c>
      <c r="E1206" s="6" t="s">
        <v>2465</v>
      </c>
      <c r="G1206" s="6" t="s">
        <v>2466</v>
      </c>
      <c r="H1206" s="1" t="s">
        <v>2467</v>
      </c>
    </row>
    <row r="1207" spans="1:8" x14ac:dyDescent="0.2">
      <c r="A1207" s="5">
        <v>45728.400345092596</v>
      </c>
      <c r="B1207" s="1" t="s">
        <v>378</v>
      </c>
      <c r="C1207" s="1">
        <v>2024</v>
      </c>
      <c r="D1207" s="1" t="s">
        <v>2197</v>
      </c>
      <c r="E1207" s="6" t="s">
        <v>2468</v>
      </c>
      <c r="G1207" s="6" t="s">
        <v>2469</v>
      </c>
      <c r="H1207" s="1" t="s">
        <v>2470</v>
      </c>
    </row>
    <row r="1208" spans="1:8" x14ac:dyDescent="0.2">
      <c r="A1208" s="5">
        <v>45728.400767789353</v>
      </c>
      <c r="B1208" s="1" t="s">
        <v>56</v>
      </c>
      <c r="C1208" s="1">
        <v>2024</v>
      </c>
      <c r="D1208" s="1" t="s">
        <v>2197</v>
      </c>
      <c r="E1208" s="6" t="s">
        <v>2471</v>
      </c>
      <c r="G1208" s="6" t="s">
        <v>2472</v>
      </c>
      <c r="H1208" s="1" t="s">
        <v>2473</v>
      </c>
    </row>
    <row r="1209" spans="1:8" x14ac:dyDescent="0.2">
      <c r="A1209" s="5">
        <v>45728.404786793981</v>
      </c>
      <c r="B1209" s="1" t="s">
        <v>70</v>
      </c>
      <c r="C1209" s="1">
        <v>2024</v>
      </c>
      <c r="D1209" s="1" t="s">
        <v>2197</v>
      </c>
      <c r="E1209" s="6" t="s">
        <v>2474</v>
      </c>
      <c r="G1209" s="6" t="s">
        <v>2475</v>
      </c>
      <c r="H1209" s="1" t="s">
        <v>2476</v>
      </c>
    </row>
    <row r="1210" spans="1:8" x14ac:dyDescent="0.2">
      <c r="A1210" s="5">
        <v>45728.405775578707</v>
      </c>
      <c r="B1210" s="1" t="s">
        <v>24</v>
      </c>
      <c r="C1210" s="1">
        <v>2024</v>
      </c>
      <c r="D1210" s="1" t="s">
        <v>2197</v>
      </c>
      <c r="E1210" s="6" t="s">
        <v>2477</v>
      </c>
      <c r="G1210" s="6" t="s">
        <v>2478</v>
      </c>
      <c r="H1210" s="1" t="s">
        <v>2479</v>
      </c>
    </row>
    <row r="1211" spans="1:8" x14ac:dyDescent="0.2">
      <c r="A1211" s="5">
        <v>45728.406477812503</v>
      </c>
      <c r="B1211" s="1" t="s">
        <v>27</v>
      </c>
      <c r="C1211" s="1">
        <v>2024</v>
      </c>
      <c r="D1211" s="1" t="s">
        <v>2197</v>
      </c>
      <c r="E1211" s="6" t="s">
        <v>2480</v>
      </c>
      <c r="G1211" s="6" t="s">
        <v>2481</v>
      </c>
      <c r="H1211" s="1" t="s">
        <v>2482</v>
      </c>
    </row>
    <row r="1212" spans="1:8" x14ac:dyDescent="0.2">
      <c r="A1212" s="5">
        <v>45728.411891111115</v>
      </c>
      <c r="B1212" s="1" t="s">
        <v>11</v>
      </c>
      <c r="C1212" s="1">
        <v>2024</v>
      </c>
      <c r="D1212" s="1" t="s">
        <v>2197</v>
      </c>
      <c r="E1212" s="6" t="s">
        <v>2483</v>
      </c>
      <c r="G1212" s="6" t="s">
        <v>2484</v>
      </c>
      <c r="H1212" s="1" t="s">
        <v>2485</v>
      </c>
    </row>
    <row r="1213" spans="1:8" x14ac:dyDescent="0.2">
      <c r="A1213" s="5">
        <v>45728.413001446759</v>
      </c>
      <c r="B1213" s="1" t="s">
        <v>378</v>
      </c>
      <c r="C1213" s="1">
        <v>2025</v>
      </c>
      <c r="D1213" s="1" t="s">
        <v>318</v>
      </c>
      <c r="E1213" s="6" t="s">
        <v>2486</v>
      </c>
      <c r="G1213" s="6" t="s">
        <v>2487</v>
      </c>
      <c r="H1213" s="1" t="s">
        <v>2488</v>
      </c>
    </row>
    <row r="1214" spans="1:8" x14ac:dyDescent="0.2">
      <c r="A1214" s="5">
        <v>45728.413996342591</v>
      </c>
      <c r="B1214" s="1" t="s">
        <v>27</v>
      </c>
      <c r="C1214" s="1">
        <v>2025</v>
      </c>
      <c r="D1214" s="1" t="s">
        <v>318</v>
      </c>
      <c r="E1214" s="6" t="s">
        <v>2489</v>
      </c>
      <c r="G1214" s="6" t="s">
        <v>2490</v>
      </c>
      <c r="H1214" s="1" t="s">
        <v>2491</v>
      </c>
    </row>
    <row r="1215" spans="1:8" x14ac:dyDescent="0.2">
      <c r="A1215" s="5">
        <v>45728.445611469906</v>
      </c>
      <c r="B1215" s="1" t="s">
        <v>451</v>
      </c>
      <c r="C1215" s="1">
        <v>2024</v>
      </c>
      <c r="D1215" s="1" t="s">
        <v>2197</v>
      </c>
      <c r="E1215" s="6" t="s">
        <v>2492</v>
      </c>
      <c r="G1215" s="6" t="s">
        <v>2493</v>
      </c>
      <c r="H1215" s="1" t="s">
        <v>2494</v>
      </c>
    </row>
    <row r="1216" spans="1:8" x14ac:dyDescent="0.2">
      <c r="A1216" s="5">
        <v>45728.466651412033</v>
      </c>
      <c r="B1216" s="1" t="s">
        <v>45</v>
      </c>
      <c r="C1216" s="1">
        <v>2024</v>
      </c>
      <c r="D1216" s="1" t="s">
        <v>2197</v>
      </c>
      <c r="E1216" s="6" t="s">
        <v>2495</v>
      </c>
      <c r="G1216" s="6" t="s">
        <v>2496</v>
      </c>
      <c r="H1216" s="1" t="s">
        <v>2497</v>
      </c>
    </row>
    <row r="1217" spans="1:8" x14ac:dyDescent="0.2">
      <c r="A1217" s="5">
        <v>45728.500054722223</v>
      </c>
      <c r="B1217" s="1" t="s">
        <v>1139</v>
      </c>
      <c r="C1217" s="1">
        <v>2024</v>
      </c>
      <c r="D1217" s="1" t="s">
        <v>1866</v>
      </c>
      <c r="E1217" s="6" t="s">
        <v>2498</v>
      </c>
      <c r="G1217" s="6" t="s">
        <v>2499</v>
      </c>
      <c r="H1217" s="1" t="s">
        <v>2500</v>
      </c>
    </row>
    <row r="1218" spans="1:8" x14ac:dyDescent="0.2">
      <c r="A1218" s="5">
        <v>45728.500720254626</v>
      </c>
      <c r="B1218" s="1" t="s">
        <v>1139</v>
      </c>
      <c r="C1218" s="1">
        <v>2024</v>
      </c>
      <c r="D1218" s="1" t="s">
        <v>2197</v>
      </c>
      <c r="E1218" s="6" t="s">
        <v>2501</v>
      </c>
      <c r="G1218" s="6" t="s">
        <v>2502</v>
      </c>
      <c r="H1218" s="1" t="s">
        <v>2503</v>
      </c>
    </row>
    <row r="1219" spans="1:8" x14ac:dyDescent="0.2">
      <c r="A1219" s="5">
        <v>45728.551893402779</v>
      </c>
      <c r="B1219" s="1" t="s">
        <v>22</v>
      </c>
      <c r="C1219" s="1">
        <v>2024</v>
      </c>
      <c r="D1219" s="1" t="s">
        <v>2197</v>
      </c>
      <c r="E1219" s="6" t="s">
        <v>2504</v>
      </c>
      <c r="G1219" s="6" t="s">
        <v>2505</v>
      </c>
      <c r="H1219" s="1" t="s">
        <v>2506</v>
      </c>
    </row>
    <row r="1220" spans="1:8" x14ac:dyDescent="0.2">
      <c r="A1220" s="5">
        <v>45729.409252662037</v>
      </c>
      <c r="B1220" s="1" t="s">
        <v>8</v>
      </c>
      <c r="C1220" s="1">
        <v>2024</v>
      </c>
      <c r="D1220" s="1" t="s">
        <v>2197</v>
      </c>
      <c r="E1220" s="6" t="s">
        <v>2507</v>
      </c>
      <c r="G1220" s="6" t="s">
        <v>2508</v>
      </c>
      <c r="H1220" s="1" t="s">
        <v>2509</v>
      </c>
    </row>
    <row r="1221" spans="1:8" x14ac:dyDescent="0.2">
      <c r="A1221" s="5">
        <v>45729.566352210648</v>
      </c>
      <c r="B1221" s="1" t="s">
        <v>47</v>
      </c>
      <c r="C1221" s="1">
        <v>2025</v>
      </c>
      <c r="D1221" s="1" t="s">
        <v>318</v>
      </c>
      <c r="E1221" s="6" t="s">
        <v>2510</v>
      </c>
      <c r="G1221" s="6" t="s">
        <v>2511</v>
      </c>
      <c r="H1221" s="1" t="s">
        <v>2512</v>
      </c>
    </row>
    <row r="1222" spans="1:8" x14ac:dyDescent="0.2">
      <c r="A1222" s="5">
        <v>45729.596489710646</v>
      </c>
      <c r="B1222" s="1" t="s">
        <v>11</v>
      </c>
      <c r="C1222" s="1">
        <v>2025</v>
      </c>
      <c r="D1222" s="1" t="s">
        <v>318</v>
      </c>
      <c r="E1222" s="6" t="s">
        <v>2513</v>
      </c>
      <c r="G1222" s="6" t="s">
        <v>2514</v>
      </c>
      <c r="H1222" s="1" t="s">
        <v>2515</v>
      </c>
    </row>
    <row r="1223" spans="1:8" x14ac:dyDescent="0.2">
      <c r="A1223" s="5">
        <v>45729.596910509259</v>
      </c>
      <c r="B1223" s="1" t="s">
        <v>11</v>
      </c>
      <c r="C1223" s="1">
        <v>2025</v>
      </c>
      <c r="D1223" s="1" t="s">
        <v>352</v>
      </c>
      <c r="E1223" s="6" t="s">
        <v>2516</v>
      </c>
      <c r="G1223" s="6" t="s">
        <v>2517</v>
      </c>
      <c r="H1223" s="1" t="s">
        <v>2518</v>
      </c>
    </row>
    <row r="1224" spans="1:8" x14ac:dyDescent="0.2">
      <c r="A1224" s="5">
        <v>45730.41490787037</v>
      </c>
      <c r="B1224" s="1" t="s">
        <v>53</v>
      </c>
      <c r="C1224" s="1">
        <v>2025</v>
      </c>
      <c r="D1224" s="1" t="s">
        <v>2197</v>
      </c>
      <c r="E1224" s="6" t="s">
        <v>2519</v>
      </c>
      <c r="G1224" s="6" t="s">
        <v>2520</v>
      </c>
      <c r="H1224" s="1" t="s">
        <v>2521</v>
      </c>
    </row>
    <row r="1225" spans="1:8" x14ac:dyDescent="0.2">
      <c r="A1225" s="5">
        <v>45730.428324872686</v>
      </c>
      <c r="B1225" s="1" t="s">
        <v>1873</v>
      </c>
      <c r="C1225" s="1">
        <v>2025</v>
      </c>
      <c r="D1225" s="1" t="s">
        <v>2197</v>
      </c>
      <c r="E1225" s="6" t="s">
        <v>2522</v>
      </c>
      <c r="G1225" s="6" t="s">
        <v>2523</v>
      </c>
      <c r="H1225" s="1" t="s">
        <v>2524</v>
      </c>
    </row>
    <row r="1226" spans="1:8" x14ac:dyDescent="0.2">
      <c r="A1226" s="5">
        <v>45730.456500925924</v>
      </c>
      <c r="B1226" s="1" t="s">
        <v>666</v>
      </c>
      <c r="C1226" s="1">
        <v>2025</v>
      </c>
      <c r="D1226" s="1" t="s">
        <v>2197</v>
      </c>
      <c r="E1226" s="6" t="s">
        <v>2525</v>
      </c>
      <c r="G1226" s="6" t="s">
        <v>2526</v>
      </c>
      <c r="H1226" s="1" t="s">
        <v>2527</v>
      </c>
    </row>
    <row r="1227" spans="1:8" x14ac:dyDescent="0.2">
      <c r="A1227" s="5">
        <v>45730.471230821757</v>
      </c>
      <c r="B1227" s="1" t="s">
        <v>37</v>
      </c>
      <c r="C1227" s="1">
        <v>2024</v>
      </c>
      <c r="D1227" s="1" t="s">
        <v>2197</v>
      </c>
      <c r="E1227" s="6" t="s">
        <v>2528</v>
      </c>
      <c r="G1227" s="6" t="s">
        <v>2529</v>
      </c>
      <c r="H1227" s="1" t="s">
        <v>2530</v>
      </c>
    </row>
    <row r="1228" spans="1:8" x14ac:dyDescent="0.2">
      <c r="A1228" s="5">
        <v>45730.479109178239</v>
      </c>
      <c r="B1228" s="1" t="s">
        <v>666</v>
      </c>
      <c r="C1228" s="1">
        <v>2025</v>
      </c>
      <c r="D1228" s="1" t="s">
        <v>318</v>
      </c>
      <c r="E1228" s="6" t="s">
        <v>2531</v>
      </c>
      <c r="G1228" s="6" t="s">
        <v>2532</v>
      </c>
      <c r="H1228" s="1" t="s">
        <v>2533</v>
      </c>
    </row>
    <row r="1229" spans="1:8" x14ac:dyDescent="0.2">
      <c r="A1229" s="5">
        <v>45731.572727638893</v>
      </c>
      <c r="B1229" s="1" t="s">
        <v>464</v>
      </c>
      <c r="C1229" s="1">
        <v>2025</v>
      </c>
      <c r="D1229" s="1" t="s">
        <v>2197</v>
      </c>
      <c r="E1229" s="6" t="s">
        <v>2534</v>
      </c>
      <c r="G1229" s="6" t="s">
        <v>2535</v>
      </c>
      <c r="H1229" s="1" t="s">
        <v>2536</v>
      </c>
    </row>
    <row r="1230" spans="1:8" x14ac:dyDescent="0.2">
      <c r="A1230" s="5">
        <v>45731.573595138892</v>
      </c>
      <c r="B1230" s="1" t="s">
        <v>464</v>
      </c>
      <c r="C1230" s="1">
        <v>2025</v>
      </c>
      <c r="D1230" s="1" t="s">
        <v>2190</v>
      </c>
      <c r="E1230" s="6" t="s">
        <v>2537</v>
      </c>
      <c r="G1230" s="6" t="s">
        <v>2538</v>
      </c>
      <c r="H1230" s="1" t="s">
        <v>2539</v>
      </c>
    </row>
    <row r="1231" spans="1:8" x14ac:dyDescent="0.2">
      <c r="A1231" s="5">
        <v>45731.577045995371</v>
      </c>
      <c r="B1231" s="1" t="s">
        <v>464</v>
      </c>
      <c r="C1231" s="1">
        <v>2025</v>
      </c>
      <c r="D1231" s="1" t="s">
        <v>318</v>
      </c>
      <c r="E1231" s="6" t="s">
        <v>2540</v>
      </c>
      <c r="G1231" s="6" t="s">
        <v>2541</v>
      </c>
      <c r="H1231" s="1" t="s">
        <v>2542</v>
      </c>
    </row>
    <row r="1232" spans="1:8" x14ac:dyDescent="0.2">
      <c r="A1232" s="5">
        <v>45733.375850231481</v>
      </c>
      <c r="B1232" s="1" t="s">
        <v>27</v>
      </c>
      <c r="C1232" s="1">
        <v>2025</v>
      </c>
      <c r="D1232" s="1" t="s">
        <v>352</v>
      </c>
      <c r="E1232" s="6" t="s">
        <v>2543</v>
      </c>
      <c r="F1232" s="7" t="str">
        <f>HYPERLINK("https://drive.google.com/open?id=1bGJWCN7-bZQSl3cMCCd4KJRrHz1r1jve","1 files moved")</f>
        <v>1 files moved</v>
      </c>
      <c r="G1232" s="6" t="s">
        <v>2544</v>
      </c>
      <c r="H1232" s="1" t="s">
        <v>2545</v>
      </c>
    </row>
    <row r="1233" spans="1:8" x14ac:dyDescent="0.2">
      <c r="A1233" s="5">
        <v>45733.37752065972</v>
      </c>
      <c r="B1233" s="1" t="s">
        <v>378</v>
      </c>
      <c r="C1233" s="1">
        <v>2025</v>
      </c>
      <c r="D1233" s="1" t="s">
        <v>352</v>
      </c>
      <c r="E1233" s="6" t="s">
        <v>2546</v>
      </c>
      <c r="F1233" s="7" t="str">
        <f>HYPERLINK("https://drive.google.com/open?id=1UaOhVLC8EU7AZLMQiErwZkrTRt0YZt3o","1 files moved")</f>
        <v>1 files moved</v>
      </c>
      <c r="G1233" s="6" t="s">
        <v>2547</v>
      </c>
      <c r="H1233" s="1" t="s">
        <v>2548</v>
      </c>
    </row>
    <row r="1234" spans="1:8" x14ac:dyDescent="0.2">
      <c r="A1234" s="5">
        <v>45733.38174813657</v>
      </c>
      <c r="B1234" s="1" t="s">
        <v>13</v>
      </c>
      <c r="C1234" s="1">
        <v>2025</v>
      </c>
      <c r="D1234" s="1" t="s">
        <v>318</v>
      </c>
      <c r="E1234" s="6" t="s">
        <v>2549</v>
      </c>
      <c r="F1234" s="7" t="str">
        <f t="shared" ref="F1234:F1235" si="40">HYPERLINK("https://drive.google.com/open?id=1Zryv8yNLErRzmBqkGZTRY6f8oQgaib5M","1 files moved")</f>
        <v>1 files moved</v>
      </c>
      <c r="G1234" s="6" t="s">
        <v>2550</v>
      </c>
      <c r="H1234" s="1" t="s">
        <v>2551</v>
      </c>
    </row>
    <row r="1235" spans="1:8" x14ac:dyDescent="0.2">
      <c r="A1235" s="5">
        <v>45733.382056805553</v>
      </c>
      <c r="B1235" s="1" t="s">
        <v>13</v>
      </c>
      <c r="C1235" s="1">
        <v>2025</v>
      </c>
      <c r="D1235" s="1" t="s">
        <v>352</v>
      </c>
      <c r="E1235" s="6" t="s">
        <v>2552</v>
      </c>
      <c r="F1235" s="7" t="str">
        <f t="shared" si="40"/>
        <v>1 files moved</v>
      </c>
      <c r="G1235" s="6" t="s">
        <v>2553</v>
      </c>
      <c r="H1235" s="1" t="s">
        <v>2554</v>
      </c>
    </row>
    <row r="1236" spans="1:8" x14ac:dyDescent="0.2">
      <c r="A1236" s="5">
        <v>45733.410941076392</v>
      </c>
      <c r="B1236" s="1" t="s">
        <v>43</v>
      </c>
      <c r="C1236" s="1">
        <v>2025</v>
      </c>
      <c r="D1236" s="1" t="s">
        <v>2197</v>
      </c>
      <c r="E1236" s="6" t="s">
        <v>2555</v>
      </c>
      <c r="G1236" s="6" t="s">
        <v>2556</v>
      </c>
      <c r="H1236" s="1" t="s">
        <v>2557</v>
      </c>
    </row>
    <row r="1237" spans="1:8" x14ac:dyDescent="0.2">
      <c r="A1237" s="5">
        <v>45733.412081597227</v>
      </c>
      <c r="B1237" s="1" t="s">
        <v>43</v>
      </c>
      <c r="C1237" s="1">
        <v>2025</v>
      </c>
      <c r="D1237" s="1" t="s">
        <v>2190</v>
      </c>
      <c r="E1237" s="6" t="s">
        <v>2558</v>
      </c>
      <c r="G1237" s="6" t="s">
        <v>2559</v>
      </c>
      <c r="H1237" s="1" t="s">
        <v>2560</v>
      </c>
    </row>
    <row r="1238" spans="1:8" x14ac:dyDescent="0.2">
      <c r="A1238" s="5">
        <v>45733.412600543983</v>
      </c>
      <c r="B1238" s="1" t="s">
        <v>43</v>
      </c>
      <c r="C1238" s="1">
        <v>2025</v>
      </c>
      <c r="D1238" s="1" t="s">
        <v>2190</v>
      </c>
      <c r="E1238" s="6" t="s">
        <v>2561</v>
      </c>
      <c r="G1238" s="6" t="s">
        <v>2562</v>
      </c>
      <c r="H1238" s="1" t="s">
        <v>2563</v>
      </c>
    </row>
    <row r="1239" spans="1:8" x14ac:dyDescent="0.2">
      <c r="A1239" s="5">
        <v>45733.451478263887</v>
      </c>
      <c r="B1239" s="1" t="s">
        <v>68</v>
      </c>
      <c r="C1239" s="1">
        <v>2025</v>
      </c>
      <c r="D1239" s="1" t="s">
        <v>352</v>
      </c>
      <c r="E1239" s="6" t="s">
        <v>2564</v>
      </c>
      <c r="G1239" s="6" t="s">
        <v>2565</v>
      </c>
      <c r="H1239" s="1" t="s">
        <v>2566</v>
      </c>
    </row>
    <row r="1240" spans="1:8" x14ac:dyDescent="0.2">
      <c r="A1240" s="5">
        <v>45733.470997326389</v>
      </c>
      <c r="B1240" s="1" t="s">
        <v>70</v>
      </c>
      <c r="C1240" s="1">
        <v>2025</v>
      </c>
      <c r="D1240" s="1" t="s">
        <v>352</v>
      </c>
      <c r="E1240" s="6" t="s">
        <v>2567</v>
      </c>
      <c r="G1240" s="6" t="s">
        <v>2568</v>
      </c>
      <c r="H1240" s="1" t="s">
        <v>2569</v>
      </c>
    </row>
    <row r="1241" spans="1:8" x14ac:dyDescent="0.2">
      <c r="A1241" s="5">
        <v>45733.471941157404</v>
      </c>
      <c r="B1241" s="1" t="s">
        <v>70</v>
      </c>
      <c r="C1241" s="1">
        <v>2025</v>
      </c>
      <c r="D1241" s="1" t="s">
        <v>318</v>
      </c>
      <c r="E1241" s="6" t="s">
        <v>2570</v>
      </c>
      <c r="G1241" s="6" t="s">
        <v>2571</v>
      </c>
      <c r="H1241" s="1" t="s">
        <v>2572</v>
      </c>
    </row>
    <row r="1242" spans="1:8" x14ac:dyDescent="0.2">
      <c r="A1242" s="5">
        <v>45735.382071273147</v>
      </c>
      <c r="B1242" s="1" t="s">
        <v>969</v>
      </c>
      <c r="C1242" s="1">
        <v>2025</v>
      </c>
      <c r="D1242" s="1" t="s">
        <v>318</v>
      </c>
      <c r="E1242" s="6" t="s">
        <v>2573</v>
      </c>
      <c r="G1242" s="6" t="s">
        <v>2574</v>
      </c>
      <c r="H1242" s="1" t="s">
        <v>2575</v>
      </c>
    </row>
    <row r="1243" spans="1:8" x14ac:dyDescent="0.2">
      <c r="A1243" s="5">
        <v>45735.478567858794</v>
      </c>
      <c r="B1243" s="1" t="s">
        <v>43</v>
      </c>
      <c r="C1243" s="1">
        <v>2025</v>
      </c>
      <c r="D1243" s="1" t="s">
        <v>318</v>
      </c>
      <c r="E1243" s="6" t="s">
        <v>2576</v>
      </c>
      <c r="G1243" s="6" t="s">
        <v>2577</v>
      </c>
      <c r="H1243" s="1" t="s">
        <v>2578</v>
      </c>
    </row>
    <row r="1244" spans="1:8" x14ac:dyDescent="0.2">
      <c r="A1244" s="5">
        <v>45736.392793067134</v>
      </c>
      <c r="B1244" s="1" t="s">
        <v>45</v>
      </c>
      <c r="C1244" s="1">
        <v>2025</v>
      </c>
      <c r="D1244" s="1" t="s">
        <v>318</v>
      </c>
      <c r="E1244" s="6" t="s">
        <v>2579</v>
      </c>
      <c r="G1244" s="6" t="s">
        <v>2580</v>
      </c>
      <c r="H1244" s="1" t="s">
        <v>2581</v>
      </c>
    </row>
    <row r="1245" spans="1:8" x14ac:dyDescent="0.2">
      <c r="A1245" s="5">
        <v>45758.515738321759</v>
      </c>
      <c r="B1245" s="1" t="s">
        <v>35</v>
      </c>
      <c r="C1245" s="1">
        <v>2025</v>
      </c>
      <c r="D1245" s="1" t="s">
        <v>352</v>
      </c>
      <c r="E1245" s="6" t="s">
        <v>2582</v>
      </c>
      <c r="F1245" s="7" t="str">
        <f t="shared" ref="F1245:F1246" si="41">HYPERLINK("https://drive.google.com/open?id=1p9rKdY4QkNWIsmYys86EoZpuyIpPfpst","1 files moved")</f>
        <v>1 files moved</v>
      </c>
      <c r="G1245" s="6" t="s">
        <v>2583</v>
      </c>
      <c r="H1245" s="1" t="s">
        <v>2584</v>
      </c>
    </row>
    <row r="1246" spans="1:8" x14ac:dyDescent="0.2">
      <c r="A1246" s="5">
        <v>45758.516832511574</v>
      </c>
      <c r="B1246" s="1" t="s">
        <v>35</v>
      </c>
      <c r="C1246" s="1">
        <v>2025</v>
      </c>
      <c r="D1246" s="1" t="s">
        <v>318</v>
      </c>
      <c r="E1246" s="6" t="s">
        <v>2585</v>
      </c>
      <c r="F1246" s="7" t="str">
        <f t="shared" si="41"/>
        <v>1 files moved</v>
      </c>
      <c r="G1246" s="6" t="s">
        <v>2586</v>
      </c>
      <c r="H1246" s="1" t="s">
        <v>2587</v>
      </c>
    </row>
    <row r="1247" spans="1:8" x14ac:dyDescent="0.2">
      <c r="A1247" s="5">
        <v>45761.377544618052</v>
      </c>
      <c r="B1247" s="1" t="s">
        <v>397</v>
      </c>
      <c r="C1247" s="1">
        <v>2025</v>
      </c>
      <c r="D1247" s="1" t="s">
        <v>318</v>
      </c>
      <c r="E1247" s="6" t="s">
        <v>2588</v>
      </c>
      <c r="F1247" s="7" t="str">
        <f>HYPERLINK("https://drive.google.com/open?id=11skWmlW9bg1I5Y0qbtAwiD9dgHdxhUYl","1 files moved")</f>
        <v>1 files moved</v>
      </c>
      <c r="G1247" s="6" t="s">
        <v>2589</v>
      </c>
      <c r="H1247" s="1" t="s">
        <v>2590</v>
      </c>
    </row>
    <row r="1248" spans="1:8" x14ac:dyDescent="0.2">
      <c r="A1248" s="5">
        <v>45762.372285740741</v>
      </c>
      <c r="B1248" s="1" t="s">
        <v>43</v>
      </c>
      <c r="C1248" s="1">
        <v>2025</v>
      </c>
      <c r="D1248" s="1" t="s">
        <v>352</v>
      </c>
      <c r="E1248" s="6" t="s">
        <v>2591</v>
      </c>
      <c r="F1248" s="7" t="str">
        <f>HYPERLINK("https://drive.google.com/open?id=1V4TGvz085_QBAvEUyDaeNyMolr93zOZK","1 files moved")</f>
        <v>1 files moved</v>
      </c>
      <c r="G1248" s="6" t="s">
        <v>2592</v>
      </c>
      <c r="H1248" s="1" t="s">
        <v>2593</v>
      </c>
    </row>
    <row r="1249" spans="1:8" x14ac:dyDescent="0.2">
      <c r="A1249" s="5">
        <v>45762.385701666666</v>
      </c>
      <c r="B1249" s="1" t="s">
        <v>397</v>
      </c>
      <c r="C1249" s="1">
        <v>2025</v>
      </c>
      <c r="D1249" s="1" t="s">
        <v>352</v>
      </c>
      <c r="E1249" s="6" t="s">
        <v>2594</v>
      </c>
      <c r="F1249" s="7" t="str">
        <f t="shared" ref="F1249:F1250" si="42">HYPERLINK("https://drive.google.com/open?id=11skWmlW9bg1I5Y0qbtAwiD9dgHdxhUYl","1 files moved")</f>
        <v>1 files moved</v>
      </c>
      <c r="G1249" s="6" t="s">
        <v>2595</v>
      </c>
      <c r="H1249" s="1" t="s">
        <v>2596</v>
      </c>
    </row>
    <row r="1250" spans="1:8" x14ac:dyDescent="0.2">
      <c r="A1250" s="5">
        <v>45762.386152141204</v>
      </c>
      <c r="B1250" s="1" t="s">
        <v>397</v>
      </c>
      <c r="C1250" s="1">
        <v>2025</v>
      </c>
      <c r="D1250" s="1" t="s">
        <v>9</v>
      </c>
      <c r="E1250" s="6" t="s">
        <v>2597</v>
      </c>
      <c r="F1250" s="7" t="str">
        <f t="shared" si="42"/>
        <v>1 files moved</v>
      </c>
      <c r="G1250" s="6" t="s">
        <v>2598</v>
      </c>
      <c r="H1250" s="1" t="s">
        <v>2599</v>
      </c>
    </row>
    <row r="1251" spans="1:8" x14ac:dyDescent="0.2">
      <c r="A1251" s="5">
        <v>45762.390234872684</v>
      </c>
      <c r="B1251" s="1" t="s">
        <v>43</v>
      </c>
      <c r="C1251" s="1">
        <v>2025</v>
      </c>
      <c r="D1251" s="1" t="s">
        <v>9</v>
      </c>
      <c r="E1251" s="6" t="s">
        <v>2600</v>
      </c>
      <c r="F1251" s="7" t="str">
        <f>HYPERLINK("https://drive.google.com/open?id=1V4TGvz085_QBAvEUyDaeNyMolr93zOZK","1 files moved")</f>
        <v>1 files moved</v>
      </c>
      <c r="G1251" s="6" t="s">
        <v>2601</v>
      </c>
      <c r="H1251" s="1" t="s">
        <v>2602</v>
      </c>
    </row>
    <row r="1252" spans="1:8" x14ac:dyDescent="0.2">
      <c r="A1252" s="5">
        <v>45764.452527939815</v>
      </c>
      <c r="B1252" s="1" t="s">
        <v>37</v>
      </c>
      <c r="C1252" s="1">
        <v>2025</v>
      </c>
      <c r="D1252" s="1" t="s">
        <v>352</v>
      </c>
      <c r="E1252" s="6" t="s">
        <v>2603</v>
      </c>
      <c r="F1252" s="7" t="str">
        <f t="shared" ref="F1252:F1253" si="43">HYPERLINK("https://drive.google.com/open?id=1qa1mLZHOuZIAKZUnYIblWo1lTS9NuBTm","1 files moved")</f>
        <v>1 files moved</v>
      </c>
      <c r="G1252" s="6" t="s">
        <v>2604</v>
      </c>
      <c r="H1252" s="1" t="s">
        <v>2605</v>
      </c>
    </row>
    <row r="1253" spans="1:8" x14ac:dyDescent="0.2">
      <c r="A1253" s="5">
        <v>45764.452860717589</v>
      </c>
      <c r="B1253" s="1" t="s">
        <v>37</v>
      </c>
      <c r="C1253" s="1">
        <v>2025</v>
      </c>
      <c r="D1253" s="1" t="s">
        <v>9</v>
      </c>
      <c r="E1253" s="6" t="s">
        <v>2606</v>
      </c>
      <c r="F1253" s="7" t="str">
        <f t="shared" si="43"/>
        <v>1 files moved</v>
      </c>
      <c r="G1253" s="6" t="s">
        <v>2607</v>
      </c>
      <c r="H1253" s="1" t="s">
        <v>2608</v>
      </c>
    </row>
    <row r="1254" spans="1:8" x14ac:dyDescent="0.2">
      <c r="A1254" s="5">
        <v>45768.35372864583</v>
      </c>
      <c r="B1254" s="1" t="s">
        <v>39</v>
      </c>
      <c r="C1254" s="1">
        <v>2025</v>
      </c>
      <c r="D1254" s="1" t="s">
        <v>9</v>
      </c>
      <c r="E1254" s="6" t="s">
        <v>2609</v>
      </c>
      <c r="F1254" s="7" t="str">
        <f t="shared" ref="F1254:F1255" si="44">HYPERLINK("https://drive.google.com/open?id=1BZohlpYH-tCf-m6ifXipKqyT42Gbzhkv","1 files moved")</f>
        <v>1 files moved</v>
      </c>
      <c r="G1254" s="6" t="s">
        <v>2610</v>
      </c>
      <c r="H1254" s="1" t="s">
        <v>2611</v>
      </c>
    </row>
    <row r="1255" spans="1:8" x14ac:dyDescent="0.2">
      <c r="A1255" s="5">
        <v>45768.355347662036</v>
      </c>
      <c r="B1255" s="1" t="s">
        <v>39</v>
      </c>
      <c r="C1255" s="1">
        <v>2025</v>
      </c>
      <c r="D1255" s="1" t="s">
        <v>9</v>
      </c>
      <c r="E1255" s="6" t="s">
        <v>2612</v>
      </c>
      <c r="F1255" s="7" t="str">
        <f t="shared" si="44"/>
        <v>1 files moved</v>
      </c>
      <c r="G1255" s="6" t="s">
        <v>2613</v>
      </c>
      <c r="H1255" s="1" t="s">
        <v>2614</v>
      </c>
    </row>
    <row r="1256" spans="1:8" x14ac:dyDescent="0.2">
      <c r="A1256" s="5">
        <v>45768.384330046298</v>
      </c>
      <c r="B1256" s="1" t="s">
        <v>68</v>
      </c>
      <c r="C1256" s="1">
        <v>2025</v>
      </c>
      <c r="D1256" s="1" t="s">
        <v>9</v>
      </c>
      <c r="E1256" s="6" t="s">
        <v>2615</v>
      </c>
      <c r="F1256" s="7" t="str">
        <f>HYPERLINK("https://drive.google.com/open?id=1OV29wdO4ju235Dn_RfWfQvZfv8o_gJRA","1 files moved")</f>
        <v>1 files moved</v>
      </c>
      <c r="G1256" s="6" t="s">
        <v>2616</v>
      </c>
      <c r="H1256" s="1" t="s">
        <v>2617</v>
      </c>
    </row>
    <row r="1257" spans="1:8" x14ac:dyDescent="0.2">
      <c r="A1257" s="5">
        <v>45768.43805384259</v>
      </c>
      <c r="B1257" s="1" t="s">
        <v>330</v>
      </c>
      <c r="C1257" s="1">
        <v>2025</v>
      </c>
      <c r="D1257" s="1" t="s">
        <v>78</v>
      </c>
      <c r="E1257" s="6" t="s">
        <v>2618</v>
      </c>
      <c r="F1257" s="7" t="str">
        <f>HYPERLINK("https://drive.google.com/open?id=1jgWFJ1Rnlmfp-xLJYcsceHq4Kj-jmyCy","1 files moved")</f>
        <v>1 files moved</v>
      </c>
      <c r="G1257" s="6" t="s">
        <v>2619</v>
      </c>
      <c r="H1257" s="1" t="s">
        <v>2620</v>
      </c>
    </row>
    <row r="1258" spans="1:8" x14ac:dyDescent="0.2">
      <c r="A1258" s="5">
        <v>45769.639847592596</v>
      </c>
      <c r="B1258" s="1" t="s">
        <v>56</v>
      </c>
      <c r="C1258" s="1">
        <v>2025</v>
      </c>
      <c r="D1258" s="1" t="s">
        <v>9</v>
      </c>
      <c r="E1258" s="6" t="s">
        <v>2621</v>
      </c>
      <c r="F1258" s="7" t="str">
        <f>HYPERLINK("https://drive.google.com/open?id=1YZIPSo9PodNGWCjC1zK15cW1JEByXJ7w","1 files moved")</f>
        <v>1 files moved</v>
      </c>
      <c r="G1258" s="6" t="s">
        <v>2622</v>
      </c>
      <c r="H1258" s="1" t="s">
        <v>2623</v>
      </c>
    </row>
    <row r="1259" spans="1:8" x14ac:dyDescent="0.2">
      <c r="A1259" s="5">
        <v>45769.644041504631</v>
      </c>
      <c r="B1259" s="1" t="s">
        <v>24</v>
      </c>
      <c r="C1259" s="1">
        <v>2025</v>
      </c>
      <c r="D1259" s="1" t="s">
        <v>9</v>
      </c>
      <c r="E1259" s="8" t="s">
        <v>2624</v>
      </c>
      <c r="F1259" s="7" t="str">
        <f t="shared" ref="F1259:F1261" si="45">HYPERLINK("https://drive.google.com/open?id=1lAkCTSJDqjfWsuZxvLL2COI53gbRENb_","1 files moved")</f>
        <v>1 files moved</v>
      </c>
      <c r="G1259" s="6" t="s">
        <v>2625</v>
      </c>
      <c r="H1259" s="1" t="s">
        <v>2626</v>
      </c>
    </row>
    <row r="1260" spans="1:8" x14ac:dyDescent="0.2">
      <c r="A1260" s="5">
        <v>45769.646730752313</v>
      </c>
      <c r="B1260" s="1" t="s">
        <v>24</v>
      </c>
      <c r="C1260" s="1">
        <v>2025</v>
      </c>
      <c r="D1260" s="1" t="s">
        <v>318</v>
      </c>
      <c r="E1260" s="6" t="s">
        <v>2627</v>
      </c>
      <c r="F1260" s="7" t="str">
        <f t="shared" si="45"/>
        <v>1 files moved</v>
      </c>
      <c r="G1260" s="6" t="s">
        <v>2628</v>
      </c>
      <c r="H1260" s="1" t="s">
        <v>2629</v>
      </c>
    </row>
    <row r="1261" spans="1:8" x14ac:dyDescent="0.2">
      <c r="A1261" s="5">
        <v>45769.647050972228</v>
      </c>
      <c r="B1261" s="1" t="s">
        <v>24</v>
      </c>
      <c r="C1261" s="1">
        <v>2025</v>
      </c>
      <c r="D1261" s="1" t="s">
        <v>352</v>
      </c>
      <c r="E1261" s="6" t="s">
        <v>2630</v>
      </c>
      <c r="F1261" s="7" t="str">
        <f t="shared" si="45"/>
        <v>1 files moved</v>
      </c>
      <c r="G1261" s="6" t="s">
        <v>2631</v>
      </c>
      <c r="H1261" s="1" t="s">
        <v>2632</v>
      </c>
    </row>
    <row r="1262" spans="1:8" x14ac:dyDescent="0.2">
      <c r="A1262" s="5">
        <v>45769.649400243055</v>
      </c>
      <c r="B1262" s="1" t="s">
        <v>56</v>
      </c>
      <c r="C1262" s="1">
        <v>2025</v>
      </c>
      <c r="D1262" s="1" t="s">
        <v>318</v>
      </c>
      <c r="E1262" s="6" t="s">
        <v>2633</v>
      </c>
      <c r="F1262" s="7" t="str">
        <f>HYPERLINK("https://drive.google.com/open?id=1YZIPSo9PodNGWCjC1zK15cW1JEByXJ7w","1 files moved")</f>
        <v>1 files moved</v>
      </c>
      <c r="G1262" s="6" t="s">
        <v>2634</v>
      </c>
      <c r="H1262" s="1" t="s">
        <v>2635</v>
      </c>
    </row>
    <row r="1263" spans="1:8" x14ac:dyDescent="0.2">
      <c r="A1263" s="5">
        <v>45769.649472534722</v>
      </c>
      <c r="B1263" s="1" t="s">
        <v>11</v>
      </c>
      <c r="C1263" s="1">
        <v>2025</v>
      </c>
      <c r="D1263" s="1" t="s">
        <v>9</v>
      </c>
      <c r="E1263" s="6" t="s">
        <v>2636</v>
      </c>
      <c r="F1263" s="7" t="str">
        <f>HYPERLINK("https://drive.google.com/open?id=1YzDqbFE4H4BS5N9a8WbsE5FQL-HEPRMj","1 files moved")</f>
        <v>1 files moved</v>
      </c>
      <c r="G1263" s="6" t="s">
        <v>2637</v>
      </c>
      <c r="H1263" s="1" t="s">
        <v>2638</v>
      </c>
    </row>
    <row r="1264" spans="1:8" x14ac:dyDescent="0.2">
      <c r="A1264" s="5">
        <v>45769.64966012731</v>
      </c>
      <c r="B1264" s="1" t="s">
        <v>56</v>
      </c>
      <c r="C1264" s="1">
        <v>2025</v>
      </c>
      <c r="D1264" s="1" t="s">
        <v>352</v>
      </c>
      <c r="E1264" s="6" t="s">
        <v>2639</v>
      </c>
      <c r="F1264" s="7" t="str">
        <f>HYPERLINK("https://drive.google.com/open?id=1YZIPSo9PodNGWCjC1zK15cW1JEByXJ7w","1 files moved")</f>
        <v>1 files moved</v>
      </c>
      <c r="G1264" s="6" t="s">
        <v>2640</v>
      </c>
      <c r="H1264" s="1" t="s">
        <v>2641</v>
      </c>
    </row>
    <row r="1265" spans="1:8" x14ac:dyDescent="0.2">
      <c r="A1265" s="5">
        <v>45770.417101944447</v>
      </c>
      <c r="B1265" s="1" t="s">
        <v>62</v>
      </c>
      <c r="C1265" s="1">
        <v>2025</v>
      </c>
      <c r="D1265" s="1" t="s">
        <v>352</v>
      </c>
      <c r="E1265" s="6" t="s">
        <v>2642</v>
      </c>
      <c r="F1265" s="7" t="str">
        <f t="shared" ref="F1265:F1266" si="46">HYPERLINK("https://drive.google.com/open?id=1CSWuwAcjfOUkpFz17anJSHXpLD9oH9ta","1 files moved")</f>
        <v>1 files moved</v>
      </c>
      <c r="G1265" s="6" t="s">
        <v>2643</v>
      </c>
      <c r="H1265" s="1" t="s">
        <v>2644</v>
      </c>
    </row>
    <row r="1266" spans="1:8" x14ac:dyDescent="0.2">
      <c r="A1266" s="5">
        <v>45770.418041597222</v>
      </c>
      <c r="B1266" s="1" t="s">
        <v>62</v>
      </c>
      <c r="C1266" s="1">
        <v>2025</v>
      </c>
      <c r="D1266" s="1" t="s">
        <v>9</v>
      </c>
      <c r="E1266" s="6" t="s">
        <v>2645</v>
      </c>
      <c r="F1266" s="7" t="str">
        <f t="shared" si="46"/>
        <v>1 files moved</v>
      </c>
      <c r="G1266" s="6" t="s">
        <v>2646</v>
      </c>
      <c r="H1266" s="1" t="s">
        <v>2647</v>
      </c>
    </row>
    <row r="1267" spans="1:8" x14ac:dyDescent="0.2">
      <c r="A1267" s="5">
        <v>45770.660472673611</v>
      </c>
      <c r="B1267" s="1" t="s">
        <v>45</v>
      </c>
      <c r="C1267" s="1">
        <v>2025</v>
      </c>
      <c r="D1267" s="1" t="s">
        <v>352</v>
      </c>
      <c r="E1267" s="6" t="s">
        <v>2648</v>
      </c>
      <c r="F1267" s="7" t="str">
        <f t="shared" ref="F1267:F1268" si="47">HYPERLINK("https://drive.google.com/open?id=1WOu53emjYl9MgCM11eFHkgxwdHlBm2Xz","1 files moved")</f>
        <v>1 files moved</v>
      </c>
      <c r="G1267" s="6" t="s">
        <v>2649</v>
      </c>
      <c r="H1267" s="1" t="s">
        <v>2650</v>
      </c>
    </row>
    <row r="1268" spans="1:8" x14ac:dyDescent="0.2">
      <c r="A1268" s="5">
        <v>45770.66079587963</v>
      </c>
      <c r="B1268" s="1" t="s">
        <v>45</v>
      </c>
      <c r="C1268" s="1">
        <v>2025</v>
      </c>
      <c r="D1268" s="1" t="s">
        <v>9</v>
      </c>
      <c r="E1268" s="6" t="s">
        <v>2651</v>
      </c>
      <c r="F1268" s="7" t="str">
        <f t="shared" si="47"/>
        <v>1 files moved</v>
      </c>
      <c r="G1268" s="6" t="s">
        <v>2652</v>
      </c>
      <c r="H1268" s="1" t="s">
        <v>2653</v>
      </c>
    </row>
    <row r="1269" spans="1:8" x14ac:dyDescent="0.2">
      <c r="A1269" s="5">
        <v>45771.623326076384</v>
      </c>
      <c r="B1269" s="1" t="s">
        <v>686</v>
      </c>
      <c r="C1269" s="1">
        <v>2025</v>
      </c>
      <c r="D1269" s="1" t="s">
        <v>318</v>
      </c>
      <c r="E1269" s="6" t="s">
        <v>2654</v>
      </c>
      <c r="F1269" s="7" t="str">
        <f t="shared" ref="F1269:F1271" si="48">HYPERLINK("https://drive.google.com/open?id=1raKDx-uNeIvhNP7U_Rt7B4uGTAH17pUT","1 files moved")</f>
        <v>1 files moved</v>
      </c>
      <c r="G1269" s="6" t="s">
        <v>2655</v>
      </c>
      <c r="H1269" s="1" t="s">
        <v>2656</v>
      </c>
    </row>
    <row r="1270" spans="1:8" x14ac:dyDescent="0.2">
      <c r="A1270" s="5">
        <v>45771.623675208335</v>
      </c>
      <c r="B1270" s="1" t="s">
        <v>686</v>
      </c>
      <c r="C1270" s="1">
        <v>2025</v>
      </c>
      <c r="D1270" s="1" t="s">
        <v>352</v>
      </c>
      <c r="E1270" s="6" t="s">
        <v>2657</v>
      </c>
      <c r="F1270" s="7" t="str">
        <f t="shared" si="48"/>
        <v>1 files moved</v>
      </c>
      <c r="G1270" s="6" t="s">
        <v>2658</v>
      </c>
      <c r="H1270" s="1" t="s">
        <v>2659</v>
      </c>
    </row>
    <row r="1271" spans="1:8" x14ac:dyDescent="0.2">
      <c r="A1271" s="5">
        <v>45771.623947141205</v>
      </c>
      <c r="B1271" s="1" t="s">
        <v>686</v>
      </c>
      <c r="C1271" s="1">
        <v>2025</v>
      </c>
      <c r="D1271" s="1" t="s">
        <v>9</v>
      </c>
      <c r="E1271" s="8" t="s">
        <v>2660</v>
      </c>
      <c r="F1271" s="7" t="str">
        <f t="shared" si="48"/>
        <v>1 files moved</v>
      </c>
      <c r="G1271" s="6" t="s">
        <v>2661</v>
      </c>
      <c r="H1271" s="1" t="s">
        <v>2662</v>
      </c>
    </row>
    <row r="1272" spans="1:8" x14ac:dyDescent="0.2">
      <c r="A1272" s="5">
        <v>45772.329284664353</v>
      </c>
      <c r="B1272" s="1" t="s">
        <v>969</v>
      </c>
      <c r="C1272" s="1">
        <v>2025</v>
      </c>
      <c r="D1272" s="1" t="s">
        <v>318</v>
      </c>
      <c r="E1272" s="6" t="s">
        <v>2663</v>
      </c>
      <c r="F1272" s="7" t="str">
        <f t="shared" ref="F1272:F1274" si="49">HYPERLINK("https://drive.google.com/open?id=1jjaZ6sBJ-rgFFoV-a9VrKbvqiPbqOcgX","1 files moved")</f>
        <v>1 files moved</v>
      </c>
      <c r="G1272" s="6" t="s">
        <v>2664</v>
      </c>
      <c r="H1272" s="1" t="s">
        <v>2665</v>
      </c>
    </row>
    <row r="1273" spans="1:8" x14ac:dyDescent="0.2">
      <c r="A1273" s="5">
        <v>45772.329627662039</v>
      </c>
      <c r="B1273" s="1" t="s">
        <v>969</v>
      </c>
      <c r="C1273" s="1">
        <v>2025</v>
      </c>
      <c r="D1273" s="1" t="s">
        <v>352</v>
      </c>
      <c r="E1273" s="6" t="s">
        <v>2666</v>
      </c>
      <c r="F1273" s="7" t="str">
        <f t="shared" si="49"/>
        <v>1 files moved</v>
      </c>
      <c r="G1273" s="6" t="s">
        <v>2667</v>
      </c>
      <c r="H1273" s="1" t="s">
        <v>2668</v>
      </c>
    </row>
    <row r="1274" spans="1:8" x14ac:dyDescent="0.2">
      <c r="A1274" s="5">
        <v>45772.330021493057</v>
      </c>
      <c r="B1274" s="1" t="s">
        <v>969</v>
      </c>
      <c r="C1274" s="1">
        <v>2025</v>
      </c>
      <c r="D1274" s="1" t="s">
        <v>9</v>
      </c>
      <c r="E1274" s="6" t="s">
        <v>2669</v>
      </c>
      <c r="F1274" s="7" t="str">
        <f t="shared" si="49"/>
        <v>1 files moved</v>
      </c>
      <c r="G1274" s="6" t="s">
        <v>2670</v>
      </c>
      <c r="H1274" s="1" t="s">
        <v>2671</v>
      </c>
    </row>
    <row r="1275" spans="1:8" x14ac:dyDescent="0.2">
      <c r="A1275" s="5">
        <v>45772.689785532406</v>
      </c>
      <c r="B1275" s="1" t="s">
        <v>53</v>
      </c>
      <c r="C1275" s="1">
        <v>2025</v>
      </c>
      <c r="D1275" s="1" t="s">
        <v>352</v>
      </c>
      <c r="E1275" s="6" t="s">
        <v>2672</v>
      </c>
      <c r="F1275" s="7" t="str">
        <f t="shared" ref="F1275:F1276" si="50">HYPERLINK("https://drive.google.com/open?id=1mgwi5IYuDSmdes063EGgEET4VIkt5Ge6","1 files moved")</f>
        <v>1 files moved</v>
      </c>
      <c r="G1275" s="6" t="s">
        <v>2673</v>
      </c>
      <c r="H1275" s="1" t="s">
        <v>2674</v>
      </c>
    </row>
    <row r="1276" spans="1:8" x14ac:dyDescent="0.2">
      <c r="A1276" s="5">
        <v>45772.690180671299</v>
      </c>
      <c r="B1276" s="1" t="s">
        <v>53</v>
      </c>
      <c r="C1276" s="1">
        <v>2025</v>
      </c>
      <c r="D1276" s="1" t="s">
        <v>9</v>
      </c>
      <c r="E1276" s="6" t="s">
        <v>2675</v>
      </c>
      <c r="F1276" s="7" t="str">
        <f t="shared" si="50"/>
        <v>1 files moved</v>
      </c>
      <c r="G1276" s="6" t="s">
        <v>2676</v>
      </c>
      <c r="H1276" s="1" t="s">
        <v>2677</v>
      </c>
    </row>
    <row r="1277" spans="1:8" x14ac:dyDescent="0.2">
      <c r="A1277" s="5">
        <v>45775.396986770837</v>
      </c>
      <c r="B1277" s="1" t="s">
        <v>1139</v>
      </c>
      <c r="C1277" s="1">
        <v>2025</v>
      </c>
      <c r="D1277" s="1" t="s">
        <v>9</v>
      </c>
      <c r="E1277" s="6" t="s">
        <v>2678</v>
      </c>
      <c r="F1277" s="7" t="str">
        <f>HYPERLINK("https://drive.google.com/open?id=1BTw6tbsd-8pzBcPd3Qgz7GdSqpJA1avM","1 files moved")</f>
        <v>1 files moved</v>
      </c>
      <c r="G1277" s="6" t="s">
        <v>2679</v>
      </c>
      <c r="H1277" s="1" t="s">
        <v>2680</v>
      </c>
    </row>
    <row r="1278" spans="1:8" x14ac:dyDescent="0.2">
      <c r="A1278" s="5">
        <v>45775.467707326388</v>
      </c>
      <c r="B1278" s="1" t="s">
        <v>70</v>
      </c>
      <c r="C1278" s="1">
        <v>2025</v>
      </c>
      <c r="D1278" s="1" t="s">
        <v>9</v>
      </c>
      <c r="E1278" s="6" t="s">
        <v>2681</v>
      </c>
      <c r="F1278" s="7" t="str">
        <f>HYPERLINK("https://drive.google.com/open?id=1tJPwF2su0hso4TETThLNHI9_S0dJdbLl","1 files moved")</f>
        <v>1 files moved</v>
      </c>
      <c r="G1278" s="6" t="s">
        <v>2682</v>
      </c>
      <c r="H1278" s="1" t="s">
        <v>2683</v>
      </c>
    </row>
    <row r="1279" spans="1:8" x14ac:dyDescent="0.2">
      <c r="A1279" s="5">
        <v>45782.586336284723</v>
      </c>
      <c r="B1279" s="1" t="s">
        <v>47</v>
      </c>
      <c r="C1279" s="1">
        <v>2025</v>
      </c>
      <c r="D1279" s="1" t="s">
        <v>318</v>
      </c>
      <c r="E1279" s="6" t="s">
        <v>2684</v>
      </c>
      <c r="F1279" s="7" t="str">
        <f t="shared" ref="F1279:F1281" si="51">HYPERLINK("https://drive.google.com/open?id=1pM9D8l1ep_C4D6kUFxAGlSX58S2gNWw7","1 files moved")</f>
        <v>1 files moved</v>
      </c>
      <c r="G1279" s="6" t="s">
        <v>2685</v>
      </c>
      <c r="H1279" s="1" t="s">
        <v>2686</v>
      </c>
    </row>
    <row r="1280" spans="1:8" x14ac:dyDescent="0.2">
      <c r="A1280" s="5">
        <v>45782.586923136572</v>
      </c>
      <c r="B1280" s="1" t="s">
        <v>47</v>
      </c>
      <c r="C1280" s="1">
        <v>2025</v>
      </c>
      <c r="D1280" s="1" t="s">
        <v>352</v>
      </c>
      <c r="E1280" s="6" t="s">
        <v>2687</v>
      </c>
      <c r="F1280" s="7" t="str">
        <f t="shared" si="51"/>
        <v>1 files moved</v>
      </c>
      <c r="G1280" s="6" t="s">
        <v>2688</v>
      </c>
      <c r="H1280" s="1" t="s">
        <v>2689</v>
      </c>
    </row>
    <row r="1281" spans="1:8" x14ac:dyDescent="0.2">
      <c r="A1281" s="5">
        <v>45782.587311782409</v>
      </c>
      <c r="B1281" s="1" t="s">
        <v>47</v>
      </c>
      <c r="C1281" s="1">
        <v>2025</v>
      </c>
      <c r="D1281" s="1" t="s">
        <v>9</v>
      </c>
      <c r="E1281" s="6" t="s">
        <v>2690</v>
      </c>
      <c r="F1281" s="7" t="str">
        <f t="shared" si="51"/>
        <v>1 files moved</v>
      </c>
      <c r="G1281" s="6" t="s">
        <v>2691</v>
      </c>
      <c r="H1281" s="1" t="s">
        <v>2692</v>
      </c>
    </row>
    <row r="1282" spans="1:8" x14ac:dyDescent="0.2">
      <c r="A1282" s="5">
        <v>45784.467209780094</v>
      </c>
      <c r="B1282" s="1" t="s">
        <v>397</v>
      </c>
      <c r="C1282" s="1">
        <v>2025</v>
      </c>
      <c r="D1282" s="1" t="s">
        <v>78</v>
      </c>
      <c r="E1282" s="6" t="s">
        <v>2693</v>
      </c>
      <c r="F1282" s="7" t="str">
        <f>HYPERLINK("https://drive.google.com/open?id=11skWmlW9bg1I5Y0qbtAwiD9dgHdxhUYl","1 files moved")</f>
        <v>1 files moved</v>
      </c>
      <c r="G1282" s="6" t="s">
        <v>2694</v>
      </c>
      <c r="H1282" s="1" t="s">
        <v>2695</v>
      </c>
    </row>
    <row r="1283" spans="1:8" x14ac:dyDescent="0.2">
      <c r="A1283" s="5">
        <v>45784.48379460648</v>
      </c>
      <c r="B1283" s="1" t="s">
        <v>53</v>
      </c>
      <c r="C1283" s="1">
        <v>2025</v>
      </c>
      <c r="D1283" s="1" t="s">
        <v>78</v>
      </c>
      <c r="E1283" s="6" t="s">
        <v>2696</v>
      </c>
      <c r="F1283" s="7" t="str">
        <f>HYPERLINK("https://drive.google.com/open?id=1mgwi5IYuDSmdes063EGgEET4VIkt5Ge6","1 files moved")</f>
        <v>1 files moved</v>
      </c>
      <c r="G1283" s="6" t="s">
        <v>2697</v>
      </c>
      <c r="H1283" s="1" t="s">
        <v>2698</v>
      </c>
    </row>
    <row r="1284" spans="1:8" x14ac:dyDescent="0.2">
      <c r="A1284" s="5">
        <v>45784.487223738426</v>
      </c>
      <c r="B1284" s="1" t="s">
        <v>39</v>
      </c>
      <c r="C1284" s="1">
        <v>2025</v>
      </c>
      <c r="D1284" s="1" t="s">
        <v>78</v>
      </c>
      <c r="E1284" s="6" t="s">
        <v>2699</v>
      </c>
      <c r="F1284" s="7" t="str">
        <f t="shared" ref="F1284:F1285" si="52">HYPERLINK("https://drive.google.com/open?id=1BZohlpYH-tCf-m6ifXipKqyT42Gbzhkv","1 files moved")</f>
        <v>1 files moved</v>
      </c>
      <c r="G1284" s="6" t="s">
        <v>2700</v>
      </c>
      <c r="H1284" s="1" t="s">
        <v>2701</v>
      </c>
    </row>
    <row r="1285" spans="1:8" x14ac:dyDescent="0.2">
      <c r="A1285" s="5">
        <v>45784.48760226852</v>
      </c>
      <c r="B1285" s="1" t="s">
        <v>39</v>
      </c>
      <c r="C1285" s="1">
        <v>2025</v>
      </c>
      <c r="D1285" s="1" t="s">
        <v>78</v>
      </c>
      <c r="E1285" s="6" t="s">
        <v>2702</v>
      </c>
      <c r="F1285" s="7" t="str">
        <f t="shared" si="52"/>
        <v>1 files moved</v>
      </c>
      <c r="G1285" s="6" t="s">
        <v>2703</v>
      </c>
      <c r="H1285" s="1" t="s">
        <v>2704</v>
      </c>
    </row>
    <row r="1286" spans="1:8" x14ac:dyDescent="0.2">
      <c r="A1286" s="5">
        <v>45791.39287171296</v>
      </c>
      <c r="B1286" s="1" t="s">
        <v>62</v>
      </c>
      <c r="C1286" s="1">
        <v>2025</v>
      </c>
      <c r="D1286" s="1" t="s">
        <v>78</v>
      </c>
      <c r="E1286" s="6" t="s">
        <v>2705</v>
      </c>
      <c r="F1286" s="7" t="str">
        <f>HYPERLINK("https://drive.google.com/open?id=1CSWuwAcjfOUkpFz17anJSHXpLD9oH9ta","1 files moved")</f>
        <v>1 files moved</v>
      </c>
      <c r="G1286" s="6" t="s">
        <v>2706</v>
      </c>
      <c r="H1286" s="1" t="s">
        <v>2707</v>
      </c>
    </row>
    <row r="1287" spans="1:8" x14ac:dyDescent="0.2">
      <c r="A1287" s="5">
        <v>45791.473879097219</v>
      </c>
      <c r="B1287" s="1" t="s">
        <v>22</v>
      </c>
      <c r="C1287" s="1">
        <v>2025</v>
      </c>
      <c r="D1287" s="1" t="s">
        <v>78</v>
      </c>
      <c r="E1287" s="6" t="s">
        <v>2708</v>
      </c>
      <c r="F1287" s="7" t="str">
        <f>HYPERLINK("https://drive.google.com/open?id=1WAbmR1kP-K3GSrnpnC5igzsk9XdBZPD_","1 files moved")</f>
        <v>1 files moved</v>
      </c>
      <c r="G1287" s="6" t="s">
        <v>2709</v>
      </c>
      <c r="H1287" s="1" t="s">
        <v>2710</v>
      </c>
    </row>
    <row r="1288" spans="1:8" x14ac:dyDescent="0.2">
      <c r="A1288" s="5">
        <v>45792.604176064815</v>
      </c>
      <c r="B1288" s="1" t="s">
        <v>378</v>
      </c>
      <c r="C1288" s="1">
        <v>2025</v>
      </c>
      <c r="D1288" s="1" t="s">
        <v>78</v>
      </c>
      <c r="E1288" s="6" t="s">
        <v>2711</v>
      </c>
      <c r="F1288" s="7" t="str">
        <f>HYPERLINK("https://drive.google.com/open?id=1UaOhVLC8EU7AZLMQiErwZkrTRt0YZt3o","1 files moved")</f>
        <v>1 files moved</v>
      </c>
      <c r="G1288" s="6" t="s">
        <v>2712</v>
      </c>
      <c r="H1288" s="1" t="s">
        <v>2713</v>
      </c>
    </row>
    <row r="1289" spans="1:8" x14ac:dyDescent="0.2">
      <c r="A1289" s="5">
        <v>45792.625855231483</v>
      </c>
      <c r="B1289" s="1" t="s">
        <v>11</v>
      </c>
      <c r="C1289" s="1">
        <v>2025</v>
      </c>
      <c r="D1289" s="1" t="s">
        <v>78</v>
      </c>
      <c r="E1289" s="6" t="s">
        <v>2714</v>
      </c>
      <c r="F1289" s="7" t="str">
        <f>HYPERLINK("https://drive.google.com/open?id=1YzDqbFE4H4BS5N9a8WbsE5FQL-HEPRMj","1 files moved")</f>
        <v>1 files moved</v>
      </c>
      <c r="G1289" s="6" t="s">
        <v>2715</v>
      </c>
      <c r="H1289" s="1" t="s">
        <v>2716</v>
      </c>
    </row>
    <row r="1290" spans="1:8" x14ac:dyDescent="0.2">
      <c r="A1290" s="5">
        <v>45792.628824432875</v>
      </c>
      <c r="B1290" s="1" t="s">
        <v>56</v>
      </c>
      <c r="C1290" s="1">
        <v>2025</v>
      </c>
      <c r="D1290" s="1" t="s">
        <v>78</v>
      </c>
      <c r="E1290" s="6" t="s">
        <v>2717</v>
      </c>
      <c r="F1290" s="7" t="str">
        <f>HYPERLINK("https://drive.google.com/open?id=1YZIPSo9PodNGWCjC1zK15cW1JEByXJ7w","1 files moved")</f>
        <v>1 files moved</v>
      </c>
      <c r="G1290" s="6" t="s">
        <v>2718</v>
      </c>
      <c r="H1290" s="1" t="s">
        <v>2719</v>
      </c>
    </row>
    <row r="1291" spans="1:8" x14ac:dyDescent="0.2">
      <c r="A1291" s="5">
        <v>45792.793567233792</v>
      </c>
      <c r="B1291" s="1" t="s">
        <v>29</v>
      </c>
      <c r="C1291" s="1">
        <v>2025</v>
      </c>
      <c r="D1291" s="1" t="s">
        <v>78</v>
      </c>
      <c r="E1291" s="6" t="s">
        <v>2720</v>
      </c>
      <c r="F1291" s="7" t="str">
        <f>HYPERLINK("https://drive.google.com/open?id=1jO7SQkOk_xjZHSX78M31VKgg3Vt_d9Aw","1 files moved")</f>
        <v>1 files moved</v>
      </c>
      <c r="G1291" s="6" t="s">
        <v>2721</v>
      </c>
      <c r="H1291" s="1" t="s">
        <v>2722</v>
      </c>
    </row>
    <row r="1292" spans="1:8" x14ac:dyDescent="0.2">
      <c r="A1292" s="5">
        <v>45796.358845393523</v>
      </c>
      <c r="B1292" s="1" t="s">
        <v>68</v>
      </c>
      <c r="C1292" s="1">
        <v>2025</v>
      </c>
      <c r="D1292" s="1" t="s">
        <v>78</v>
      </c>
      <c r="E1292" s="6" t="s">
        <v>2723</v>
      </c>
      <c r="F1292" s="7" t="str">
        <f>HYPERLINK("https://drive.google.com/open?id=1OV29wdO4ju235Dn_RfWfQvZfv8o_gJRA","1 files moved")</f>
        <v>1 files moved</v>
      </c>
      <c r="G1292" s="6" t="s">
        <v>2724</v>
      </c>
      <c r="H1292" s="1" t="s">
        <v>2725</v>
      </c>
    </row>
    <row r="1293" spans="1:8" x14ac:dyDescent="0.2">
      <c r="A1293" s="5">
        <v>45799.379104814812</v>
      </c>
      <c r="B1293" s="1" t="s">
        <v>24</v>
      </c>
      <c r="C1293" s="1">
        <v>2025</v>
      </c>
      <c r="D1293" s="1" t="s">
        <v>78</v>
      </c>
      <c r="E1293" s="6" t="s">
        <v>2726</v>
      </c>
      <c r="F1293" s="7" t="str">
        <f>HYPERLINK("https://drive.google.com/open?id=1lAkCTSJDqjfWsuZxvLL2COI53gbRENb_","1 files moved")</f>
        <v>1 files moved</v>
      </c>
      <c r="G1293" s="6" t="s">
        <v>2727</v>
      </c>
      <c r="H1293" s="1" t="s">
        <v>2728</v>
      </c>
    </row>
    <row r="1294" spans="1:8" x14ac:dyDescent="0.2">
      <c r="A1294" s="5">
        <v>45799.417327048606</v>
      </c>
      <c r="B1294" s="1" t="s">
        <v>8</v>
      </c>
      <c r="C1294" s="1">
        <v>2025</v>
      </c>
      <c r="D1294" s="1" t="s">
        <v>318</v>
      </c>
      <c r="E1294" s="6" t="s">
        <v>2729</v>
      </c>
    </row>
    <row r="1295" spans="1:8" x14ac:dyDescent="0.2">
      <c r="A1295" s="5">
        <v>45799.418080856485</v>
      </c>
      <c r="B1295" s="1" t="s">
        <v>8</v>
      </c>
      <c r="C1295" s="1">
        <v>2025</v>
      </c>
      <c r="D1295" s="1" t="s">
        <v>352</v>
      </c>
      <c r="E1295" s="6" t="s">
        <v>2730</v>
      </c>
      <c r="F1295" s="7" t="str">
        <f t="shared" ref="F1295:F1297" si="53">HYPERLINK("https://drive.google.com/open?id=1RzBx4e3LIUFyXvV8TKxHGhvZPq7MCFk3","1 files moved")</f>
        <v>1 files moved</v>
      </c>
      <c r="G1295" s="6" t="s">
        <v>2731</v>
      </c>
      <c r="H1295" s="1" t="s">
        <v>2732</v>
      </c>
    </row>
    <row r="1296" spans="1:8" x14ac:dyDescent="0.2">
      <c r="A1296" s="5">
        <v>45799.418702777781</v>
      </c>
      <c r="B1296" s="1" t="s">
        <v>8</v>
      </c>
      <c r="C1296" s="1">
        <v>2025</v>
      </c>
      <c r="D1296" s="1" t="s">
        <v>9</v>
      </c>
      <c r="E1296" s="6" t="s">
        <v>2733</v>
      </c>
      <c r="F1296" s="7" t="str">
        <f t="shared" si="53"/>
        <v>1 files moved</v>
      </c>
      <c r="G1296" s="6" t="s">
        <v>2734</v>
      </c>
      <c r="H1296" s="1" t="s">
        <v>2735</v>
      </c>
    </row>
    <row r="1297" spans="1:8" x14ac:dyDescent="0.2">
      <c r="A1297" s="5">
        <v>45799.419119618055</v>
      </c>
      <c r="B1297" s="1" t="s">
        <v>8</v>
      </c>
      <c r="C1297" s="1">
        <v>2025</v>
      </c>
      <c r="D1297" s="1" t="s">
        <v>78</v>
      </c>
      <c r="E1297" s="6" t="s">
        <v>2736</v>
      </c>
      <c r="F1297" s="7" t="str">
        <f t="shared" si="53"/>
        <v>1 files moved</v>
      </c>
      <c r="G1297" s="6" t="s">
        <v>2737</v>
      </c>
      <c r="H1297" s="1" t="s">
        <v>2738</v>
      </c>
    </row>
    <row r="1298" spans="1:8" x14ac:dyDescent="0.2">
      <c r="A1298" s="5">
        <v>45799.486125266209</v>
      </c>
      <c r="B1298" s="1" t="s">
        <v>76</v>
      </c>
      <c r="C1298" s="1">
        <v>2025</v>
      </c>
      <c r="D1298" s="1" t="s">
        <v>78</v>
      </c>
      <c r="E1298" s="6" t="s">
        <v>2739</v>
      </c>
      <c r="F1298" s="7" t="str">
        <f>HYPERLINK("https://drive.google.com/open?id=1YKXc634Hd6ivOmY-kuk_dNKkhypgkHlR","1 files moved")</f>
        <v>1 files moved</v>
      </c>
      <c r="G1298" s="6" t="s">
        <v>2740</v>
      </c>
      <c r="H1298" s="1" t="s">
        <v>2741</v>
      </c>
    </row>
    <row r="1299" spans="1:8" x14ac:dyDescent="0.2">
      <c r="A1299" s="5">
        <v>45799.517014398152</v>
      </c>
      <c r="B1299" s="1" t="s">
        <v>43</v>
      </c>
      <c r="C1299" s="1">
        <v>2025</v>
      </c>
      <c r="D1299" s="1" t="s">
        <v>78</v>
      </c>
      <c r="E1299" s="6" t="s">
        <v>2742</v>
      </c>
      <c r="F1299" s="7" t="str">
        <f>HYPERLINK("https://drive.google.com/open?id=1V4TGvz085_QBAvEUyDaeNyMolr93zOZK","1 files moved")</f>
        <v>1 files moved</v>
      </c>
      <c r="G1299" s="6" t="s">
        <v>2743</v>
      </c>
      <c r="H1299" s="1" t="s">
        <v>2744</v>
      </c>
    </row>
    <row r="1300" spans="1:8" x14ac:dyDescent="0.2">
      <c r="A1300" s="5">
        <v>45803.293681354167</v>
      </c>
      <c r="B1300" s="1" t="s">
        <v>348</v>
      </c>
      <c r="C1300" s="1">
        <v>2025</v>
      </c>
      <c r="D1300" s="1" t="s">
        <v>318</v>
      </c>
      <c r="E1300" s="6" t="s">
        <v>2745</v>
      </c>
      <c r="F1300" s="7" t="str">
        <f t="shared" ref="F1300:F1303" si="54">HYPERLINK("https://drive.google.com/open?id=17WOaAXl5jFgeySypAmjW1SMD0z4Hcu1k","1 files moved")</f>
        <v>1 files moved</v>
      </c>
      <c r="G1300" s="6" t="s">
        <v>2746</v>
      </c>
      <c r="H1300" s="1" t="s">
        <v>2747</v>
      </c>
    </row>
    <row r="1301" spans="1:8" x14ac:dyDescent="0.2">
      <c r="A1301" s="5">
        <v>45803.294441226855</v>
      </c>
      <c r="B1301" s="1" t="s">
        <v>348</v>
      </c>
      <c r="C1301" s="1">
        <v>2025</v>
      </c>
      <c r="D1301" s="1" t="s">
        <v>352</v>
      </c>
      <c r="E1301" s="6" t="s">
        <v>2748</v>
      </c>
      <c r="F1301" s="7" t="str">
        <f t="shared" si="54"/>
        <v>1 files moved</v>
      </c>
      <c r="G1301" s="6" t="s">
        <v>2749</v>
      </c>
      <c r="H1301" s="1" t="s">
        <v>2750</v>
      </c>
    </row>
    <row r="1302" spans="1:8" x14ac:dyDescent="0.2">
      <c r="A1302" s="5">
        <v>45803.295005740743</v>
      </c>
      <c r="B1302" s="1" t="s">
        <v>348</v>
      </c>
      <c r="C1302" s="1">
        <v>2025</v>
      </c>
      <c r="D1302" s="1" t="s">
        <v>9</v>
      </c>
      <c r="E1302" s="6" t="s">
        <v>2751</v>
      </c>
      <c r="F1302" s="7" t="str">
        <f t="shared" si="54"/>
        <v>1 files moved</v>
      </c>
      <c r="G1302" s="6" t="s">
        <v>2752</v>
      </c>
      <c r="H1302" s="1" t="s">
        <v>2753</v>
      </c>
    </row>
    <row r="1303" spans="1:8" x14ac:dyDescent="0.2">
      <c r="A1303" s="5">
        <v>45803.295376284717</v>
      </c>
      <c r="B1303" s="1" t="s">
        <v>348</v>
      </c>
      <c r="C1303" s="1">
        <v>2025</v>
      </c>
      <c r="D1303" s="1" t="s">
        <v>78</v>
      </c>
      <c r="E1303" s="6" t="s">
        <v>2754</v>
      </c>
      <c r="F1303" s="7" t="str">
        <f t="shared" si="54"/>
        <v>1 files moved</v>
      </c>
      <c r="G1303" s="6" t="s">
        <v>2755</v>
      </c>
      <c r="H1303" s="1" t="s">
        <v>2756</v>
      </c>
    </row>
    <row r="1304" spans="1:8" x14ac:dyDescent="0.2">
      <c r="A1304" s="5">
        <v>45806.456934525464</v>
      </c>
      <c r="B1304" s="1" t="s">
        <v>35</v>
      </c>
      <c r="C1304" s="1">
        <v>2025</v>
      </c>
      <c r="D1304" s="1" t="s">
        <v>9</v>
      </c>
      <c r="E1304" s="6" t="s">
        <v>2757</v>
      </c>
      <c r="F1304" s="7" t="str">
        <f t="shared" ref="F1304:F1305" si="55">HYPERLINK("https://drive.google.com/open?id=1p9rKdY4QkNWIsmYys86EoZpuyIpPfpst","1 files moved")</f>
        <v>1 files moved</v>
      </c>
      <c r="G1304" s="6" t="s">
        <v>2758</v>
      </c>
      <c r="H1304" s="1" t="s">
        <v>2759</v>
      </c>
    </row>
    <row r="1305" spans="1:8" x14ac:dyDescent="0.2">
      <c r="A1305" s="5">
        <v>45806.457234664354</v>
      </c>
      <c r="B1305" s="1" t="s">
        <v>35</v>
      </c>
      <c r="C1305" s="1">
        <v>2025</v>
      </c>
      <c r="D1305" s="1" t="s">
        <v>78</v>
      </c>
      <c r="E1305" s="6" t="s">
        <v>2760</v>
      </c>
      <c r="F1305" s="7" t="str">
        <f t="shared" si="55"/>
        <v>1 files moved</v>
      </c>
      <c r="G1305" s="6" t="s">
        <v>2761</v>
      </c>
      <c r="H1305" s="1" t="s">
        <v>2762</v>
      </c>
    </row>
    <row r="1306" spans="1:8" x14ac:dyDescent="0.2">
      <c r="A1306" s="5">
        <v>45810.392026388887</v>
      </c>
      <c r="B1306" s="1" t="s">
        <v>112</v>
      </c>
      <c r="C1306" s="1">
        <v>2025</v>
      </c>
      <c r="D1306" s="1" t="s">
        <v>352</v>
      </c>
      <c r="E1306" s="6" t="s">
        <v>2763</v>
      </c>
      <c r="F1306" s="7" t="str">
        <f t="shared" ref="F1306:F1308" si="56">HYPERLINK("https://drive.google.com/open?id=1bgfFevr_vWoS1TUMY9H3d79cj9SEs5AT","1 files moved")</f>
        <v>1 files moved</v>
      </c>
      <c r="G1306" s="6" t="s">
        <v>2764</v>
      </c>
      <c r="H1306" s="1" t="s">
        <v>2765</v>
      </c>
    </row>
    <row r="1307" spans="1:8" x14ac:dyDescent="0.2">
      <c r="A1307" s="5">
        <v>45810.392310543983</v>
      </c>
      <c r="B1307" s="1" t="s">
        <v>112</v>
      </c>
      <c r="C1307" s="1">
        <v>2025</v>
      </c>
      <c r="D1307" s="1" t="s">
        <v>9</v>
      </c>
      <c r="E1307" s="6" t="s">
        <v>2766</v>
      </c>
      <c r="F1307" s="7" t="str">
        <f t="shared" si="56"/>
        <v>1 files moved</v>
      </c>
      <c r="G1307" s="6" t="s">
        <v>2767</v>
      </c>
      <c r="H1307" s="1" t="s">
        <v>2768</v>
      </c>
    </row>
    <row r="1308" spans="1:8" x14ac:dyDescent="0.2">
      <c r="A1308" s="5">
        <v>45810.392633819443</v>
      </c>
      <c r="B1308" s="1" t="s">
        <v>112</v>
      </c>
      <c r="C1308" s="1">
        <v>2025</v>
      </c>
      <c r="D1308" s="1" t="s">
        <v>78</v>
      </c>
      <c r="E1308" s="6" t="s">
        <v>2769</v>
      </c>
      <c r="F1308" s="7" t="str">
        <f t="shared" si="56"/>
        <v>1 files moved</v>
      </c>
      <c r="G1308" s="6" t="s">
        <v>2770</v>
      </c>
      <c r="H1308" s="1" t="s">
        <v>2771</v>
      </c>
    </row>
    <row r="1309" spans="1:8" x14ac:dyDescent="0.2">
      <c r="A1309" s="5">
        <v>45810.393768819442</v>
      </c>
      <c r="B1309" s="1" t="s">
        <v>45</v>
      </c>
      <c r="C1309" s="1">
        <v>2025</v>
      </c>
      <c r="D1309" s="1" t="s">
        <v>78</v>
      </c>
      <c r="E1309" s="6" t="s">
        <v>2772</v>
      </c>
      <c r="F1309" s="7" t="str">
        <f>HYPERLINK("https://drive.google.com/open?id=1WOu53emjYl9MgCM11eFHkgxwdHlBm2Xz","1 files moved")</f>
        <v>1 files moved</v>
      </c>
      <c r="G1309" s="6" t="s">
        <v>2773</v>
      </c>
      <c r="H1309" s="1" t="s">
        <v>2774</v>
      </c>
    </row>
    <row r="1310" spans="1:8" x14ac:dyDescent="0.2">
      <c r="A1310" s="5">
        <v>45810.395049895829</v>
      </c>
      <c r="B1310" s="1" t="s">
        <v>13</v>
      </c>
      <c r="C1310" s="1">
        <v>2025</v>
      </c>
      <c r="D1310" s="1" t="s">
        <v>9</v>
      </c>
      <c r="E1310" s="6" t="s">
        <v>2775</v>
      </c>
      <c r="F1310" s="7" t="str">
        <f>HYPERLINK("https://drive.google.com/open?id=1Zryv8yNLErRzmBqkGZTRY6f8oQgaib5M","1 files moved")</f>
        <v>1 files moved</v>
      </c>
      <c r="G1310" s="6" t="s">
        <v>2776</v>
      </c>
      <c r="H1310" s="1" t="s">
        <v>2777</v>
      </c>
    </row>
    <row r="1311" spans="1:8" x14ac:dyDescent="0.2">
      <c r="A1311" s="5">
        <v>45810.395260914353</v>
      </c>
      <c r="B1311" s="1" t="s">
        <v>451</v>
      </c>
      <c r="C1311" s="1">
        <v>2025</v>
      </c>
      <c r="D1311" s="1" t="s">
        <v>318</v>
      </c>
      <c r="E1311" s="6" t="s">
        <v>2778</v>
      </c>
      <c r="F1311" s="7" t="str">
        <f>HYPERLINK("https://drive.google.com/open?id=1KIx1m7meHb5nobC5pXq7RhJanL49Yo2o","1 files moved")</f>
        <v>1 files moved</v>
      </c>
      <c r="G1311" s="6" t="s">
        <v>2779</v>
      </c>
      <c r="H1311" s="1" t="s">
        <v>2780</v>
      </c>
    </row>
    <row r="1312" spans="1:8" x14ac:dyDescent="0.2">
      <c r="A1312" s="5">
        <v>45810.395396562497</v>
      </c>
      <c r="B1312" s="1" t="s">
        <v>13</v>
      </c>
      <c r="C1312" s="1">
        <v>2025</v>
      </c>
      <c r="D1312" s="1" t="s">
        <v>78</v>
      </c>
      <c r="E1312" s="6" t="s">
        <v>2781</v>
      </c>
      <c r="F1312" s="7" t="str">
        <f>HYPERLINK("https://drive.google.com/open?id=1Zryv8yNLErRzmBqkGZTRY6f8oQgaib5M","1 files moved")</f>
        <v>1 files moved</v>
      </c>
      <c r="G1312" s="6" t="s">
        <v>2782</v>
      </c>
      <c r="H1312" s="1" t="s">
        <v>2783</v>
      </c>
    </row>
    <row r="1313" spans="1:8" x14ac:dyDescent="0.2">
      <c r="A1313" s="5">
        <v>45810.395619826391</v>
      </c>
      <c r="B1313" s="1" t="s">
        <v>451</v>
      </c>
      <c r="C1313" s="1">
        <v>2025</v>
      </c>
      <c r="D1313" s="1" t="s">
        <v>352</v>
      </c>
      <c r="E1313" s="6" t="s">
        <v>2784</v>
      </c>
      <c r="F1313" s="7" t="str">
        <f t="shared" ref="F1313:F1315" si="57">HYPERLINK("https://drive.google.com/open?id=1KIx1m7meHb5nobC5pXq7RhJanL49Yo2o","1 files moved")</f>
        <v>1 files moved</v>
      </c>
      <c r="G1313" s="6" t="s">
        <v>2785</v>
      </c>
      <c r="H1313" s="1" t="s">
        <v>2786</v>
      </c>
    </row>
    <row r="1314" spans="1:8" x14ac:dyDescent="0.2">
      <c r="A1314" s="5">
        <v>45810.395978379631</v>
      </c>
      <c r="B1314" s="1" t="s">
        <v>451</v>
      </c>
      <c r="C1314" s="1">
        <v>2025</v>
      </c>
      <c r="D1314" s="1" t="s">
        <v>9</v>
      </c>
      <c r="E1314" s="6" t="s">
        <v>2787</v>
      </c>
      <c r="F1314" s="7" t="str">
        <f t="shared" si="57"/>
        <v>1 files moved</v>
      </c>
      <c r="G1314" s="6" t="s">
        <v>2788</v>
      </c>
      <c r="H1314" s="1" t="s">
        <v>2789</v>
      </c>
    </row>
    <row r="1315" spans="1:8" x14ac:dyDescent="0.2">
      <c r="A1315" s="5">
        <v>45810.396268715282</v>
      </c>
      <c r="B1315" s="1" t="s">
        <v>451</v>
      </c>
      <c r="C1315" s="1">
        <v>2025</v>
      </c>
      <c r="D1315" s="1" t="s">
        <v>78</v>
      </c>
      <c r="E1315" s="6" t="s">
        <v>2790</v>
      </c>
      <c r="F1315" s="7" t="str">
        <f t="shared" si="57"/>
        <v>1 files moved</v>
      </c>
      <c r="G1315" s="6" t="s">
        <v>2791</v>
      </c>
      <c r="H1315" s="1" t="s">
        <v>2792</v>
      </c>
    </row>
    <row r="1316" spans="1:8" x14ac:dyDescent="0.2">
      <c r="A1316" s="5">
        <v>45810.396836979169</v>
      </c>
      <c r="B1316" s="1" t="s">
        <v>53</v>
      </c>
      <c r="C1316" s="1">
        <v>2025</v>
      </c>
      <c r="D1316" s="1" t="s">
        <v>318</v>
      </c>
      <c r="E1316" s="6" t="s">
        <v>2793</v>
      </c>
      <c r="F1316" s="7" t="str">
        <f>HYPERLINK("https://drive.google.com/open?id=1mgwi5IYuDSmdes063EGgEET4VIkt5Ge6","1 files moved")</f>
        <v>1 files moved</v>
      </c>
      <c r="G1316" s="6" t="s">
        <v>2794</v>
      </c>
      <c r="H1316" s="1" t="s">
        <v>2795</v>
      </c>
    </row>
    <row r="1317" spans="1:8" x14ac:dyDescent="0.2">
      <c r="A1317" s="5">
        <v>45810.397372615742</v>
      </c>
      <c r="B1317" s="1" t="s">
        <v>76</v>
      </c>
      <c r="C1317" s="1">
        <v>2025</v>
      </c>
      <c r="D1317" s="1" t="s">
        <v>318</v>
      </c>
      <c r="E1317" s="6" t="s">
        <v>2796</v>
      </c>
      <c r="F1317" s="7" t="str">
        <f t="shared" ref="F1317:F1320" si="58">HYPERLINK("https://drive.google.com/open?id=1YKXc634Hd6ivOmY-kuk_dNKkhypgkHlR","1 files moved")</f>
        <v>1 files moved</v>
      </c>
      <c r="G1317" s="6" t="s">
        <v>2797</v>
      </c>
      <c r="H1317" s="1" t="s">
        <v>2798</v>
      </c>
    </row>
    <row r="1318" spans="1:8" x14ac:dyDescent="0.2">
      <c r="A1318" s="5">
        <v>45810.397611006949</v>
      </c>
      <c r="B1318" s="1" t="s">
        <v>76</v>
      </c>
      <c r="C1318" s="1">
        <v>2025</v>
      </c>
      <c r="D1318" s="1" t="s">
        <v>352</v>
      </c>
      <c r="E1318" s="6" t="s">
        <v>2799</v>
      </c>
      <c r="F1318" s="7" t="str">
        <f t="shared" si="58"/>
        <v>1 files moved</v>
      </c>
      <c r="G1318" s="6" t="s">
        <v>2800</v>
      </c>
      <c r="H1318" s="1" t="s">
        <v>2801</v>
      </c>
    </row>
    <row r="1319" spans="1:8" x14ac:dyDescent="0.2">
      <c r="A1319" s="5">
        <v>45810.397844224535</v>
      </c>
      <c r="B1319" s="1" t="s">
        <v>76</v>
      </c>
      <c r="C1319" s="1">
        <v>2025</v>
      </c>
      <c r="D1319" s="1" t="s">
        <v>9</v>
      </c>
      <c r="E1319" s="6" t="s">
        <v>2802</v>
      </c>
      <c r="F1319" s="7" t="str">
        <f t="shared" si="58"/>
        <v>1 files moved</v>
      </c>
      <c r="G1319" s="6" t="s">
        <v>2803</v>
      </c>
      <c r="H1319" s="1" t="s">
        <v>2804</v>
      </c>
    </row>
    <row r="1320" spans="1:8" x14ac:dyDescent="0.2">
      <c r="A1320" s="5">
        <v>45810.399589305554</v>
      </c>
      <c r="B1320" s="1" t="s">
        <v>76</v>
      </c>
      <c r="C1320" s="1">
        <v>2025</v>
      </c>
      <c r="D1320" s="1" t="s">
        <v>2197</v>
      </c>
      <c r="E1320" s="6" t="s">
        <v>2805</v>
      </c>
      <c r="F1320" s="7" t="str">
        <f t="shared" si="58"/>
        <v>1 files moved</v>
      </c>
      <c r="G1320" s="6" t="s">
        <v>2806</v>
      </c>
      <c r="H1320" s="1" t="s">
        <v>2807</v>
      </c>
    </row>
    <row r="1321" spans="1:8" x14ac:dyDescent="0.2">
      <c r="A1321" s="5">
        <v>45810.399719884255</v>
      </c>
      <c r="B1321" s="1" t="s">
        <v>39</v>
      </c>
      <c r="C1321" s="1">
        <v>2025</v>
      </c>
      <c r="D1321" s="1" t="s">
        <v>318</v>
      </c>
      <c r="E1321" s="6" t="s">
        <v>2808</v>
      </c>
      <c r="F1321" s="7" t="str">
        <f t="shared" ref="F1321:F1322" si="59">HYPERLINK("https://drive.google.com/open?id=1BZohlpYH-tCf-m6ifXipKqyT42Gbzhkv","1 files moved")</f>
        <v>1 files moved</v>
      </c>
      <c r="G1321" s="6" t="s">
        <v>2809</v>
      </c>
      <c r="H1321" s="1" t="s">
        <v>2810</v>
      </c>
    </row>
    <row r="1322" spans="1:8" x14ac:dyDescent="0.2">
      <c r="A1322" s="5">
        <v>45810.400081909727</v>
      </c>
      <c r="B1322" s="1" t="s">
        <v>39</v>
      </c>
      <c r="C1322" s="1">
        <v>2025</v>
      </c>
      <c r="D1322" s="1" t="s">
        <v>352</v>
      </c>
      <c r="E1322" s="6" t="s">
        <v>2811</v>
      </c>
      <c r="F1322" s="7" t="str">
        <f t="shared" si="59"/>
        <v>1 files moved</v>
      </c>
      <c r="G1322" s="6" t="s">
        <v>2812</v>
      </c>
      <c r="H1322" s="1" t="s">
        <v>2813</v>
      </c>
    </row>
    <row r="1323" spans="1:8" x14ac:dyDescent="0.2">
      <c r="A1323" s="5">
        <v>45810.402041331021</v>
      </c>
      <c r="B1323" s="1" t="s">
        <v>47</v>
      </c>
      <c r="C1323" s="1">
        <v>2025</v>
      </c>
      <c r="D1323" s="1" t="s">
        <v>78</v>
      </c>
      <c r="E1323" s="6" t="s">
        <v>2814</v>
      </c>
      <c r="F1323" s="7" t="str">
        <f>HYPERLINK("https://drive.google.com/open?id=1pM9D8l1ep_C4D6kUFxAGlSX58S2gNWw7","1 files moved")</f>
        <v>1 files moved</v>
      </c>
      <c r="G1323" s="6" t="s">
        <v>2815</v>
      </c>
      <c r="H1323" s="1" t="s">
        <v>2816</v>
      </c>
    </row>
    <row r="1324" spans="1:8" x14ac:dyDescent="0.2">
      <c r="A1324" s="5">
        <v>45810.403096539347</v>
      </c>
      <c r="B1324" s="1" t="s">
        <v>33</v>
      </c>
      <c r="C1324" s="1">
        <v>2025</v>
      </c>
      <c r="D1324" s="1" t="s">
        <v>318</v>
      </c>
      <c r="E1324" s="6" t="s">
        <v>2817</v>
      </c>
      <c r="F1324" s="7" t="str">
        <f t="shared" ref="F1324:F1328" si="60">HYPERLINK("https://drive.google.com/open?id=1vt-BVSJOLHBIrsp9094dDz7aTxUYbXOd","1 files moved")</f>
        <v>1 files moved</v>
      </c>
      <c r="G1324" s="6" t="s">
        <v>2818</v>
      </c>
      <c r="H1324" s="1" t="s">
        <v>2819</v>
      </c>
    </row>
    <row r="1325" spans="1:8" x14ac:dyDescent="0.2">
      <c r="A1325" s="5">
        <v>45810.403479328699</v>
      </c>
      <c r="B1325" s="1" t="s">
        <v>33</v>
      </c>
      <c r="C1325" s="1">
        <v>2025</v>
      </c>
      <c r="D1325" s="1" t="s">
        <v>352</v>
      </c>
      <c r="E1325" s="6" t="s">
        <v>2820</v>
      </c>
      <c r="F1325" s="7" t="str">
        <f t="shared" si="60"/>
        <v>1 files moved</v>
      </c>
      <c r="G1325" s="6" t="s">
        <v>2821</v>
      </c>
      <c r="H1325" s="1" t="s">
        <v>2822</v>
      </c>
    </row>
    <row r="1326" spans="1:8" x14ac:dyDescent="0.2">
      <c r="A1326" s="5">
        <v>45810.403860381943</v>
      </c>
      <c r="B1326" s="1" t="s">
        <v>33</v>
      </c>
      <c r="C1326" s="1">
        <v>2025</v>
      </c>
      <c r="D1326" s="1" t="s">
        <v>9</v>
      </c>
      <c r="E1326" s="6" t="s">
        <v>2823</v>
      </c>
      <c r="F1326" s="7" t="str">
        <f t="shared" si="60"/>
        <v>1 files moved</v>
      </c>
      <c r="G1326" s="6" t="s">
        <v>2824</v>
      </c>
      <c r="H1326" s="1" t="s">
        <v>2825</v>
      </c>
    </row>
    <row r="1327" spans="1:8" x14ac:dyDescent="0.2">
      <c r="A1327" s="5">
        <v>45810.404197847223</v>
      </c>
      <c r="B1327" s="1" t="s">
        <v>33</v>
      </c>
      <c r="C1327" s="1">
        <v>2025</v>
      </c>
      <c r="D1327" s="1" t="s">
        <v>78</v>
      </c>
      <c r="E1327" s="6" t="s">
        <v>2826</v>
      </c>
      <c r="F1327" s="7" t="str">
        <f t="shared" si="60"/>
        <v>1 files moved</v>
      </c>
      <c r="G1327" s="6" t="s">
        <v>2827</v>
      </c>
      <c r="H1327" s="1" t="s">
        <v>2828</v>
      </c>
    </row>
    <row r="1328" spans="1:8" x14ac:dyDescent="0.2">
      <c r="A1328" s="5">
        <v>45810.409056574077</v>
      </c>
      <c r="B1328" s="1" t="s">
        <v>33</v>
      </c>
      <c r="C1328" s="1">
        <v>2025</v>
      </c>
      <c r="D1328" s="1" t="s">
        <v>110</v>
      </c>
      <c r="E1328" s="6" t="s">
        <v>2829</v>
      </c>
      <c r="F1328" s="7" t="str">
        <f t="shared" si="60"/>
        <v>1 files moved</v>
      </c>
      <c r="G1328" s="6" t="s">
        <v>2830</v>
      </c>
      <c r="H1328" s="1" t="s">
        <v>2831</v>
      </c>
    </row>
    <row r="1329" spans="1:8" x14ac:dyDescent="0.2">
      <c r="A1329" s="5">
        <v>45810.416111516199</v>
      </c>
      <c r="B1329" s="1" t="s">
        <v>62</v>
      </c>
      <c r="C1329" s="1">
        <v>2025</v>
      </c>
      <c r="D1329" s="1" t="s">
        <v>318</v>
      </c>
      <c r="E1329" s="6" t="s">
        <v>2832</v>
      </c>
      <c r="F1329" s="7" t="str">
        <f>HYPERLINK("https://drive.google.com/open?id=1CSWuwAcjfOUkpFz17anJSHXpLD9oH9ta","1 files moved")</f>
        <v>1 files moved</v>
      </c>
      <c r="G1329" s="6" t="s">
        <v>2833</v>
      </c>
      <c r="H1329" s="1" t="s">
        <v>2834</v>
      </c>
    </row>
    <row r="1330" spans="1:8" x14ac:dyDescent="0.2">
      <c r="A1330" s="5">
        <v>45810.421160486112</v>
      </c>
      <c r="B1330" s="1" t="s">
        <v>686</v>
      </c>
      <c r="C1330" s="1">
        <v>2025</v>
      </c>
      <c r="D1330" s="1" t="s">
        <v>78</v>
      </c>
      <c r="E1330" s="6" t="s">
        <v>2835</v>
      </c>
      <c r="F1330" s="7" t="str">
        <f>HYPERLINK("https://drive.google.com/open?id=1raKDx-uNeIvhNP7U_Rt7B4uGTAH17pUT","1 files moved")</f>
        <v>1 files moved</v>
      </c>
      <c r="G1330" s="6" t="s">
        <v>2836</v>
      </c>
      <c r="H1330" s="1" t="s">
        <v>2837</v>
      </c>
    </row>
    <row r="1331" spans="1:8" x14ac:dyDescent="0.2">
      <c r="A1331" s="5">
        <v>45810.426965416671</v>
      </c>
      <c r="B1331" s="1" t="s">
        <v>70</v>
      </c>
      <c r="C1331" s="1">
        <v>2025</v>
      </c>
      <c r="D1331" s="1" t="s">
        <v>78</v>
      </c>
      <c r="E1331" s="6" t="s">
        <v>2838</v>
      </c>
      <c r="G1331" s="6" t="s">
        <v>2839</v>
      </c>
      <c r="H1331" s="1" t="s">
        <v>2840</v>
      </c>
    </row>
    <row r="1332" spans="1:8" x14ac:dyDescent="0.2">
      <c r="A1332" s="5">
        <v>45810.466126678242</v>
      </c>
      <c r="B1332" s="1" t="s">
        <v>378</v>
      </c>
      <c r="C1332" s="1">
        <v>2025</v>
      </c>
      <c r="D1332" s="1" t="s">
        <v>9</v>
      </c>
      <c r="E1332" s="6" t="s">
        <v>2841</v>
      </c>
      <c r="G1332" s="6" t="s">
        <v>2842</v>
      </c>
      <c r="H1332" s="1" t="s">
        <v>2843</v>
      </c>
    </row>
    <row r="1333" spans="1:8" x14ac:dyDescent="0.2">
      <c r="A1333" s="5">
        <v>45810.490281458333</v>
      </c>
      <c r="B1333" s="1" t="s">
        <v>29</v>
      </c>
      <c r="C1333" s="1">
        <v>2025</v>
      </c>
      <c r="D1333" s="1" t="s">
        <v>9</v>
      </c>
      <c r="E1333" s="6" t="s">
        <v>2844</v>
      </c>
      <c r="G1333" s="6" t="s">
        <v>2845</v>
      </c>
      <c r="H1333" s="1" t="s">
        <v>2846</v>
      </c>
    </row>
    <row r="1334" spans="1:8" x14ac:dyDescent="0.2">
      <c r="A1334" s="5">
        <v>45810.490555335651</v>
      </c>
      <c r="B1334" s="1" t="s">
        <v>29</v>
      </c>
      <c r="C1334" s="1">
        <v>2025</v>
      </c>
      <c r="D1334" s="1" t="s">
        <v>352</v>
      </c>
      <c r="E1334" s="6" t="s">
        <v>2847</v>
      </c>
      <c r="G1334" s="6" t="s">
        <v>2848</v>
      </c>
      <c r="H1334" s="1" t="s">
        <v>2849</v>
      </c>
    </row>
    <row r="1335" spans="1:8" x14ac:dyDescent="0.2">
      <c r="A1335" s="5">
        <v>45810.490811643518</v>
      </c>
      <c r="B1335" s="1" t="s">
        <v>29</v>
      </c>
      <c r="C1335" s="1">
        <v>2025</v>
      </c>
      <c r="D1335" s="1" t="s">
        <v>318</v>
      </c>
      <c r="E1335" s="6" t="s">
        <v>2850</v>
      </c>
      <c r="G1335" s="6" t="s">
        <v>2851</v>
      </c>
      <c r="H1335" s="1" t="s">
        <v>2852</v>
      </c>
    </row>
    <row r="1336" spans="1:8" x14ac:dyDescent="0.2">
      <c r="A1336" s="5">
        <v>45810.542340844906</v>
      </c>
      <c r="B1336" s="1" t="s">
        <v>22</v>
      </c>
      <c r="C1336" s="1">
        <v>2025</v>
      </c>
      <c r="D1336" s="1" t="s">
        <v>318</v>
      </c>
      <c r="E1336" s="6" t="s">
        <v>2853</v>
      </c>
      <c r="G1336" s="6" t="s">
        <v>2854</v>
      </c>
      <c r="H1336" s="1" t="s">
        <v>2855</v>
      </c>
    </row>
    <row r="1337" spans="1:8" x14ac:dyDescent="0.2">
      <c r="A1337" s="5">
        <v>45810.542664374996</v>
      </c>
      <c r="B1337" s="1" t="s">
        <v>22</v>
      </c>
      <c r="C1337" s="1">
        <v>2025</v>
      </c>
      <c r="D1337" s="1" t="s">
        <v>352</v>
      </c>
      <c r="E1337" s="6" t="s">
        <v>2856</v>
      </c>
      <c r="G1337" s="6" t="s">
        <v>2857</v>
      </c>
      <c r="H1337" s="1" t="s">
        <v>2858</v>
      </c>
    </row>
    <row r="1338" spans="1:8" x14ac:dyDescent="0.2">
      <c r="A1338" s="5">
        <v>45810.542983333333</v>
      </c>
      <c r="B1338" s="1" t="s">
        <v>22</v>
      </c>
      <c r="C1338" s="1">
        <v>2025</v>
      </c>
      <c r="D1338" s="1" t="s">
        <v>9</v>
      </c>
      <c r="E1338" s="6" t="s">
        <v>2859</v>
      </c>
      <c r="G1338" s="6" t="s">
        <v>2860</v>
      </c>
      <c r="H1338" s="1" t="s">
        <v>2861</v>
      </c>
    </row>
    <row r="1339" spans="1:8" x14ac:dyDescent="0.2">
      <c r="A1339" s="5">
        <v>45810.543284027779</v>
      </c>
      <c r="B1339" s="1" t="s">
        <v>22</v>
      </c>
      <c r="C1339" s="1">
        <v>2025</v>
      </c>
      <c r="D1339" s="1" t="s">
        <v>78</v>
      </c>
      <c r="E1339" s="6" t="s">
        <v>2862</v>
      </c>
      <c r="G1339" s="6" t="s">
        <v>2863</v>
      </c>
      <c r="H1339" s="1" t="s">
        <v>2864</v>
      </c>
    </row>
    <row r="1340" spans="1:8" x14ac:dyDescent="0.2">
      <c r="A1340" s="5">
        <v>45810.566055000003</v>
      </c>
      <c r="B1340" s="1" t="s">
        <v>2865</v>
      </c>
      <c r="C1340" s="1">
        <v>2025</v>
      </c>
      <c r="D1340" s="1" t="s">
        <v>318</v>
      </c>
      <c r="E1340" s="6" t="s">
        <v>2866</v>
      </c>
      <c r="G1340" s="6" t="s">
        <v>2867</v>
      </c>
      <c r="H1340" s="1" t="s">
        <v>2868</v>
      </c>
    </row>
    <row r="1341" spans="1:8" x14ac:dyDescent="0.2">
      <c r="A1341" s="5">
        <v>45810.566356736112</v>
      </c>
      <c r="B1341" s="1" t="s">
        <v>2865</v>
      </c>
      <c r="C1341" s="1">
        <v>2025</v>
      </c>
      <c r="D1341" s="1" t="s">
        <v>352</v>
      </c>
      <c r="E1341" s="6" t="s">
        <v>2869</v>
      </c>
      <c r="G1341" s="6" t="s">
        <v>2870</v>
      </c>
      <c r="H1341" s="1" t="s">
        <v>2871</v>
      </c>
    </row>
    <row r="1342" spans="1:8" x14ac:dyDescent="0.2">
      <c r="A1342" s="5">
        <v>45810.566725879631</v>
      </c>
      <c r="B1342" s="1" t="s">
        <v>2865</v>
      </c>
      <c r="C1342" s="1">
        <v>2025</v>
      </c>
      <c r="D1342" s="1" t="s">
        <v>9</v>
      </c>
      <c r="E1342" s="6" t="s">
        <v>2872</v>
      </c>
      <c r="G1342" s="6" t="s">
        <v>2873</v>
      </c>
      <c r="H1342" s="1" t="s">
        <v>2874</v>
      </c>
    </row>
    <row r="1343" spans="1:8" x14ac:dyDescent="0.2">
      <c r="A1343" s="5">
        <v>45810.567169398149</v>
      </c>
      <c r="B1343" s="1" t="s">
        <v>2865</v>
      </c>
      <c r="C1343" s="1">
        <v>2025</v>
      </c>
      <c r="D1343" s="1" t="s">
        <v>78</v>
      </c>
      <c r="E1343" s="6" t="s">
        <v>2875</v>
      </c>
      <c r="G1343" s="6" t="s">
        <v>2876</v>
      </c>
      <c r="H1343" s="1" t="s">
        <v>2877</v>
      </c>
    </row>
    <row r="1344" spans="1:8" x14ac:dyDescent="0.2">
      <c r="A1344" s="5">
        <v>45810.567601296294</v>
      </c>
      <c r="B1344" s="1" t="s">
        <v>2865</v>
      </c>
      <c r="C1344" s="1">
        <v>2025</v>
      </c>
      <c r="D1344" s="1" t="s">
        <v>2190</v>
      </c>
      <c r="E1344" s="6" t="s">
        <v>2878</v>
      </c>
      <c r="G1344" s="6" t="s">
        <v>2879</v>
      </c>
      <c r="H1344" s="1" t="s">
        <v>2880</v>
      </c>
    </row>
    <row r="1345" spans="1:8" x14ac:dyDescent="0.2">
      <c r="A1345" s="5">
        <v>45810.568001550928</v>
      </c>
      <c r="B1345" s="1" t="s">
        <v>2865</v>
      </c>
      <c r="C1345" s="1">
        <v>2025</v>
      </c>
      <c r="D1345" s="1" t="s">
        <v>2190</v>
      </c>
      <c r="E1345" s="6" t="s">
        <v>2881</v>
      </c>
      <c r="G1345" s="6" t="s">
        <v>2882</v>
      </c>
      <c r="H1345" s="1" t="s">
        <v>2883</v>
      </c>
    </row>
    <row r="1346" spans="1:8" x14ac:dyDescent="0.2">
      <c r="A1346" s="5">
        <v>45810.568383414357</v>
      </c>
      <c r="B1346" s="1" t="s">
        <v>2865</v>
      </c>
      <c r="C1346" s="1">
        <v>2024</v>
      </c>
      <c r="D1346" s="1" t="s">
        <v>2190</v>
      </c>
      <c r="E1346" s="6" t="s">
        <v>2884</v>
      </c>
      <c r="G1346" s="6" t="s">
        <v>2885</v>
      </c>
      <c r="H1346" s="1" t="s">
        <v>2886</v>
      </c>
    </row>
    <row r="1347" spans="1:8" x14ac:dyDescent="0.2">
      <c r="A1347" s="5">
        <v>45810.57181710648</v>
      </c>
      <c r="B1347" s="1" t="s">
        <v>1873</v>
      </c>
      <c r="C1347" s="1">
        <v>2025</v>
      </c>
      <c r="D1347" s="1" t="s">
        <v>318</v>
      </c>
      <c r="E1347" s="6" t="s">
        <v>2887</v>
      </c>
      <c r="G1347" s="6" t="s">
        <v>2888</v>
      </c>
      <c r="H1347" s="1" t="s">
        <v>2889</v>
      </c>
    </row>
    <row r="1348" spans="1:8" x14ac:dyDescent="0.2">
      <c r="A1348" s="5">
        <v>45810.572277824074</v>
      </c>
      <c r="B1348" s="1" t="s">
        <v>1873</v>
      </c>
      <c r="C1348" s="1">
        <v>2025</v>
      </c>
      <c r="D1348" s="1" t="s">
        <v>352</v>
      </c>
      <c r="E1348" s="6" t="s">
        <v>2890</v>
      </c>
      <c r="G1348" s="6" t="s">
        <v>2891</v>
      </c>
      <c r="H1348" s="1" t="s">
        <v>2892</v>
      </c>
    </row>
    <row r="1349" spans="1:8" x14ac:dyDescent="0.2">
      <c r="A1349" s="5">
        <v>45810.572536828702</v>
      </c>
      <c r="B1349" s="1" t="s">
        <v>1873</v>
      </c>
      <c r="C1349" s="1">
        <v>2025</v>
      </c>
      <c r="D1349" s="1" t="s">
        <v>9</v>
      </c>
      <c r="E1349" s="6" t="s">
        <v>2893</v>
      </c>
      <c r="G1349" s="6" t="s">
        <v>2894</v>
      </c>
      <c r="H1349" s="1" t="s">
        <v>2895</v>
      </c>
    </row>
    <row r="1350" spans="1:8" x14ac:dyDescent="0.2">
      <c r="A1350" s="5">
        <v>45810.572745671292</v>
      </c>
      <c r="B1350" s="1" t="s">
        <v>1873</v>
      </c>
      <c r="C1350" s="1">
        <v>2025</v>
      </c>
      <c r="D1350" s="1" t="s">
        <v>78</v>
      </c>
      <c r="E1350" s="6" t="s">
        <v>2896</v>
      </c>
      <c r="G1350" s="6" t="s">
        <v>2897</v>
      </c>
      <c r="H1350" s="1" t="s">
        <v>2898</v>
      </c>
    </row>
    <row r="1351" spans="1:8" x14ac:dyDescent="0.2">
      <c r="A1351" s="5">
        <v>45810.61069105324</v>
      </c>
      <c r="B1351" s="1" t="s">
        <v>27</v>
      </c>
      <c r="C1351" s="1">
        <v>2025</v>
      </c>
      <c r="D1351" s="1" t="s">
        <v>2190</v>
      </c>
      <c r="E1351" s="6" t="s">
        <v>2899</v>
      </c>
      <c r="G1351" s="6" t="s">
        <v>2900</v>
      </c>
      <c r="H1351" s="1" t="s">
        <v>2901</v>
      </c>
    </row>
    <row r="1352" spans="1:8" x14ac:dyDescent="0.2">
      <c r="A1352" s="5">
        <v>45810.611126481483</v>
      </c>
      <c r="B1352" s="1" t="s">
        <v>27</v>
      </c>
      <c r="C1352" s="1">
        <v>2025</v>
      </c>
      <c r="D1352" s="1" t="s">
        <v>9</v>
      </c>
      <c r="E1352" s="6" t="s">
        <v>2902</v>
      </c>
      <c r="G1352" s="6" t="s">
        <v>2903</v>
      </c>
      <c r="H1352" s="1" t="s">
        <v>2904</v>
      </c>
    </row>
    <row r="1353" spans="1:8" x14ac:dyDescent="0.2">
      <c r="A1353" s="5">
        <v>45810.611600439814</v>
      </c>
      <c r="B1353" s="1" t="s">
        <v>27</v>
      </c>
      <c r="C1353" s="1">
        <v>2025</v>
      </c>
      <c r="D1353" s="1" t="s">
        <v>78</v>
      </c>
      <c r="E1353" s="6" t="s">
        <v>2905</v>
      </c>
      <c r="G1353" s="6" t="s">
        <v>2906</v>
      </c>
      <c r="H1353" s="1" t="s">
        <v>2907</v>
      </c>
    </row>
    <row r="1354" spans="1:8" x14ac:dyDescent="0.2">
      <c r="A1354" s="5">
        <v>45811.387996747682</v>
      </c>
      <c r="B1354" s="1" t="s">
        <v>666</v>
      </c>
      <c r="C1354" s="1">
        <v>2025</v>
      </c>
      <c r="D1354" s="1" t="s">
        <v>352</v>
      </c>
      <c r="E1354" s="6" t="s">
        <v>2908</v>
      </c>
      <c r="G1354" s="6" t="s">
        <v>2909</v>
      </c>
      <c r="H1354" s="1" t="s">
        <v>2910</v>
      </c>
    </row>
    <row r="1355" spans="1:8" x14ac:dyDescent="0.2">
      <c r="A1355" s="5">
        <v>45811.388329247682</v>
      </c>
      <c r="B1355" s="1" t="s">
        <v>666</v>
      </c>
      <c r="C1355" s="1">
        <v>2025</v>
      </c>
      <c r="D1355" s="1" t="s">
        <v>352</v>
      </c>
      <c r="E1355" s="6" t="s">
        <v>2911</v>
      </c>
      <c r="G1355" s="6" t="s">
        <v>2912</v>
      </c>
      <c r="H1355" s="1" t="s">
        <v>2913</v>
      </c>
    </row>
    <row r="1356" spans="1:8" x14ac:dyDescent="0.2">
      <c r="A1356" s="5">
        <v>45811.388588969909</v>
      </c>
      <c r="B1356" s="1" t="s">
        <v>666</v>
      </c>
      <c r="C1356" s="1">
        <v>2025</v>
      </c>
      <c r="D1356" s="1" t="s">
        <v>9</v>
      </c>
      <c r="E1356" s="6" t="s">
        <v>2914</v>
      </c>
      <c r="G1356" s="6" t="s">
        <v>2915</v>
      </c>
      <c r="H1356" s="1" t="s">
        <v>2916</v>
      </c>
    </row>
    <row r="1357" spans="1:8" x14ac:dyDescent="0.2">
      <c r="A1357" s="5">
        <v>45811.388827071758</v>
      </c>
      <c r="B1357" s="1" t="s">
        <v>666</v>
      </c>
      <c r="C1357" s="1">
        <v>2025</v>
      </c>
      <c r="D1357" s="1" t="s">
        <v>9</v>
      </c>
      <c r="E1357" s="6" t="s">
        <v>2917</v>
      </c>
      <c r="G1357" s="6" t="s">
        <v>2918</v>
      </c>
      <c r="H1357" s="1" t="s">
        <v>2919</v>
      </c>
    </row>
    <row r="1358" spans="1:8" x14ac:dyDescent="0.2">
      <c r="A1358" s="5">
        <v>45811.388908935187</v>
      </c>
      <c r="B1358" s="1" t="s">
        <v>969</v>
      </c>
      <c r="C1358" s="1">
        <v>2025</v>
      </c>
      <c r="D1358" s="1" t="s">
        <v>78</v>
      </c>
      <c r="E1358" s="6" t="s">
        <v>2920</v>
      </c>
      <c r="G1358" s="6" t="s">
        <v>2921</v>
      </c>
      <c r="H1358" s="1" t="s">
        <v>2922</v>
      </c>
    </row>
    <row r="1359" spans="1:8" x14ac:dyDescent="0.2">
      <c r="A1359" s="5">
        <v>45811.389091979167</v>
      </c>
      <c r="B1359" s="1" t="s">
        <v>666</v>
      </c>
      <c r="C1359" s="1">
        <v>2025</v>
      </c>
      <c r="D1359" s="1" t="s">
        <v>78</v>
      </c>
      <c r="E1359" s="6" t="s">
        <v>2923</v>
      </c>
      <c r="G1359" s="6" t="s">
        <v>2924</v>
      </c>
      <c r="H1359" s="1" t="s">
        <v>2925</v>
      </c>
    </row>
    <row r="1360" spans="1:8" x14ac:dyDescent="0.2">
      <c r="A1360" s="5">
        <v>45811.389289259256</v>
      </c>
      <c r="B1360" s="1" t="s">
        <v>666</v>
      </c>
      <c r="C1360" s="1">
        <v>2025</v>
      </c>
      <c r="D1360" s="1" t="s">
        <v>78</v>
      </c>
      <c r="E1360" s="6" t="s">
        <v>2926</v>
      </c>
      <c r="G1360" s="6" t="s">
        <v>2927</v>
      </c>
      <c r="H1360" s="1" t="s">
        <v>2928</v>
      </c>
    </row>
    <row r="1361" spans="1:8" x14ac:dyDescent="0.2">
      <c r="A1361" s="5">
        <v>45811.389988553245</v>
      </c>
      <c r="B1361" s="1" t="s">
        <v>330</v>
      </c>
      <c r="C1361" s="1">
        <v>2025</v>
      </c>
      <c r="D1361" s="1" t="s">
        <v>318</v>
      </c>
      <c r="E1361" s="6" t="s">
        <v>2929</v>
      </c>
      <c r="G1361" s="6" t="s">
        <v>2930</v>
      </c>
      <c r="H1361" s="1" t="s">
        <v>2931</v>
      </c>
    </row>
    <row r="1362" spans="1:8" x14ac:dyDescent="0.2">
      <c r="A1362" s="5">
        <v>45811.3907009838</v>
      </c>
      <c r="B1362" s="1" t="s">
        <v>330</v>
      </c>
      <c r="C1362" s="1">
        <v>2025</v>
      </c>
      <c r="D1362" s="1" t="s">
        <v>352</v>
      </c>
      <c r="E1362" s="6" t="s">
        <v>2932</v>
      </c>
      <c r="G1362" s="6" t="s">
        <v>2933</v>
      </c>
      <c r="H1362" s="1" t="s">
        <v>2934</v>
      </c>
    </row>
    <row r="1363" spans="1:8" x14ac:dyDescent="0.2">
      <c r="A1363" s="5">
        <v>45811.391103958333</v>
      </c>
      <c r="B1363" s="1" t="s">
        <v>330</v>
      </c>
      <c r="C1363" s="1">
        <v>2025</v>
      </c>
      <c r="D1363" s="1" t="s">
        <v>9</v>
      </c>
      <c r="E1363" s="6" t="s">
        <v>2935</v>
      </c>
      <c r="G1363" s="6" t="s">
        <v>2936</v>
      </c>
      <c r="H1363" s="1" t="s">
        <v>2937</v>
      </c>
    </row>
    <row r="1364" spans="1:8" x14ac:dyDescent="0.2">
      <c r="A1364" s="5">
        <v>45811.393675833329</v>
      </c>
      <c r="B1364" s="1" t="s">
        <v>37</v>
      </c>
      <c r="C1364" s="1">
        <v>2025</v>
      </c>
      <c r="D1364" s="1" t="s">
        <v>318</v>
      </c>
      <c r="E1364" s="6" t="s">
        <v>2938</v>
      </c>
      <c r="G1364" s="6" t="s">
        <v>2939</v>
      </c>
      <c r="H1364" s="1" t="s">
        <v>2940</v>
      </c>
    </row>
    <row r="1365" spans="1:8" x14ac:dyDescent="0.2">
      <c r="A1365" s="5">
        <v>45811.39675112268</v>
      </c>
      <c r="B1365" s="1" t="s">
        <v>37</v>
      </c>
      <c r="C1365" s="1">
        <v>2025</v>
      </c>
      <c r="D1365" s="1" t="s">
        <v>78</v>
      </c>
      <c r="E1365" s="6" t="s">
        <v>2941</v>
      </c>
      <c r="G1365" s="6" t="s">
        <v>2942</v>
      </c>
      <c r="H1365" s="1" t="s">
        <v>2943</v>
      </c>
    </row>
    <row r="1366" spans="1:8" x14ac:dyDescent="0.2">
      <c r="A1366" s="5">
        <v>45811.398687048611</v>
      </c>
      <c r="B1366" s="1" t="s">
        <v>2865</v>
      </c>
      <c r="C1366" s="1">
        <v>2024</v>
      </c>
      <c r="D1366" s="1" t="s">
        <v>2190</v>
      </c>
      <c r="E1366" s="6" t="s">
        <v>2944</v>
      </c>
      <c r="G1366" s="6" t="s">
        <v>2945</v>
      </c>
      <c r="H1366" s="1" t="s">
        <v>2946</v>
      </c>
    </row>
    <row r="1367" spans="1:8" x14ac:dyDescent="0.2">
      <c r="A1367" s="5">
        <v>45811.399176643521</v>
      </c>
      <c r="B1367" s="1" t="s">
        <v>2865</v>
      </c>
      <c r="C1367" s="1">
        <v>2024</v>
      </c>
      <c r="D1367" s="1" t="s">
        <v>1866</v>
      </c>
      <c r="E1367" s="6" t="s">
        <v>2947</v>
      </c>
      <c r="G1367" s="6" t="s">
        <v>2948</v>
      </c>
      <c r="H1367" s="1" t="s">
        <v>2949</v>
      </c>
    </row>
    <row r="1368" spans="1:8" x14ac:dyDescent="0.2">
      <c r="A1368" s="5">
        <v>45811.399531909723</v>
      </c>
      <c r="B1368" s="1" t="s">
        <v>2865</v>
      </c>
      <c r="C1368" s="1">
        <v>2024</v>
      </c>
      <c r="D1368" s="1" t="s">
        <v>2015</v>
      </c>
      <c r="E1368" s="6" t="s">
        <v>2950</v>
      </c>
      <c r="G1368" s="6" t="s">
        <v>2951</v>
      </c>
      <c r="H1368" s="1" t="s">
        <v>2952</v>
      </c>
    </row>
    <row r="1369" spans="1:8" x14ac:dyDescent="0.2">
      <c r="A1369" s="5">
        <v>45811.409051944443</v>
      </c>
      <c r="B1369" s="1" t="s">
        <v>2953</v>
      </c>
      <c r="C1369" s="1">
        <v>2025</v>
      </c>
      <c r="D1369" s="1" t="s">
        <v>2190</v>
      </c>
      <c r="E1369" s="6" t="s">
        <v>2954</v>
      </c>
      <c r="G1369" s="6" t="s">
        <v>2955</v>
      </c>
      <c r="H1369" s="1" t="s">
        <v>2956</v>
      </c>
    </row>
    <row r="1370" spans="1:8" x14ac:dyDescent="0.2">
      <c r="A1370" s="5">
        <v>45811.421979652776</v>
      </c>
      <c r="B1370" s="1" t="s">
        <v>2953</v>
      </c>
      <c r="C1370" s="1">
        <v>2025</v>
      </c>
      <c r="D1370" s="1" t="s">
        <v>318</v>
      </c>
      <c r="E1370" s="6" t="s">
        <v>2957</v>
      </c>
      <c r="G1370" s="6" t="s">
        <v>2958</v>
      </c>
      <c r="H1370" s="1" t="s">
        <v>2959</v>
      </c>
    </row>
    <row r="1371" spans="1:8" x14ac:dyDescent="0.2">
      <c r="A1371" s="5">
        <v>45811.422508240736</v>
      </c>
      <c r="B1371" s="1" t="s">
        <v>2953</v>
      </c>
      <c r="C1371" s="1">
        <v>2025</v>
      </c>
      <c r="D1371" s="1" t="s">
        <v>352</v>
      </c>
      <c r="E1371" s="6" t="s">
        <v>2960</v>
      </c>
      <c r="G1371" s="6" t="s">
        <v>2961</v>
      </c>
      <c r="H1371" s="1" t="s">
        <v>2962</v>
      </c>
    </row>
    <row r="1372" spans="1:8" x14ac:dyDescent="0.2">
      <c r="A1372" s="5">
        <v>45811.422895891199</v>
      </c>
      <c r="B1372" s="1" t="s">
        <v>2953</v>
      </c>
      <c r="C1372" s="1">
        <v>2025</v>
      </c>
      <c r="D1372" s="1" t="s">
        <v>9</v>
      </c>
      <c r="E1372" s="6" t="s">
        <v>2963</v>
      </c>
      <c r="G1372" s="6" t="s">
        <v>2964</v>
      </c>
      <c r="H1372" s="1" t="s">
        <v>2965</v>
      </c>
    </row>
    <row r="1373" spans="1:8" x14ac:dyDescent="0.2">
      <c r="A1373" s="5">
        <v>45811.423264930556</v>
      </c>
      <c r="B1373" s="1" t="s">
        <v>2953</v>
      </c>
      <c r="C1373" s="1">
        <v>2025</v>
      </c>
      <c r="D1373" s="1" t="s">
        <v>78</v>
      </c>
      <c r="E1373" s="6" t="s">
        <v>2966</v>
      </c>
      <c r="G1373" s="6" t="s">
        <v>2967</v>
      </c>
      <c r="H1373" s="1" t="s">
        <v>2968</v>
      </c>
    </row>
    <row r="1374" spans="1:8" x14ac:dyDescent="0.2">
      <c r="A1374" s="5">
        <v>45811.423694548612</v>
      </c>
      <c r="B1374" s="1" t="s">
        <v>2953</v>
      </c>
      <c r="C1374" s="1">
        <v>2025</v>
      </c>
      <c r="D1374" s="1" t="s">
        <v>110</v>
      </c>
      <c r="E1374" s="6" t="s">
        <v>2969</v>
      </c>
      <c r="G1374" s="6" t="s">
        <v>2970</v>
      </c>
      <c r="H1374" s="1" t="s">
        <v>2971</v>
      </c>
    </row>
    <row r="1375" spans="1:8" x14ac:dyDescent="0.2">
      <c r="A1375" s="5">
        <v>45811.431599930555</v>
      </c>
      <c r="B1375" s="1" t="s">
        <v>2953</v>
      </c>
      <c r="C1375" s="1">
        <v>2025</v>
      </c>
      <c r="D1375" s="1" t="s">
        <v>2190</v>
      </c>
      <c r="E1375" s="6" t="s">
        <v>2972</v>
      </c>
      <c r="G1375" s="6" t="s">
        <v>2973</v>
      </c>
      <c r="H1375" s="1" t="s">
        <v>2974</v>
      </c>
    </row>
    <row r="1376" spans="1:8" x14ac:dyDescent="0.2">
      <c r="A1376" s="5">
        <v>45811.441620092592</v>
      </c>
      <c r="B1376" s="1" t="s">
        <v>1139</v>
      </c>
      <c r="C1376" s="1">
        <v>2025</v>
      </c>
      <c r="D1376" s="1" t="s">
        <v>318</v>
      </c>
      <c r="E1376" s="6" t="s">
        <v>2975</v>
      </c>
      <c r="G1376" s="6" t="s">
        <v>2976</v>
      </c>
      <c r="H1376" s="1" t="s">
        <v>2977</v>
      </c>
    </row>
    <row r="1377" spans="1:8" x14ac:dyDescent="0.2">
      <c r="A1377" s="5">
        <v>45811.442175474542</v>
      </c>
      <c r="B1377" s="1" t="s">
        <v>1139</v>
      </c>
      <c r="C1377" s="1">
        <v>2025</v>
      </c>
      <c r="D1377" s="1" t="s">
        <v>352</v>
      </c>
      <c r="E1377" s="6" t="s">
        <v>2978</v>
      </c>
      <c r="G1377" s="6" t="s">
        <v>2979</v>
      </c>
      <c r="H1377" s="1" t="s">
        <v>2980</v>
      </c>
    </row>
    <row r="1378" spans="1:8" x14ac:dyDescent="0.2">
      <c r="A1378" s="5">
        <v>45811.44258077546</v>
      </c>
      <c r="B1378" s="1" t="s">
        <v>1139</v>
      </c>
      <c r="C1378" s="1">
        <v>2025</v>
      </c>
      <c r="D1378" s="1" t="s">
        <v>78</v>
      </c>
      <c r="E1378" s="6" t="s">
        <v>2981</v>
      </c>
      <c r="G1378" s="6" t="s">
        <v>2982</v>
      </c>
      <c r="H1378" s="1" t="s">
        <v>2983</v>
      </c>
    </row>
    <row r="1379" spans="1:8" x14ac:dyDescent="0.2">
      <c r="A1379" s="5">
        <v>45812.626203576394</v>
      </c>
      <c r="B1379" s="1" t="s">
        <v>39</v>
      </c>
      <c r="C1379" s="1">
        <v>2025</v>
      </c>
      <c r="D1379" s="1" t="s">
        <v>110</v>
      </c>
      <c r="E1379" s="6" t="s">
        <v>2984</v>
      </c>
      <c r="G1379" s="6" t="s">
        <v>2985</v>
      </c>
      <c r="H1379" s="1" t="s">
        <v>2986</v>
      </c>
    </row>
    <row r="1380" spans="1:8" x14ac:dyDescent="0.2">
      <c r="A1380" s="5">
        <v>45812.626585092592</v>
      </c>
      <c r="B1380" s="1" t="s">
        <v>39</v>
      </c>
      <c r="C1380" s="1">
        <v>2025</v>
      </c>
      <c r="D1380" s="1" t="s">
        <v>110</v>
      </c>
      <c r="E1380" s="6" t="s">
        <v>2987</v>
      </c>
      <c r="G1380" s="6" t="s">
        <v>2988</v>
      </c>
      <c r="H1380" s="1" t="s">
        <v>2989</v>
      </c>
    </row>
    <row r="1381" spans="1:8" x14ac:dyDescent="0.2">
      <c r="A1381" s="5">
        <v>45813.610565925926</v>
      </c>
      <c r="B1381" s="1" t="s">
        <v>451</v>
      </c>
      <c r="C1381" s="1">
        <v>2025</v>
      </c>
      <c r="D1381" s="1" t="s">
        <v>110</v>
      </c>
      <c r="E1381" s="6" t="s">
        <v>2990</v>
      </c>
      <c r="G1381" s="6" t="s">
        <v>2991</v>
      </c>
      <c r="H1381" s="1" t="s">
        <v>2992</v>
      </c>
    </row>
    <row r="1382" spans="1:8" x14ac:dyDescent="0.2">
      <c r="A1382" s="5">
        <v>45818.349743657411</v>
      </c>
      <c r="B1382" s="1" t="s">
        <v>56</v>
      </c>
      <c r="C1382" s="1">
        <v>2025</v>
      </c>
      <c r="D1382" s="1" t="s">
        <v>110</v>
      </c>
      <c r="E1382" s="6" t="s">
        <v>2993</v>
      </c>
      <c r="F1382" s="7" t="str">
        <f>HYPERLINK("https://drive.google.com/open?id=1YZIPSo9PodNGWCjC1zK15cW1JEByXJ7w","1 files moved")</f>
        <v>1 files moved</v>
      </c>
      <c r="G1382" s="6" t="s">
        <v>2994</v>
      </c>
      <c r="H1382" s="1" t="s">
        <v>2995</v>
      </c>
    </row>
    <row r="1383" spans="1:8" x14ac:dyDescent="0.2">
      <c r="A1383" s="5">
        <v>45818.356159467592</v>
      </c>
      <c r="B1383" s="1" t="s">
        <v>22</v>
      </c>
      <c r="C1383" s="1">
        <v>2025</v>
      </c>
      <c r="D1383" s="1" t="s">
        <v>110</v>
      </c>
      <c r="E1383" s="6" t="s">
        <v>2996</v>
      </c>
      <c r="F1383" s="7" t="str">
        <f>HYPERLINK("https://drive.google.com/open?id=1WAbmR1kP-K3GSrnpnC5igzsk9XdBZPD_","1 files moved")</f>
        <v>1 files moved</v>
      </c>
      <c r="G1383" s="6" t="s">
        <v>2997</v>
      </c>
      <c r="H1383" s="1" t="s">
        <v>2998</v>
      </c>
    </row>
    <row r="1384" spans="1:8" x14ac:dyDescent="0.2">
      <c r="A1384" s="5">
        <v>45818.360586921292</v>
      </c>
      <c r="B1384" s="1" t="s">
        <v>37</v>
      </c>
      <c r="C1384" s="1">
        <v>2025</v>
      </c>
      <c r="D1384" s="1" t="s">
        <v>110</v>
      </c>
      <c r="E1384" s="6" t="s">
        <v>2999</v>
      </c>
      <c r="F1384" s="7" t="str">
        <f>HYPERLINK("https://drive.google.com/open?id=1qa1mLZHOuZIAKZUnYIblWo1lTS9NuBTm","1 files moved")</f>
        <v>1 files moved</v>
      </c>
      <c r="G1384" s="6" t="s">
        <v>3000</v>
      </c>
      <c r="H1384" s="1" t="s">
        <v>3001</v>
      </c>
    </row>
    <row r="1385" spans="1:8" x14ac:dyDescent="0.2">
      <c r="A1385" s="5">
        <v>45818.466086273147</v>
      </c>
      <c r="B1385" s="1" t="s">
        <v>43</v>
      </c>
      <c r="C1385" s="1">
        <v>2025</v>
      </c>
      <c r="D1385" s="1" t="s">
        <v>110</v>
      </c>
      <c r="E1385" s="6" t="s">
        <v>3002</v>
      </c>
      <c r="F1385" s="7" t="str">
        <f>HYPERLINK("https://drive.google.com/open?id=1V4TGvz085_QBAvEUyDaeNyMolr93zOZK","1 files moved")</f>
        <v>1 files moved</v>
      </c>
      <c r="G1385" s="6" t="s">
        <v>3003</v>
      </c>
      <c r="H1385" s="1" t="s">
        <v>3004</v>
      </c>
    </row>
    <row r="1386" spans="1:8" x14ac:dyDescent="0.2">
      <c r="A1386" s="5">
        <v>45818.468363078704</v>
      </c>
      <c r="B1386" s="1" t="s">
        <v>27</v>
      </c>
      <c r="C1386" s="1">
        <v>2025</v>
      </c>
      <c r="D1386" s="1" t="s">
        <v>110</v>
      </c>
      <c r="E1386" s="6" t="s">
        <v>3005</v>
      </c>
      <c r="F1386" s="7" t="str">
        <f>HYPERLINK("https://drive.google.com/open?id=1bGJWCN7-bZQSl3cMCCd4KJRrHz1r1jve","1 files moved")</f>
        <v>1 files moved</v>
      </c>
      <c r="G1386" s="6" t="s">
        <v>3006</v>
      </c>
      <c r="H1386" s="1" t="s">
        <v>3007</v>
      </c>
    </row>
    <row r="1387" spans="1:8" x14ac:dyDescent="0.2">
      <c r="A1387" s="5">
        <v>45819.345827592595</v>
      </c>
      <c r="B1387" s="1" t="s">
        <v>13</v>
      </c>
      <c r="C1387" s="1">
        <v>2025</v>
      </c>
      <c r="D1387" s="1" t="s">
        <v>110</v>
      </c>
      <c r="E1387" s="6" t="s">
        <v>3008</v>
      </c>
      <c r="F1387" s="7" t="str">
        <f>HYPERLINK("https://drive.google.com/open?id=1Zryv8yNLErRzmBqkGZTRY6f8oQgaib5M","1 files moved")</f>
        <v>1 files moved</v>
      </c>
      <c r="G1387" s="6" t="s">
        <v>3009</v>
      </c>
      <c r="H1387" s="1" t="s">
        <v>3010</v>
      </c>
    </row>
    <row r="1388" spans="1:8" x14ac:dyDescent="0.2">
      <c r="A1388" s="5">
        <v>45820.609596412032</v>
      </c>
      <c r="B1388" s="1" t="s">
        <v>24</v>
      </c>
      <c r="C1388" s="1">
        <v>2025</v>
      </c>
      <c r="D1388" s="1" t="s">
        <v>110</v>
      </c>
      <c r="E1388" s="6" t="s">
        <v>3011</v>
      </c>
      <c r="F1388" s="7" t="str">
        <f>HYPERLINK("https://drive.google.com/open?id=1lAkCTSJDqjfWsuZxvLL2COI53gbRENb_","1 files moved")</f>
        <v>1 files moved</v>
      </c>
      <c r="G1388" s="6" t="s">
        <v>3012</v>
      </c>
      <c r="H1388" s="1" t="s">
        <v>3013</v>
      </c>
    </row>
    <row r="1389" spans="1:8" x14ac:dyDescent="0.2">
      <c r="A1389" s="5">
        <v>45824.153731782411</v>
      </c>
      <c r="B1389" s="1" t="s">
        <v>378</v>
      </c>
      <c r="C1389" s="1">
        <v>2025</v>
      </c>
      <c r="D1389" s="1" t="s">
        <v>110</v>
      </c>
      <c r="E1389" s="6" t="s">
        <v>3014</v>
      </c>
      <c r="F1389" s="7" t="str">
        <f>HYPERLINK("https://drive.google.com/open?id=1UaOhVLC8EU7AZLMQiErwZkrTRt0YZt3o","1 files moved")</f>
        <v>1 files moved</v>
      </c>
      <c r="G1389" s="6" t="s">
        <v>3015</v>
      </c>
      <c r="H1389" s="1" t="s">
        <v>3016</v>
      </c>
    </row>
    <row r="1390" spans="1:8" x14ac:dyDescent="0.2">
      <c r="A1390" s="5">
        <v>45824.157067962966</v>
      </c>
      <c r="B1390" s="1" t="s">
        <v>29</v>
      </c>
      <c r="C1390" s="1">
        <v>2025</v>
      </c>
      <c r="D1390" s="1" t="s">
        <v>110</v>
      </c>
      <c r="E1390" s="6" t="s">
        <v>3017</v>
      </c>
      <c r="F1390" s="7" t="str">
        <f>HYPERLINK("https://drive.google.com/open?id=1jO7SQkOk_xjZHSX78M31VKgg3Vt_d9Aw","1 files moved")</f>
        <v>1 files moved</v>
      </c>
      <c r="G1390" s="6" t="s">
        <v>3018</v>
      </c>
      <c r="H1390" s="1" t="s">
        <v>3019</v>
      </c>
    </row>
    <row r="1391" spans="1:8" x14ac:dyDescent="0.2">
      <c r="A1391" s="5">
        <v>45825.624143310182</v>
      </c>
      <c r="B1391" s="1" t="s">
        <v>969</v>
      </c>
      <c r="C1391" s="1">
        <v>2025</v>
      </c>
      <c r="D1391" s="1" t="s">
        <v>110</v>
      </c>
      <c r="E1391" s="6" t="s">
        <v>3020</v>
      </c>
      <c r="F1391" s="7" t="str">
        <f>HYPERLINK("https://drive.google.com/open?id=1jjaZ6sBJ-rgFFoV-a9VrKbvqiPbqOcgX","1 files moved")</f>
        <v>1 files moved</v>
      </c>
      <c r="G1391" s="6" t="s">
        <v>3021</v>
      </c>
      <c r="H1391" s="1" t="s">
        <v>3022</v>
      </c>
    </row>
    <row r="1392" spans="1:8" x14ac:dyDescent="0.2">
      <c r="A1392" s="5">
        <v>45827.514107766205</v>
      </c>
      <c r="B1392" s="1" t="s">
        <v>1139</v>
      </c>
      <c r="C1392" s="1">
        <v>2025</v>
      </c>
      <c r="D1392" s="1" t="s">
        <v>110</v>
      </c>
      <c r="E1392" s="6" t="s">
        <v>3023</v>
      </c>
      <c r="F1392" s="7" t="str">
        <f>HYPERLINK("https://drive.google.com/open?id=1BTw6tbsd-8pzBcPd3Qgz7GdSqpJA1avM","1 files moved")</f>
        <v>1 files moved</v>
      </c>
      <c r="G1392" s="6" t="s">
        <v>3024</v>
      </c>
      <c r="H1392" s="1" t="s">
        <v>3025</v>
      </c>
    </row>
    <row r="1393" spans="1:8" x14ac:dyDescent="0.2">
      <c r="A1393" s="5">
        <v>45831.351283958335</v>
      </c>
      <c r="B1393" s="1" t="s">
        <v>45</v>
      </c>
      <c r="C1393" s="1">
        <v>2025</v>
      </c>
      <c r="D1393" s="1" t="s">
        <v>110</v>
      </c>
      <c r="E1393" s="6" t="s">
        <v>3026</v>
      </c>
      <c r="F1393" s="7" t="str">
        <f>HYPERLINK("https://drive.google.com/open?id=1WOu53emjYl9MgCM11eFHkgxwdHlBm2Xz","1 files moved")</f>
        <v>1 files moved</v>
      </c>
      <c r="G1393" s="6" t="s">
        <v>3027</v>
      </c>
      <c r="H1393" s="1" t="s">
        <v>3028</v>
      </c>
    </row>
    <row r="1394" spans="1:8" x14ac:dyDescent="0.2">
      <c r="A1394" s="5">
        <v>45831.353268483799</v>
      </c>
      <c r="B1394" s="1" t="s">
        <v>11</v>
      </c>
      <c r="C1394" s="1">
        <v>2025</v>
      </c>
      <c r="D1394" s="1" t="s">
        <v>110</v>
      </c>
      <c r="E1394" s="6" t="s">
        <v>3029</v>
      </c>
      <c r="F1394" s="7" t="str">
        <f>HYPERLINK("https://drive.google.com/open?id=1YzDqbFE4H4BS5N9a8WbsE5FQL-HEPRMj","1 files moved")</f>
        <v>1 files moved</v>
      </c>
      <c r="G1394" s="6" t="s">
        <v>3030</v>
      </c>
      <c r="H1394" s="1" t="s">
        <v>3031</v>
      </c>
    </row>
    <row r="1395" spans="1:8" x14ac:dyDescent="0.2">
      <c r="A1395" s="5">
        <v>45831.363113506945</v>
      </c>
      <c r="B1395" s="1" t="s">
        <v>112</v>
      </c>
      <c r="C1395" s="1">
        <v>2025</v>
      </c>
      <c r="D1395" s="1" t="s">
        <v>110</v>
      </c>
      <c r="E1395" s="6" t="s">
        <v>3032</v>
      </c>
      <c r="F1395" s="7" t="str">
        <f>HYPERLINK("https://drive.google.com/open?id=1bgfFevr_vWoS1TUMY9H3d79cj9SEs5AT","1 files moved")</f>
        <v>1 files moved</v>
      </c>
      <c r="G1395" s="6" t="s">
        <v>3033</v>
      </c>
      <c r="H1395" s="1" t="s">
        <v>3034</v>
      </c>
    </row>
    <row r="1396" spans="1:8" x14ac:dyDescent="0.2">
      <c r="A1396" s="5">
        <v>45831.538930729163</v>
      </c>
      <c r="B1396" s="1" t="s">
        <v>68</v>
      </c>
      <c r="C1396" s="1">
        <v>2025</v>
      </c>
      <c r="D1396" s="1" t="s">
        <v>110</v>
      </c>
      <c r="E1396" s="6" t="s">
        <v>3035</v>
      </c>
      <c r="F1396" s="7" t="str">
        <f>HYPERLINK("https://drive.google.com/open?id=1OV29wdO4ju235Dn_RfWfQvZfv8o_gJRA","1 files moved")</f>
        <v>1 files moved</v>
      </c>
      <c r="G1396" s="6" t="s">
        <v>3036</v>
      </c>
      <c r="H1396" s="1" t="s">
        <v>3037</v>
      </c>
    </row>
    <row r="1397" spans="1:8" x14ac:dyDescent="0.2">
      <c r="A1397" s="5">
        <v>45831.60331366898</v>
      </c>
      <c r="B1397" s="1" t="s">
        <v>35</v>
      </c>
      <c r="C1397" s="1">
        <v>2025</v>
      </c>
      <c r="D1397" s="1" t="s">
        <v>110</v>
      </c>
      <c r="E1397" s="6" t="s">
        <v>3038</v>
      </c>
      <c r="F1397" s="7" t="str">
        <f>HYPERLINK("https://drive.google.com/open?id=1p9rKdY4QkNWIsmYys86EoZpuyIpPfpst","1 files moved")</f>
        <v>1 files moved</v>
      </c>
      <c r="G1397" s="6" t="s">
        <v>3039</v>
      </c>
      <c r="H1397" s="1" t="s">
        <v>3040</v>
      </c>
    </row>
    <row r="1398" spans="1:8" x14ac:dyDescent="0.2">
      <c r="A1398" s="5">
        <v>45831.692192650458</v>
      </c>
      <c r="B1398" s="1" t="s">
        <v>70</v>
      </c>
      <c r="C1398" s="1">
        <v>2025</v>
      </c>
      <c r="D1398" s="1" t="s">
        <v>110</v>
      </c>
      <c r="E1398" s="6" t="s">
        <v>3041</v>
      </c>
      <c r="F1398" s="7" t="str">
        <f>HYPERLINK("https://drive.google.com/open?id=1tJPwF2su0hso4TETThLNHI9_S0dJdbLl","1 files moved")</f>
        <v>1 files moved</v>
      </c>
      <c r="G1398" s="6" t="s">
        <v>3042</v>
      </c>
      <c r="H1398" s="1" t="s">
        <v>3043</v>
      </c>
    </row>
    <row r="1399" spans="1:8" x14ac:dyDescent="0.2">
      <c r="A1399" s="5">
        <v>45832.282436539354</v>
      </c>
      <c r="B1399" s="1" t="s">
        <v>348</v>
      </c>
      <c r="C1399" s="1">
        <v>2025</v>
      </c>
      <c r="D1399" s="1" t="s">
        <v>110</v>
      </c>
      <c r="E1399" s="6" t="s">
        <v>3044</v>
      </c>
      <c r="F1399" s="7" t="str">
        <f>HYPERLINK("https://drive.google.com/open?id=17WOaAXl5jFgeySypAmjW1SMD0z4Hcu1k","1 files moved")</f>
        <v>1 files moved</v>
      </c>
      <c r="G1399" s="6" t="s">
        <v>3045</v>
      </c>
      <c r="H1399" s="1" t="s">
        <v>3046</v>
      </c>
    </row>
    <row r="1400" spans="1:8" x14ac:dyDescent="0.2">
      <c r="A1400" s="5">
        <v>45832.359991273144</v>
      </c>
      <c r="B1400" s="1" t="s">
        <v>666</v>
      </c>
      <c r="C1400" s="1">
        <v>2025</v>
      </c>
      <c r="D1400" s="1" t="s">
        <v>110</v>
      </c>
      <c r="E1400" s="6" t="s">
        <v>3047</v>
      </c>
      <c r="F1400" s="7" t="str">
        <f t="shared" ref="F1400:F1401" si="61">HYPERLINK("https://drive.google.com/open?id=1V9JxAml7o3RDV4BK_aYYG2UrIwxiEXjP","1 files moved")</f>
        <v>1 files moved</v>
      </c>
      <c r="G1400" s="6" t="s">
        <v>3048</v>
      </c>
      <c r="H1400" s="1" t="s">
        <v>3049</v>
      </c>
    </row>
    <row r="1401" spans="1:8" x14ac:dyDescent="0.2">
      <c r="A1401" s="5">
        <v>45832.360273483791</v>
      </c>
      <c r="B1401" s="1" t="s">
        <v>666</v>
      </c>
      <c r="C1401" s="1">
        <v>2025</v>
      </c>
      <c r="D1401" s="1" t="s">
        <v>110</v>
      </c>
      <c r="E1401" s="6" t="s">
        <v>3050</v>
      </c>
      <c r="F1401" s="7" t="str">
        <f t="shared" si="61"/>
        <v>1 files moved</v>
      </c>
      <c r="G1401" s="6" t="s">
        <v>3051</v>
      </c>
      <c r="H1401" s="1" t="s">
        <v>3052</v>
      </c>
    </row>
    <row r="1402" spans="1:8" x14ac:dyDescent="0.2">
      <c r="A1402" s="5">
        <v>45832.596548217596</v>
      </c>
      <c r="B1402" s="1" t="s">
        <v>62</v>
      </c>
      <c r="C1402" s="1">
        <v>2025</v>
      </c>
      <c r="D1402" s="1" t="s">
        <v>110</v>
      </c>
      <c r="E1402" s="6" t="s">
        <v>3053</v>
      </c>
      <c r="F1402" s="7" t="str">
        <f>HYPERLINK("https://drive.google.com/open?id=1CSWuwAcjfOUkpFz17anJSHXpLD9oH9ta","1 files moved")</f>
        <v>1 files moved</v>
      </c>
      <c r="G1402" s="6" t="s">
        <v>3054</v>
      </c>
      <c r="H1402" s="1" t="s">
        <v>3055</v>
      </c>
    </row>
    <row r="1403" spans="1:8" x14ac:dyDescent="0.2">
      <c r="A1403" s="5">
        <v>45832.648697731478</v>
      </c>
      <c r="B1403" s="1" t="s">
        <v>330</v>
      </c>
      <c r="C1403" s="1">
        <v>2025</v>
      </c>
      <c r="D1403" s="1" t="s">
        <v>110</v>
      </c>
      <c r="E1403" s="6" t="s">
        <v>3056</v>
      </c>
      <c r="F1403" s="7" t="str">
        <f>HYPERLINK("https://drive.google.com/open?id=1jgWFJ1Rnlmfp-xLJYcsceHq4Kj-jmyCy","1 files moved")</f>
        <v>1 files moved</v>
      </c>
      <c r="G1403" s="6" t="s">
        <v>3057</v>
      </c>
      <c r="H1403" s="1" t="s">
        <v>3058</v>
      </c>
    </row>
    <row r="1404" spans="1:8" x14ac:dyDescent="0.2">
      <c r="A1404" s="5">
        <v>45833.349745509258</v>
      </c>
      <c r="B1404" s="1" t="s">
        <v>686</v>
      </c>
      <c r="C1404" s="1">
        <v>2025</v>
      </c>
      <c r="D1404" s="1" t="s">
        <v>110</v>
      </c>
      <c r="E1404" s="6" t="s">
        <v>3059</v>
      </c>
      <c r="F1404" s="7" t="str">
        <f>HYPERLINK("https://drive.google.com/open?id=1raKDx-uNeIvhNP7U_Rt7B4uGTAH17pUT","1 files moved")</f>
        <v>1 files moved</v>
      </c>
      <c r="G1404" s="6" t="s">
        <v>3060</v>
      </c>
      <c r="H1404" s="1" t="s">
        <v>3061</v>
      </c>
    </row>
    <row r="1405" spans="1:8" x14ac:dyDescent="0.2">
      <c r="A1405" s="5">
        <v>45834.344527222223</v>
      </c>
      <c r="B1405" s="1" t="s">
        <v>47</v>
      </c>
      <c r="C1405" s="1">
        <v>2025</v>
      </c>
      <c r="D1405" s="1" t="s">
        <v>110</v>
      </c>
      <c r="E1405" s="6" t="s">
        <v>3062</v>
      </c>
      <c r="F1405" s="7" t="str">
        <f>HYPERLINK("https://drive.google.com/open?id=1pM9D8l1ep_C4D6kUFxAGlSX58S2gNWw7","1 files moved")</f>
        <v>1 files moved</v>
      </c>
      <c r="G1405" s="6" t="s">
        <v>3063</v>
      </c>
      <c r="H1405" s="1" t="s">
        <v>3064</v>
      </c>
    </row>
    <row r="1406" spans="1:8" x14ac:dyDescent="0.2">
      <c r="A1406" s="5">
        <v>45837.782552708333</v>
      </c>
      <c r="B1406" s="1" t="s">
        <v>2865</v>
      </c>
      <c r="C1406" s="1">
        <v>2025</v>
      </c>
      <c r="D1406" s="1" t="s">
        <v>110</v>
      </c>
      <c r="E1406" s="6" t="s">
        <v>3065</v>
      </c>
      <c r="F1406" s="7" t="str">
        <f t="shared" ref="F1406:F1408" si="62">HYPERLINK("https://drive.google.com/open?id=1BdKGjzlft4iK_w-brubvXY0GvQWwHose","1 files moved")</f>
        <v>1 files moved</v>
      </c>
      <c r="G1406" s="6" t="s">
        <v>3066</v>
      </c>
      <c r="H1406" s="1" t="s">
        <v>3067</v>
      </c>
    </row>
    <row r="1407" spans="1:8" x14ac:dyDescent="0.2">
      <c r="A1407" s="5">
        <v>45837.786020381944</v>
      </c>
      <c r="B1407" s="1" t="s">
        <v>2865</v>
      </c>
      <c r="C1407" s="1">
        <v>2025</v>
      </c>
      <c r="D1407" s="1" t="s">
        <v>2197</v>
      </c>
      <c r="E1407" s="6" t="s">
        <v>3068</v>
      </c>
      <c r="F1407" s="7" t="str">
        <f t="shared" si="62"/>
        <v>1 files moved</v>
      </c>
      <c r="G1407" s="6" t="s">
        <v>3069</v>
      </c>
      <c r="H1407" s="1" t="s">
        <v>3070</v>
      </c>
    </row>
    <row r="1408" spans="1:8" x14ac:dyDescent="0.2">
      <c r="A1408" s="5">
        <v>45837.78662244213</v>
      </c>
      <c r="B1408" s="1" t="s">
        <v>2865</v>
      </c>
      <c r="C1408" s="1">
        <v>2025</v>
      </c>
      <c r="D1408" s="1" t="s">
        <v>2197</v>
      </c>
      <c r="E1408" s="6" t="s">
        <v>3071</v>
      </c>
      <c r="F1408" s="7" t="str">
        <f t="shared" si="62"/>
        <v>1 files moved</v>
      </c>
      <c r="G1408" s="6" t="s">
        <v>3072</v>
      </c>
      <c r="H1408" s="1" t="s">
        <v>3073</v>
      </c>
    </row>
    <row r="1409" spans="1:8" x14ac:dyDescent="0.2">
      <c r="A1409" s="5">
        <v>45838.70484612268</v>
      </c>
      <c r="B1409" s="1" t="s">
        <v>76</v>
      </c>
      <c r="C1409" s="1">
        <v>2025</v>
      </c>
      <c r="D1409" s="1" t="s">
        <v>110</v>
      </c>
      <c r="E1409" s="6" t="s">
        <v>3074</v>
      </c>
      <c r="F1409" s="7" t="str">
        <f>HYPERLINK("https://drive.google.com/open?id=1YKXc634Hd6ivOmY-kuk_dNKkhypgkHlR","1 files moved")</f>
        <v>1 files moved</v>
      </c>
      <c r="G1409" s="6" t="s">
        <v>3075</v>
      </c>
      <c r="H1409" s="1" t="s">
        <v>3076</v>
      </c>
    </row>
    <row r="1410" spans="1:8" x14ac:dyDescent="0.2">
      <c r="A1410" s="5">
        <v>45839.397456238425</v>
      </c>
      <c r="B1410" s="1" t="s">
        <v>2953</v>
      </c>
      <c r="C1410" s="1">
        <v>2025</v>
      </c>
      <c r="D1410" s="1" t="s">
        <v>2190</v>
      </c>
      <c r="E1410" s="6" t="s">
        <v>3077</v>
      </c>
      <c r="F1410" s="7" t="str">
        <f t="shared" ref="F1410:F1413" si="63">HYPERLINK("https://drive.google.com/open?id=1PIK6ghqV4qAtohq5HjlNh_1o4Nwjlhqm","1 files moved")</f>
        <v>1 files moved</v>
      </c>
      <c r="G1410" s="6" t="s">
        <v>3078</v>
      </c>
      <c r="H1410" s="1" t="s">
        <v>3079</v>
      </c>
    </row>
    <row r="1411" spans="1:8" x14ac:dyDescent="0.2">
      <c r="A1411" s="5">
        <v>45839.397955185181</v>
      </c>
      <c r="B1411" s="1" t="s">
        <v>2953</v>
      </c>
      <c r="C1411" s="1">
        <v>2025</v>
      </c>
      <c r="D1411" s="1" t="s">
        <v>2190</v>
      </c>
      <c r="E1411" s="6" t="s">
        <v>3080</v>
      </c>
      <c r="F1411" s="7" t="str">
        <f t="shared" si="63"/>
        <v>1 files moved</v>
      </c>
      <c r="G1411" s="6" t="s">
        <v>3081</v>
      </c>
      <c r="H1411" s="1" t="s">
        <v>3082</v>
      </c>
    </row>
    <row r="1412" spans="1:8" x14ac:dyDescent="0.2">
      <c r="A1412" s="5">
        <v>45839.398748113425</v>
      </c>
      <c r="B1412" s="1" t="s">
        <v>2953</v>
      </c>
      <c r="C1412" s="1">
        <v>2025</v>
      </c>
      <c r="D1412" s="1" t="s">
        <v>2197</v>
      </c>
      <c r="E1412" s="6" t="s">
        <v>3083</v>
      </c>
      <c r="F1412" s="7" t="str">
        <f t="shared" si="63"/>
        <v>1 files moved</v>
      </c>
      <c r="G1412" s="6" t="s">
        <v>3084</v>
      </c>
      <c r="H1412" s="1" t="s">
        <v>3085</v>
      </c>
    </row>
    <row r="1413" spans="1:8" x14ac:dyDescent="0.2">
      <c r="A1413" s="5">
        <v>45839.399817789352</v>
      </c>
      <c r="B1413" s="1" t="s">
        <v>2953</v>
      </c>
      <c r="C1413" s="1">
        <v>2025</v>
      </c>
      <c r="D1413" s="1" t="s">
        <v>2197</v>
      </c>
      <c r="E1413" s="6" t="s">
        <v>3086</v>
      </c>
      <c r="F1413" s="7" t="str">
        <f t="shared" si="63"/>
        <v>1 files moved</v>
      </c>
      <c r="G1413" s="6" t="s">
        <v>3087</v>
      </c>
      <c r="H1413" s="1" t="s">
        <v>3088</v>
      </c>
    </row>
    <row r="1414" spans="1:8" x14ac:dyDescent="0.2">
      <c r="A1414" s="5">
        <v>45847.570158877315</v>
      </c>
      <c r="B1414" s="1" t="s">
        <v>53</v>
      </c>
      <c r="C1414" s="1">
        <v>2025</v>
      </c>
      <c r="D1414" s="1" t="s">
        <v>139</v>
      </c>
      <c r="E1414" s="6" t="s">
        <v>3089</v>
      </c>
      <c r="F1414" s="7" t="str">
        <f>HYPERLINK("https://drive.google.com/open?id=1mgwi5IYuDSmdes063EGgEET4VIkt5Ge6","1 files moved")</f>
        <v>1 files moved</v>
      </c>
      <c r="G1414" s="6" t="s">
        <v>3090</v>
      </c>
      <c r="H1414" s="1" t="s">
        <v>3091</v>
      </c>
    </row>
    <row r="1415" spans="1:8" x14ac:dyDescent="0.2">
      <c r="A1415" s="5">
        <v>45848.543112638887</v>
      </c>
      <c r="B1415" s="1" t="s">
        <v>45</v>
      </c>
      <c r="C1415" s="1">
        <v>2025</v>
      </c>
      <c r="D1415" s="1" t="s">
        <v>139</v>
      </c>
      <c r="E1415" s="6" t="s">
        <v>3092</v>
      </c>
      <c r="F1415" s="7" t="str">
        <f>HYPERLINK("https://drive.google.com/open?id=1WOu53emjYl9MgCM11eFHkgxwdHlBm2Xz","1 files moved")</f>
        <v>1 files moved</v>
      </c>
      <c r="G1415" s="6" t="s">
        <v>3093</v>
      </c>
      <c r="H1415" s="1" t="s">
        <v>3094</v>
      </c>
    </row>
    <row r="1416" spans="1:8" x14ac:dyDescent="0.2">
      <c r="A1416" s="5">
        <v>45848.631227268517</v>
      </c>
      <c r="B1416" s="1" t="s">
        <v>969</v>
      </c>
      <c r="C1416" s="1">
        <v>2025</v>
      </c>
      <c r="D1416" s="1" t="s">
        <v>139</v>
      </c>
      <c r="E1416" s="6" t="s">
        <v>3095</v>
      </c>
      <c r="F1416" s="7" t="str">
        <f>HYPERLINK("https://drive.google.com/open?id=1jjaZ6sBJ-rgFFoV-a9VrKbvqiPbqOcgX","1 files moved")</f>
        <v>1 files moved</v>
      </c>
      <c r="G1416" s="6" t="s">
        <v>3096</v>
      </c>
      <c r="H1416" s="1" t="s">
        <v>3097</v>
      </c>
    </row>
    <row r="1417" spans="1:8" x14ac:dyDescent="0.2">
      <c r="A1417" s="5">
        <v>45849.305631678246</v>
      </c>
      <c r="B1417" s="1" t="s">
        <v>330</v>
      </c>
      <c r="C1417" s="1">
        <v>2025</v>
      </c>
      <c r="D1417" s="1" t="s">
        <v>139</v>
      </c>
      <c r="E1417" s="6" t="s">
        <v>3098</v>
      </c>
      <c r="F1417" s="7" t="str">
        <f>HYPERLINK("https://drive.google.com/open?id=1jgWFJ1Rnlmfp-xLJYcsceHq4Kj-jmyCy","1 files moved")</f>
        <v>1 files moved</v>
      </c>
      <c r="G1417" s="6" t="s">
        <v>3099</v>
      </c>
      <c r="H1417" s="1" t="s">
        <v>3100</v>
      </c>
    </row>
    <row r="1418" spans="1:8" x14ac:dyDescent="0.2">
      <c r="A1418" s="5">
        <v>45850.416985902775</v>
      </c>
      <c r="B1418" s="1" t="s">
        <v>62</v>
      </c>
      <c r="C1418" s="1">
        <v>2025</v>
      </c>
      <c r="D1418" s="1" t="s">
        <v>139</v>
      </c>
      <c r="E1418" s="6" t="s">
        <v>3101</v>
      </c>
      <c r="F1418" s="7" t="str">
        <f>HYPERLINK("https://drive.google.com/open?id=1CSWuwAcjfOUkpFz17anJSHXpLD9oH9ta","1 files moved")</f>
        <v>1 files moved</v>
      </c>
      <c r="G1418" s="6" t="s">
        <v>3102</v>
      </c>
      <c r="H1418" s="1" t="s">
        <v>3103</v>
      </c>
    </row>
    <row r="1419" spans="1:8" x14ac:dyDescent="0.2">
      <c r="A1419" s="5">
        <v>45853.204515949074</v>
      </c>
      <c r="B1419" s="1" t="s">
        <v>378</v>
      </c>
      <c r="C1419" s="1">
        <v>2025</v>
      </c>
      <c r="D1419" s="1" t="s">
        <v>139</v>
      </c>
      <c r="E1419" s="6" t="s">
        <v>3104</v>
      </c>
      <c r="F1419" s="7" t="str">
        <f>HYPERLINK("https://drive.google.com/open?id=1UaOhVLC8EU7AZLMQiErwZkrTRt0YZt3o","1 files moved")</f>
        <v>1 files moved</v>
      </c>
      <c r="G1419" s="6" t="s">
        <v>3105</v>
      </c>
      <c r="H1419" s="1" t="s">
        <v>3106</v>
      </c>
    </row>
    <row r="1420" spans="1:8" x14ac:dyDescent="0.2">
      <c r="A1420" s="5">
        <v>45853.206191701393</v>
      </c>
      <c r="B1420" s="1" t="s">
        <v>29</v>
      </c>
      <c r="C1420" s="1">
        <v>2025</v>
      </c>
      <c r="D1420" s="1" t="s">
        <v>139</v>
      </c>
      <c r="E1420" s="6" t="s">
        <v>3107</v>
      </c>
      <c r="F1420" s="7" t="str">
        <f>HYPERLINK("https://drive.google.com/open?id=1jO7SQkOk_xjZHSX78M31VKgg3Vt_d9Aw","1 files moved")</f>
        <v>1 files moved</v>
      </c>
      <c r="G1420" s="6" t="s">
        <v>3108</v>
      </c>
      <c r="H1420" s="1" t="s">
        <v>3109</v>
      </c>
    </row>
    <row r="1421" spans="1:8" x14ac:dyDescent="0.2">
      <c r="A1421" s="5">
        <v>45854.467198182872</v>
      </c>
      <c r="B1421" s="1" t="s">
        <v>24</v>
      </c>
      <c r="C1421" s="1">
        <v>2025</v>
      </c>
      <c r="D1421" s="1" t="s">
        <v>139</v>
      </c>
      <c r="E1421" s="6" t="s">
        <v>3110</v>
      </c>
      <c r="F1421" s="7" t="str">
        <f>HYPERLINK("https://drive.google.com/open?id=1lAkCTSJDqjfWsuZxvLL2COI53gbRENb_","1 files moved")</f>
        <v>1 files moved</v>
      </c>
      <c r="G1421" s="6" t="s">
        <v>3111</v>
      </c>
      <c r="H1421" s="1" t="s">
        <v>3112</v>
      </c>
    </row>
    <row r="1422" spans="1:8" x14ac:dyDescent="0.2">
      <c r="A1422" s="5">
        <v>45854.661423124999</v>
      </c>
      <c r="B1422" s="1" t="s">
        <v>37</v>
      </c>
      <c r="C1422" s="1">
        <v>2025</v>
      </c>
      <c r="D1422" s="1" t="s">
        <v>139</v>
      </c>
      <c r="E1422" s="6" t="s">
        <v>3113</v>
      </c>
      <c r="F1422" s="7" t="str">
        <f>HYPERLINK("https://drive.google.com/open?id=1qa1mLZHOuZIAKZUnYIblWo1lTS9NuBTm","1 files moved")</f>
        <v>1 files moved</v>
      </c>
      <c r="G1422" s="6" t="s">
        <v>3114</v>
      </c>
      <c r="H1422" s="1" t="s">
        <v>3115</v>
      </c>
    </row>
    <row r="1423" spans="1:8" x14ac:dyDescent="0.2">
      <c r="A1423" s="5">
        <v>45864.730962210648</v>
      </c>
      <c r="B1423" s="1" t="s">
        <v>68</v>
      </c>
      <c r="C1423" s="1">
        <v>2025</v>
      </c>
      <c r="D1423" s="1" t="s">
        <v>166</v>
      </c>
      <c r="E1423" s="6" t="s">
        <v>3116</v>
      </c>
      <c r="F1423" s="7" t="str">
        <f>HYPERLINK("https://drive.google.com/open?id=1OV29wdO4ju235Dn_RfWfQvZfv8o_gJRA","1 files moved")</f>
        <v>1 files moved</v>
      </c>
      <c r="G1423" s="6" t="s">
        <v>3117</v>
      </c>
      <c r="H1423" s="1" t="s">
        <v>3118</v>
      </c>
    </row>
    <row r="1424" spans="1:8" x14ac:dyDescent="0.2">
      <c r="A1424" s="5">
        <v>45867.366333541664</v>
      </c>
      <c r="B1424" s="1" t="s">
        <v>22</v>
      </c>
      <c r="C1424" s="1">
        <v>2025</v>
      </c>
      <c r="D1424" s="1" t="s">
        <v>139</v>
      </c>
      <c r="E1424" s="6" t="s">
        <v>3119</v>
      </c>
      <c r="F1424" s="7" t="str">
        <f>HYPERLINK("https://drive.google.com/open?id=1WAbmR1kP-K3GSrnpnC5igzsk9XdBZPD_","1 files moved")</f>
        <v>1 files moved</v>
      </c>
      <c r="G1424" s="6" t="s">
        <v>3120</v>
      </c>
      <c r="H1424" s="1" t="s">
        <v>3121</v>
      </c>
    </row>
    <row r="1425" spans="1:8" x14ac:dyDescent="0.2">
      <c r="A1425" s="5">
        <v>45869.299106365739</v>
      </c>
      <c r="B1425" s="1" t="s">
        <v>330</v>
      </c>
      <c r="C1425" s="1">
        <v>2025</v>
      </c>
      <c r="D1425" s="1" t="s">
        <v>139</v>
      </c>
      <c r="E1425" s="6" t="s">
        <v>3122</v>
      </c>
      <c r="F1425" s="7" t="str">
        <f>HYPERLINK("https://drive.google.com/open?id=1jgWFJ1Rnlmfp-xLJYcsceHq4Kj-jmyCy","1 files moved")</f>
        <v>1 files moved</v>
      </c>
      <c r="G1425" s="6" t="s">
        <v>3123</v>
      </c>
      <c r="H1425" s="1" t="s">
        <v>3124</v>
      </c>
    </row>
    <row r="1426" spans="1:8" x14ac:dyDescent="0.2">
      <c r="A1426" s="5">
        <v>45876.357514317133</v>
      </c>
      <c r="B1426" s="1" t="s">
        <v>24</v>
      </c>
      <c r="C1426" s="1">
        <v>2025</v>
      </c>
      <c r="D1426" s="1" t="s">
        <v>166</v>
      </c>
      <c r="E1426" s="6" t="s">
        <v>3125</v>
      </c>
      <c r="F1426" s="7" t="str">
        <f>HYPERLINK("https://drive.google.com/open?id=1lAkCTSJDqjfWsuZxvLL2COI53gbRENb_","1 files moved")</f>
        <v>1 files moved</v>
      </c>
      <c r="G1426" s="6" t="s">
        <v>3126</v>
      </c>
      <c r="H1426" s="1" t="s">
        <v>3127</v>
      </c>
    </row>
    <row r="1427" spans="1:8" x14ac:dyDescent="0.2">
      <c r="A1427" s="5">
        <v>45881.719961643517</v>
      </c>
      <c r="B1427" s="1" t="s">
        <v>53</v>
      </c>
      <c r="C1427" s="1">
        <v>2025</v>
      </c>
      <c r="D1427" s="1" t="s">
        <v>166</v>
      </c>
      <c r="E1427" s="6" t="s">
        <v>3128</v>
      </c>
      <c r="F1427" s="7" t="str">
        <f>HYPERLINK("https://drive.google.com/open?id=1mgwi5IYuDSmdes063EGgEET4VIkt5Ge6","1 files moved")</f>
        <v>1 files moved</v>
      </c>
      <c r="G1427" s="6" t="s">
        <v>3129</v>
      </c>
      <c r="H1427" s="1" t="s">
        <v>3130</v>
      </c>
    </row>
    <row r="1428" spans="1:8" x14ac:dyDescent="0.2">
      <c r="A1428" s="5">
        <v>45889.624856030088</v>
      </c>
      <c r="B1428" s="1" t="s">
        <v>969</v>
      </c>
      <c r="C1428" s="1">
        <v>2025</v>
      </c>
      <c r="D1428" s="1" t="s">
        <v>166</v>
      </c>
      <c r="E1428" s="6" t="s">
        <v>3131</v>
      </c>
      <c r="F1428" s="7" t="str">
        <f>HYPERLINK("https://drive.google.com/open?id=1jjaZ6sBJ-rgFFoV-a9VrKbvqiPbqOcgX","1 files moved")</f>
        <v>1 files moved</v>
      </c>
      <c r="G1428" s="6" t="s">
        <v>3132</v>
      </c>
      <c r="H1428" s="1" t="s">
        <v>3133</v>
      </c>
    </row>
    <row r="1429" spans="1:8" x14ac:dyDescent="0.2">
      <c r="A1429" s="5">
        <v>45898.370208275461</v>
      </c>
      <c r="B1429" s="1" t="s">
        <v>76</v>
      </c>
      <c r="C1429" s="1">
        <v>2025</v>
      </c>
      <c r="D1429" s="1" t="s">
        <v>139</v>
      </c>
      <c r="E1429" s="6" t="s">
        <v>3134</v>
      </c>
      <c r="F1429" s="7" t="str">
        <f t="shared" ref="F1429:F1430" si="64">HYPERLINK("https://drive.google.com/open?id=1YKXc634Hd6ivOmY-kuk_dNKkhypgkHlR","1 files moved")</f>
        <v>1 files moved</v>
      </c>
      <c r="G1429" s="6" t="s">
        <v>3135</v>
      </c>
      <c r="H1429" s="1" t="s">
        <v>3136</v>
      </c>
    </row>
    <row r="1430" spans="1:8" x14ac:dyDescent="0.2">
      <c r="A1430" s="5">
        <v>45898.370496134259</v>
      </c>
      <c r="B1430" s="1" t="s">
        <v>76</v>
      </c>
      <c r="C1430" s="1">
        <v>2025</v>
      </c>
      <c r="D1430" s="1" t="s">
        <v>166</v>
      </c>
      <c r="E1430" s="6" t="s">
        <v>3137</v>
      </c>
      <c r="F1430" s="7" t="str">
        <f t="shared" si="64"/>
        <v>1 files moved</v>
      </c>
      <c r="G1430" s="6" t="s">
        <v>3138</v>
      </c>
      <c r="H1430" s="1" t="s">
        <v>3139</v>
      </c>
    </row>
    <row r="1431" spans="1:8" x14ac:dyDescent="0.2">
      <c r="A1431" s="5">
        <v>45898.650946770838</v>
      </c>
      <c r="B1431" s="1" t="s">
        <v>35</v>
      </c>
      <c r="C1431" s="1">
        <v>2025</v>
      </c>
      <c r="D1431" s="1" t="s">
        <v>166</v>
      </c>
      <c r="E1431" s="6" t="s">
        <v>3140</v>
      </c>
      <c r="F1431" s="7" t="str">
        <f>HYPERLINK("https://drive.google.com/open?id=1p9rKdY4QkNWIsmYys86EoZpuyIpPfpst","1 files moved")</f>
        <v>1 files moved</v>
      </c>
      <c r="G1431" s="6" t="s">
        <v>3141</v>
      </c>
      <c r="H1431" s="1" t="s">
        <v>3142</v>
      </c>
    </row>
    <row r="1432" spans="1:8" x14ac:dyDescent="0.2">
      <c r="A1432" s="5">
        <v>45902.405418587965</v>
      </c>
      <c r="B1432" s="1" t="s">
        <v>330</v>
      </c>
      <c r="C1432" s="1">
        <v>2025</v>
      </c>
      <c r="D1432" s="1" t="s">
        <v>166</v>
      </c>
      <c r="E1432" s="6" t="s">
        <v>3143</v>
      </c>
      <c r="F1432" s="7" t="str">
        <f>HYPERLINK("https://drive.google.com/open?id=1jgWFJ1Rnlmfp-xLJYcsceHq4Kj-jmyCy","1 files moved")</f>
        <v>1 files moved</v>
      </c>
      <c r="G1432" s="6" t="s">
        <v>3144</v>
      </c>
      <c r="H1432" s="1" t="s">
        <v>3145</v>
      </c>
    </row>
    <row r="1433" spans="1:8" x14ac:dyDescent="0.2">
      <c r="A1433" s="5">
        <v>45902.632407650468</v>
      </c>
      <c r="B1433" s="1" t="s">
        <v>969</v>
      </c>
      <c r="C1433" s="1">
        <v>2025</v>
      </c>
      <c r="D1433" s="1" t="s">
        <v>196</v>
      </c>
      <c r="E1433" s="6" t="s">
        <v>3146</v>
      </c>
      <c r="F1433" s="7" t="str">
        <f>HYPERLINK("https://drive.google.com/open?id=1jjaZ6sBJ-rgFFoV-a9VrKbvqiPbqOcgX","1 files moved")</f>
        <v>1 files moved</v>
      </c>
      <c r="G1433" s="6" t="s">
        <v>3147</v>
      </c>
      <c r="H1433" s="1" t="s">
        <v>3148</v>
      </c>
    </row>
    <row r="1434" spans="1:8" x14ac:dyDescent="0.2">
      <c r="A1434" s="5">
        <v>45904.377918402781</v>
      </c>
      <c r="B1434" s="1" t="s">
        <v>22</v>
      </c>
      <c r="C1434" s="1">
        <v>2025</v>
      </c>
      <c r="D1434" s="1" t="s">
        <v>196</v>
      </c>
      <c r="E1434" s="6" t="s">
        <v>3149</v>
      </c>
      <c r="F1434" s="7" t="str">
        <f>HYPERLINK("https://drive.google.com/open?id=1WAbmR1kP-K3GSrnpnC5igzsk9XdBZPD_","1 files moved")</f>
        <v>1 files moved</v>
      </c>
      <c r="G1434" s="6" t="s">
        <v>3150</v>
      </c>
      <c r="H1434" s="1" t="s">
        <v>3151</v>
      </c>
    </row>
    <row r="1435" spans="1:8" x14ac:dyDescent="0.2">
      <c r="A1435" s="5">
        <v>45908.39851885417</v>
      </c>
      <c r="B1435" s="1" t="s">
        <v>53</v>
      </c>
      <c r="C1435" s="1">
        <v>2025</v>
      </c>
      <c r="D1435" s="1" t="s">
        <v>196</v>
      </c>
      <c r="E1435" s="6" t="s">
        <v>3152</v>
      </c>
      <c r="F1435" s="7" t="str">
        <f>HYPERLINK("https://drive.google.com/open?id=1mgwi5IYuDSmdes063EGgEET4VIkt5Ge6","1 files moved")</f>
        <v>1 files moved</v>
      </c>
      <c r="G1435" s="6" t="s">
        <v>3153</v>
      </c>
      <c r="H1435" s="1" t="s">
        <v>3154</v>
      </c>
    </row>
    <row r="1436" spans="1:8" x14ac:dyDescent="0.2">
      <c r="A1436" s="5">
        <v>45909.569030162034</v>
      </c>
      <c r="B1436" s="1" t="s">
        <v>666</v>
      </c>
      <c r="C1436" s="1">
        <v>2025</v>
      </c>
      <c r="D1436" s="1" t="s">
        <v>196</v>
      </c>
      <c r="E1436" s="6" t="s">
        <v>3155</v>
      </c>
      <c r="F1436" s="7" t="str">
        <f t="shared" ref="F1436:F1438" si="65">HYPERLINK("https://drive.google.com/open?id=1V9JxAml7o3RDV4BK_aYYG2UrIwxiEXjP","1 files moved")</f>
        <v>1 files moved</v>
      </c>
      <c r="G1436" s="6" t="s">
        <v>3156</v>
      </c>
      <c r="H1436" s="1" t="s">
        <v>3157</v>
      </c>
    </row>
    <row r="1437" spans="1:8" x14ac:dyDescent="0.2">
      <c r="A1437" s="5">
        <v>45909.569461203704</v>
      </c>
      <c r="B1437" s="1" t="s">
        <v>666</v>
      </c>
      <c r="C1437" s="1">
        <v>2025</v>
      </c>
      <c r="D1437" s="1" t="s">
        <v>166</v>
      </c>
      <c r="E1437" s="6" t="s">
        <v>3158</v>
      </c>
      <c r="F1437" s="7" t="str">
        <f t="shared" si="65"/>
        <v>1 files moved</v>
      </c>
      <c r="G1437" s="6" t="s">
        <v>3159</v>
      </c>
      <c r="H1437" s="1" t="s">
        <v>3160</v>
      </c>
    </row>
    <row r="1438" spans="1:8" x14ac:dyDescent="0.2">
      <c r="A1438" s="5">
        <v>45909.569863831013</v>
      </c>
      <c r="B1438" s="1" t="s">
        <v>666</v>
      </c>
      <c r="C1438" s="1">
        <v>2025</v>
      </c>
      <c r="D1438" s="1" t="s">
        <v>139</v>
      </c>
      <c r="E1438" s="6" t="s">
        <v>3161</v>
      </c>
      <c r="F1438" s="7" t="str">
        <f t="shared" si="65"/>
        <v>1 files moved</v>
      </c>
      <c r="G1438" s="6" t="s">
        <v>3162</v>
      </c>
      <c r="H1438" s="1" t="s">
        <v>3163</v>
      </c>
    </row>
    <row r="1439" spans="1:8" x14ac:dyDescent="0.2">
      <c r="A1439" s="5">
        <v>45909.590009004634</v>
      </c>
      <c r="B1439" s="1" t="s">
        <v>8</v>
      </c>
      <c r="C1439" s="1">
        <v>2025</v>
      </c>
      <c r="D1439" s="1" t="s">
        <v>196</v>
      </c>
      <c r="E1439" s="6" t="s">
        <v>3164</v>
      </c>
      <c r="F1439" s="7" t="str">
        <f t="shared" ref="F1439:F1440" si="66">HYPERLINK("https://drive.google.com/open?id=1RzBx4e3LIUFyXvV8TKxHGhvZPq7MCFk3","1 files moved")</f>
        <v>1 files moved</v>
      </c>
      <c r="G1439" s="6" t="s">
        <v>3165</v>
      </c>
      <c r="H1439" s="1" t="s">
        <v>3166</v>
      </c>
    </row>
    <row r="1440" spans="1:8" x14ac:dyDescent="0.2">
      <c r="A1440" s="5">
        <v>45909.590212268522</v>
      </c>
      <c r="B1440" s="1" t="s">
        <v>8</v>
      </c>
      <c r="C1440" s="1">
        <v>2025</v>
      </c>
      <c r="D1440" s="1" t="s">
        <v>166</v>
      </c>
      <c r="E1440" s="6" t="s">
        <v>3167</v>
      </c>
      <c r="F1440" s="7" t="str">
        <f t="shared" si="66"/>
        <v>1 files moved</v>
      </c>
      <c r="G1440" s="6" t="s">
        <v>3168</v>
      </c>
      <c r="H1440" s="1" t="s">
        <v>3169</v>
      </c>
    </row>
    <row r="1441" spans="1:8" x14ac:dyDescent="0.2">
      <c r="A1441" s="5">
        <v>45909.590259988428</v>
      </c>
      <c r="B1441" s="1" t="s">
        <v>11</v>
      </c>
      <c r="C1441" s="1">
        <v>2025</v>
      </c>
      <c r="D1441" s="1" t="s">
        <v>139</v>
      </c>
      <c r="E1441" s="6" t="s">
        <v>3170</v>
      </c>
      <c r="F1441" s="7" t="str">
        <f>HYPERLINK("https://drive.google.com/open?id=1YzDqbFE4H4BS5N9a8WbsE5FQL-HEPRMj","1 files moved")</f>
        <v>1 files moved</v>
      </c>
      <c r="G1441" s="6" t="s">
        <v>3171</v>
      </c>
      <c r="H1441" s="1" t="s">
        <v>3172</v>
      </c>
    </row>
    <row r="1442" spans="1:8" x14ac:dyDescent="0.2">
      <c r="A1442" s="5">
        <v>45909.590560729164</v>
      </c>
      <c r="B1442" s="1" t="s">
        <v>8</v>
      </c>
      <c r="C1442" s="1">
        <v>2025</v>
      </c>
      <c r="D1442" s="1" t="s">
        <v>139</v>
      </c>
      <c r="E1442" s="6" t="s">
        <v>3173</v>
      </c>
      <c r="F1442" s="7" t="str">
        <f>HYPERLINK("https://drive.google.com/open?id=1RzBx4e3LIUFyXvV8TKxHGhvZPq7MCFk3","1 files moved")</f>
        <v>1 files moved</v>
      </c>
      <c r="G1442" s="6" t="s">
        <v>3174</v>
      </c>
      <c r="H1442" s="1" t="s">
        <v>3175</v>
      </c>
    </row>
    <row r="1443" spans="1:8" x14ac:dyDescent="0.2">
      <c r="A1443" s="5">
        <v>45909.590593564819</v>
      </c>
      <c r="B1443" s="1" t="s">
        <v>11</v>
      </c>
      <c r="C1443" s="1">
        <v>2025</v>
      </c>
      <c r="D1443" s="1" t="s">
        <v>166</v>
      </c>
      <c r="E1443" s="6" t="s">
        <v>3176</v>
      </c>
      <c r="F1443" s="7" t="str">
        <f>HYPERLINK("https://drive.google.com/open?id=1YzDqbFE4H4BS5N9a8WbsE5FQL-HEPRMj","1 files moved")</f>
        <v>1 files moved</v>
      </c>
      <c r="G1443" s="6" t="s">
        <v>3177</v>
      </c>
      <c r="H1443" s="1" t="s">
        <v>3178</v>
      </c>
    </row>
    <row r="1444" spans="1:8" x14ac:dyDescent="0.2">
      <c r="A1444" s="5">
        <v>45909.590821597223</v>
      </c>
      <c r="B1444" s="1" t="s">
        <v>8</v>
      </c>
      <c r="C1444" s="1">
        <v>2025</v>
      </c>
      <c r="D1444" s="1" t="s">
        <v>110</v>
      </c>
      <c r="E1444" s="6" t="s">
        <v>3179</v>
      </c>
      <c r="F1444" s="7" t="str">
        <f>HYPERLINK("https://drive.google.com/open?id=1RzBx4e3LIUFyXvV8TKxHGhvZPq7MCFk3","1 files moved")</f>
        <v>1 files moved</v>
      </c>
      <c r="G1444" s="6" t="s">
        <v>3180</v>
      </c>
      <c r="H1444" s="1" t="s">
        <v>3181</v>
      </c>
    </row>
    <row r="1445" spans="1:8" x14ac:dyDescent="0.2">
      <c r="A1445" s="5">
        <v>45909.590989930555</v>
      </c>
      <c r="B1445" s="1" t="s">
        <v>11</v>
      </c>
      <c r="C1445" s="1">
        <v>2025</v>
      </c>
      <c r="D1445" s="1" t="s">
        <v>196</v>
      </c>
      <c r="E1445" s="6" t="s">
        <v>3182</v>
      </c>
      <c r="F1445" s="7" t="str">
        <f>HYPERLINK("https://drive.google.com/open?id=1YzDqbFE4H4BS5N9a8WbsE5FQL-HEPRMj","1 files moved")</f>
        <v>1 files moved</v>
      </c>
      <c r="G1445" s="6" t="s">
        <v>3183</v>
      </c>
      <c r="H1445" s="1" t="s">
        <v>3184</v>
      </c>
    </row>
    <row r="1446" spans="1:8" x14ac:dyDescent="0.2">
      <c r="A1446" s="5">
        <v>45909.592406377313</v>
      </c>
      <c r="B1446" s="1" t="s">
        <v>56</v>
      </c>
      <c r="C1446" s="1">
        <v>2025</v>
      </c>
      <c r="D1446" s="1" t="s">
        <v>139</v>
      </c>
      <c r="E1446" s="6" t="s">
        <v>3185</v>
      </c>
      <c r="F1446" s="7" t="str">
        <f t="shared" ref="F1446:F1448" si="67">HYPERLINK("https://drive.google.com/open?id=1YZIPSo9PodNGWCjC1zK15cW1JEByXJ7w","1 files moved")</f>
        <v>1 files moved</v>
      </c>
      <c r="G1446" s="6" t="s">
        <v>3186</v>
      </c>
      <c r="H1446" s="1" t="s">
        <v>3187</v>
      </c>
    </row>
    <row r="1447" spans="1:8" x14ac:dyDescent="0.2">
      <c r="A1447" s="5">
        <v>45909.592669479171</v>
      </c>
      <c r="B1447" s="1" t="s">
        <v>56</v>
      </c>
      <c r="C1447" s="1">
        <v>2025</v>
      </c>
      <c r="D1447" s="1" t="s">
        <v>166</v>
      </c>
      <c r="E1447" s="6" t="s">
        <v>3188</v>
      </c>
      <c r="F1447" s="7" t="str">
        <f t="shared" si="67"/>
        <v>1 files moved</v>
      </c>
      <c r="G1447" s="6" t="s">
        <v>3189</v>
      </c>
      <c r="H1447" s="1" t="s">
        <v>3190</v>
      </c>
    </row>
    <row r="1448" spans="1:8" x14ac:dyDescent="0.2">
      <c r="A1448" s="5">
        <v>45909.59292195602</v>
      </c>
      <c r="B1448" s="1" t="s">
        <v>56</v>
      </c>
      <c r="C1448" s="1">
        <v>2025</v>
      </c>
      <c r="D1448" s="1" t="s">
        <v>196</v>
      </c>
      <c r="E1448" s="6" t="s">
        <v>3191</v>
      </c>
      <c r="F1448" s="7" t="str">
        <f t="shared" si="67"/>
        <v>1 files moved</v>
      </c>
      <c r="G1448" s="6" t="s">
        <v>3192</v>
      </c>
      <c r="H1448" s="1" t="s">
        <v>3193</v>
      </c>
    </row>
    <row r="1449" spans="1:8" x14ac:dyDescent="0.2">
      <c r="A1449" s="5">
        <v>45909.624036967594</v>
      </c>
      <c r="B1449" s="1" t="s">
        <v>24</v>
      </c>
      <c r="C1449" s="1">
        <v>2025</v>
      </c>
      <c r="D1449" s="1" t="s">
        <v>196</v>
      </c>
      <c r="E1449" s="6" t="s">
        <v>3194</v>
      </c>
      <c r="F1449" s="7" t="str">
        <f>HYPERLINK("https://drive.google.com/open?id=1lAkCTSJDqjfWsuZxvLL2COI53gbRENb_","1 files moved")</f>
        <v>1 files moved</v>
      </c>
      <c r="G1449" s="6" t="s">
        <v>3195</v>
      </c>
      <c r="H1449" s="1" t="s">
        <v>3196</v>
      </c>
    </row>
    <row r="1450" spans="1:8" x14ac:dyDescent="0.2">
      <c r="A1450" s="5">
        <v>45910.44652592593</v>
      </c>
      <c r="B1450" s="1" t="s">
        <v>47</v>
      </c>
      <c r="C1450" s="1">
        <v>2025</v>
      </c>
      <c r="D1450" s="1" t="s">
        <v>196</v>
      </c>
      <c r="E1450" s="6" t="s">
        <v>3197</v>
      </c>
      <c r="F1450" s="7" t="str">
        <f>HYPERLINK("https://drive.google.com/open?id=1pM9D8l1ep_C4D6kUFxAGlSX58S2gNWw7","1 files moved")</f>
        <v>1 files moved</v>
      </c>
      <c r="G1450" s="6" t="s">
        <v>3198</v>
      </c>
      <c r="H1450" s="1" t="s">
        <v>3199</v>
      </c>
    </row>
    <row r="1451" spans="1:8" x14ac:dyDescent="0.2">
      <c r="A1451" s="5">
        <v>45912.41445462963</v>
      </c>
      <c r="B1451" s="1" t="s">
        <v>378</v>
      </c>
      <c r="C1451" s="1">
        <v>2025</v>
      </c>
      <c r="D1451" s="1" t="s">
        <v>196</v>
      </c>
      <c r="E1451" s="6" t="s">
        <v>3200</v>
      </c>
      <c r="F1451" s="7" t="str">
        <f>HYPERLINK("https://drive.google.com/open?id=1UaOhVLC8EU7AZLMQiErwZkrTRt0YZt3o","1 files moved")</f>
        <v>1 files moved</v>
      </c>
      <c r="G1451" s="6" t="s">
        <v>3201</v>
      </c>
      <c r="H1451" s="1" t="s">
        <v>3202</v>
      </c>
    </row>
    <row r="1452" spans="1:8" x14ac:dyDescent="0.2">
      <c r="A1452" s="5">
        <v>45912.415538009256</v>
      </c>
      <c r="B1452" s="1" t="s">
        <v>29</v>
      </c>
      <c r="C1452" s="1">
        <v>2025</v>
      </c>
      <c r="D1452" s="1" t="s">
        <v>196</v>
      </c>
      <c r="E1452" s="6" t="s">
        <v>3203</v>
      </c>
      <c r="F1452" s="7" t="str">
        <f>HYPERLINK("https://drive.google.com/open?id=1jO7SQkOk_xjZHSX78M31VKgg3Vt_d9Aw","1 files moved")</f>
        <v>1 files moved</v>
      </c>
      <c r="G1452" s="6" t="s">
        <v>3204</v>
      </c>
      <c r="H1452" s="1" t="s">
        <v>3205</v>
      </c>
    </row>
    <row r="1453" spans="1:8" x14ac:dyDescent="0.2">
      <c r="A1453" s="5">
        <v>45912.64919674769</v>
      </c>
      <c r="B1453" s="1" t="s">
        <v>37</v>
      </c>
      <c r="C1453" s="1">
        <v>2025</v>
      </c>
      <c r="D1453" s="1" t="s">
        <v>196</v>
      </c>
      <c r="E1453" s="6" t="s">
        <v>3206</v>
      </c>
      <c r="F1453" s="7" t="str">
        <f>HYPERLINK("https://drive.google.com/open?id=1qa1mLZHOuZIAKZUnYIblWo1lTS9NuBTm","1 files moved")</f>
        <v>1 files moved</v>
      </c>
      <c r="G1453" s="6" t="s">
        <v>3207</v>
      </c>
      <c r="H1453" s="1" t="s">
        <v>3208</v>
      </c>
    </row>
    <row r="1454" spans="1:8" x14ac:dyDescent="0.2">
      <c r="A1454" s="5">
        <v>45932.293903969912</v>
      </c>
      <c r="B1454" s="1" t="s">
        <v>330</v>
      </c>
      <c r="C1454" s="1">
        <v>2025</v>
      </c>
      <c r="D1454" s="1" t="s">
        <v>196</v>
      </c>
      <c r="E1454" s="6" t="s">
        <v>3209</v>
      </c>
      <c r="F1454" s="7" t="str">
        <f>HYPERLINK("https://drive.google.com/open?id=1jgWFJ1Rnlmfp-xLJYcsceHq4Kj-jmyCy","1 files moved")</f>
        <v>1 files moved</v>
      </c>
      <c r="G1454" s="6" t="s">
        <v>3210</v>
      </c>
      <c r="H1454" s="1" t="s">
        <v>3211</v>
      </c>
    </row>
    <row r="1455" spans="1:8" x14ac:dyDescent="0.2">
      <c r="A1455" s="5">
        <v>45936.69787444445</v>
      </c>
      <c r="B1455" s="1" t="s">
        <v>53</v>
      </c>
      <c r="C1455" s="1">
        <v>2025</v>
      </c>
      <c r="D1455" s="1" t="s">
        <v>228</v>
      </c>
      <c r="E1455" s="6" t="s">
        <v>3212</v>
      </c>
      <c r="F1455" s="7" t="str">
        <f>HYPERLINK("https://drive.google.com/open?id=1mgwi5IYuDSmdes063EGgEET4VIkt5Ge6","1 files moved")</f>
        <v>1 files moved</v>
      </c>
      <c r="G1455" s="6" t="s">
        <v>3213</v>
      </c>
      <c r="H1455" s="1" t="s">
        <v>3214</v>
      </c>
    </row>
    <row r="1456" spans="1:8" x14ac:dyDescent="0.2">
      <c r="A1456" s="5">
        <v>45937.456289895832</v>
      </c>
      <c r="B1456" s="1" t="s">
        <v>969</v>
      </c>
      <c r="C1456" s="1">
        <v>2025</v>
      </c>
      <c r="D1456" s="1" t="s">
        <v>228</v>
      </c>
      <c r="E1456" s="6" t="s">
        <v>3215</v>
      </c>
      <c r="F1456" s="7" t="str">
        <f>HYPERLINK("https://drive.google.com/open?id=1jjaZ6sBJ-rgFFoV-a9VrKbvqiPbqOcgX","1 files moved")</f>
        <v>1 files moved</v>
      </c>
      <c r="G1456" s="6" t="s">
        <v>3216</v>
      </c>
      <c r="H1456" s="1" t="s">
        <v>3217</v>
      </c>
    </row>
    <row r="1457" spans="1:8" x14ac:dyDescent="0.2">
      <c r="A1457" s="5">
        <v>45939.636292060182</v>
      </c>
      <c r="B1457" s="1" t="s">
        <v>378</v>
      </c>
      <c r="C1457" s="1">
        <v>2025</v>
      </c>
      <c r="D1457" s="1" t="s">
        <v>228</v>
      </c>
      <c r="E1457" s="6" t="s">
        <v>3218</v>
      </c>
      <c r="F1457" s="7" t="str">
        <f>HYPERLINK("https://drive.google.com/open?id=1UaOhVLC8EU7AZLMQiErwZkrTRt0YZt3o","1 files moved")</f>
        <v>1 files moved</v>
      </c>
      <c r="G1457" s="6" t="s">
        <v>3219</v>
      </c>
      <c r="H1457" s="1" t="s">
        <v>3220</v>
      </c>
    </row>
    <row r="1458" spans="1:8" x14ac:dyDescent="0.2">
      <c r="A1458" s="5">
        <v>45939.638040405094</v>
      </c>
      <c r="B1458" s="1" t="s">
        <v>29</v>
      </c>
      <c r="C1458" s="1">
        <v>2025</v>
      </c>
      <c r="D1458" s="1" t="s">
        <v>228</v>
      </c>
      <c r="E1458" s="6" t="s">
        <v>3221</v>
      </c>
      <c r="F1458" s="7" t="str">
        <f>HYPERLINK("https://drive.google.com/open?id=1jO7SQkOk_xjZHSX78M31VKgg3Vt_d9Aw","1 files moved")</f>
        <v>1 files moved</v>
      </c>
      <c r="G1458" s="6" t="s">
        <v>3222</v>
      </c>
      <c r="H1458" s="1" t="s">
        <v>3223</v>
      </c>
    </row>
    <row r="1459" spans="1:8" x14ac:dyDescent="0.2">
      <c r="A1459" s="5">
        <v>45939.64334998843</v>
      </c>
      <c r="B1459" s="1" t="s">
        <v>397</v>
      </c>
      <c r="C1459" s="1">
        <v>2025</v>
      </c>
      <c r="D1459" s="1" t="s">
        <v>228</v>
      </c>
      <c r="E1459" s="6" t="s">
        <v>3224</v>
      </c>
      <c r="F1459" s="7" t="str">
        <f t="shared" ref="F1459:F1460" si="68">HYPERLINK("https://drive.google.com/open?id=11skWmlW9bg1I5Y0qbtAwiD9dgHdxhUYl","1 files moved")</f>
        <v>1 files moved</v>
      </c>
      <c r="G1459" s="6" t="s">
        <v>3225</v>
      </c>
      <c r="H1459" s="1" t="s">
        <v>3226</v>
      </c>
    </row>
    <row r="1460" spans="1:8" x14ac:dyDescent="0.2">
      <c r="A1460" s="5">
        <v>45939.645036759262</v>
      </c>
      <c r="B1460" s="1" t="s">
        <v>397</v>
      </c>
      <c r="C1460" s="1">
        <v>2025</v>
      </c>
      <c r="D1460" s="1" t="s">
        <v>196</v>
      </c>
      <c r="E1460" s="6" t="s">
        <v>3227</v>
      </c>
      <c r="F1460" s="7" t="str">
        <f t="shared" si="68"/>
        <v>1 files moved</v>
      </c>
      <c r="G1460" s="6" t="s">
        <v>3228</v>
      </c>
      <c r="H1460" s="1" t="s">
        <v>3229</v>
      </c>
    </row>
    <row r="1461" spans="1:8" x14ac:dyDescent="0.2">
      <c r="A1461" s="5">
        <v>45943.372887199075</v>
      </c>
      <c r="B1461" s="1" t="s">
        <v>22</v>
      </c>
      <c r="C1461" s="1">
        <v>2025</v>
      </c>
      <c r="D1461" s="1" t="s">
        <v>228</v>
      </c>
      <c r="E1461" s="6" t="s">
        <v>3230</v>
      </c>
      <c r="F1461" s="7" t="str">
        <f>HYPERLINK("https://drive.google.com/open?id=1WAbmR1kP-K3GSrnpnC5igzsk9XdBZPD_","1 files moved")</f>
        <v>1 files moved</v>
      </c>
      <c r="G1461" s="6" t="s">
        <v>3231</v>
      </c>
      <c r="H1461" s="1" t="s">
        <v>3232</v>
      </c>
    </row>
    <row r="1462" spans="1:8" x14ac:dyDescent="0.2">
      <c r="A1462" s="5">
        <v>45944.413912361109</v>
      </c>
      <c r="B1462" s="1" t="s">
        <v>45</v>
      </c>
      <c r="C1462" s="1">
        <v>2025</v>
      </c>
      <c r="D1462" s="1" t="s">
        <v>228</v>
      </c>
      <c r="E1462" s="6" t="s">
        <v>3233</v>
      </c>
      <c r="F1462" s="7" t="str">
        <f>HYPERLINK("https://drive.google.com/open?id=1WOu53emjYl9MgCM11eFHkgxwdHlBm2Xz","1 files moved")</f>
        <v>1 files moved</v>
      </c>
      <c r="G1462" s="6" t="s">
        <v>3234</v>
      </c>
      <c r="H1462" s="1" t="s">
        <v>3235</v>
      </c>
    </row>
    <row r="1463" spans="1:8" x14ac:dyDescent="0.2">
      <c r="A1463" s="5">
        <v>45944.461194907402</v>
      </c>
      <c r="B1463" s="1" t="s">
        <v>70</v>
      </c>
      <c r="C1463" s="1">
        <v>2025</v>
      </c>
      <c r="D1463" s="1" t="s">
        <v>166</v>
      </c>
      <c r="E1463" s="6" t="s">
        <v>3236</v>
      </c>
      <c r="F1463" s="7" t="str">
        <f t="shared" ref="F1463:F1465" si="69">HYPERLINK("https://drive.google.com/open?id=1tJPwF2su0hso4TETThLNHI9_S0dJdbLl","1 files moved")</f>
        <v>1 files moved</v>
      </c>
      <c r="G1463" s="6" t="s">
        <v>3237</v>
      </c>
      <c r="H1463" s="1" t="s">
        <v>3238</v>
      </c>
    </row>
    <row r="1464" spans="1:8" x14ac:dyDescent="0.2">
      <c r="A1464" s="5">
        <v>45944.461559791671</v>
      </c>
      <c r="B1464" s="1" t="s">
        <v>70</v>
      </c>
      <c r="C1464" s="1">
        <v>2025</v>
      </c>
      <c r="D1464" s="1" t="s">
        <v>196</v>
      </c>
      <c r="E1464" s="6" t="s">
        <v>3239</v>
      </c>
      <c r="F1464" s="7" t="str">
        <f t="shared" si="69"/>
        <v>1 files moved</v>
      </c>
      <c r="G1464" s="6" t="s">
        <v>3240</v>
      </c>
      <c r="H1464" s="1" t="s">
        <v>3241</v>
      </c>
    </row>
    <row r="1465" spans="1:8" x14ac:dyDescent="0.2">
      <c r="A1465" s="5">
        <v>45944.461975324069</v>
      </c>
      <c r="B1465" s="1" t="s">
        <v>70</v>
      </c>
      <c r="C1465" s="1">
        <v>2025</v>
      </c>
      <c r="D1465" s="1" t="s">
        <v>228</v>
      </c>
      <c r="E1465" s="6" t="s">
        <v>3242</v>
      </c>
      <c r="F1465" s="7" t="str">
        <f t="shared" si="69"/>
        <v>1 files moved</v>
      </c>
      <c r="G1465" s="6" t="s">
        <v>3243</v>
      </c>
      <c r="H1465" s="1" t="s">
        <v>3244</v>
      </c>
    </row>
    <row r="1466" spans="1:8" x14ac:dyDescent="0.2">
      <c r="A1466" s="5">
        <v>45945.364476840274</v>
      </c>
      <c r="B1466" s="1" t="s">
        <v>37</v>
      </c>
      <c r="C1466" s="1">
        <v>2025</v>
      </c>
      <c r="D1466" s="1" t="s">
        <v>228</v>
      </c>
      <c r="E1466" s="6" t="s">
        <v>3245</v>
      </c>
      <c r="F1466" s="7" t="str">
        <f>HYPERLINK("https://drive.google.com/open?id=1qa1mLZHOuZIAKZUnYIblWo1lTS9NuBTm","1 files moved")</f>
        <v>1 files moved</v>
      </c>
      <c r="G1466" s="6" t="s">
        <v>3246</v>
      </c>
      <c r="H1466" s="1" t="s">
        <v>3247</v>
      </c>
    </row>
    <row r="1467" spans="1:8" x14ac:dyDescent="0.2">
      <c r="A1467" s="5">
        <v>45945.658633055558</v>
      </c>
      <c r="B1467" s="1" t="s">
        <v>24</v>
      </c>
      <c r="C1467" s="1">
        <v>2025</v>
      </c>
      <c r="D1467" s="1" t="s">
        <v>228</v>
      </c>
      <c r="E1467" s="6" t="s">
        <v>3248</v>
      </c>
      <c r="F1467" s="7" t="str">
        <f>HYPERLINK("https://drive.google.com/open?id=1lAkCTSJDqjfWsuZxvLL2COI53gbRENb_","1 files moved")</f>
        <v>1 files moved</v>
      </c>
      <c r="G1467" s="6" t="s">
        <v>3249</v>
      </c>
      <c r="H1467" s="1" t="s">
        <v>3250</v>
      </c>
    </row>
    <row r="1468" spans="1:8" x14ac:dyDescent="0.2">
      <c r="A1468" s="5">
        <v>45946.388903657411</v>
      </c>
      <c r="B1468" s="1" t="s">
        <v>56</v>
      </c>
      <c r="C1468" s="1">
        <v>2025</v>
      </c>
      <c r="D1468" s="1" t="s">
        <v>228</v>
      </c>
      <c r="E1468" s="6" t="s">
        <v>3251</v>
      </c>
      <c r="F1468" s="7" t="str">
        <f>HYPERLINK("https://drive.google.com/open?id=1YZIPSo9PodNGWCjC1zK15cW1JEByXJ7w","1 files moved")</f>
        <v>1 files moved</v>
      </c>
      <c r="G1468" s="6" t="s">
        <v>3252</v>
      </c>
      <c r="H1468" s="1" t="s">
        <v>3253</v>
      </c>
    </row>
    <row r="1469" spans="1:8" x14ac:dyDescent="0.2">
      <c r="A1469" s="5">
        <v>45954.360376446755</v>
      </c>
      <c r="B1469" s="1" t="s">
        <v>666</v>
      </c>
      <c r="C1469" s="1">
        <v>2025</v>
      </c>
      <c r="D1469" s="1" t="s">
        <v>228</v>
      </c>
      <c r="E1469" s="6" t="s">
        <v>3254</v>
      </c>
      <c r="F1469" s="7" t="str">
        <f t="shared" ref="F1469:F1470" si="70">HYPERLINK("https://drive.google.com/open?id=1V9JxAml7o3RDV4BK_aYYG2UrIwxiEXjP","1 files moved")</f>
        <v>1 files moved</v>
      </c>
      <c r="G1469" s="6" t="s">
        <v>3255</v>
      </c>
      <c r="H1469" s="1" t="s">
        <v>3256</v>
      </c>
    </row>
    <row r="1470" spans="1:8" x14ac:dyDescent="0.2">
      <c r="A1470" s="5">
        <v>45954.360606817128</v>
      </c>
      <c r="B1470" s="1" t="s">
        <v>666</v>
      </c>
      <c r="C1470" s="1">
        <v>2025</v>
      </c>
      <c r="D1470" s="1" t="s">
        <v>228</v>
      </c>
      <c r="E1470" s="6" t="s">
        <v>3257</v>
      </c>
      <c r="F1470" s="7" t="str">
        <f t="shared" si="70"/>
        <v>1 files moved</v>
      </c>
      <c r="G1470" s="6" t="s">
        <v>3258</v>
      </c>
      <c r="H1470" s="1" t="s">
        <v>3259</v>
      </c>
    </row>
    <row r="1471" spans="1:8" x14ac:dyDescent="0.2">
      <c r="A1471" s="5">
        <v>45964.391690868055</v>
      </c>
      <c r="B1471" s="1" t="s">
        <v>1139</v>
      </c>
      <c r="C1471" s="1">
        <v>2025</v>
      </c>
      <c r="D1471" s="1" t="s">
        <v>196</v>
      </c>
      <c r="E1471" s="6" t="s">
        <v>3260</v>
      </c>
      <c r="F1471" s="7" t="str">
        <f t="shared" ref="F1471:F1472" si="71">HYPERLINK("https://drive.google.com/open?id=1BTw6tbsd-8pzBcPd3Qgz7GdSqpJA1avM","1 files moved")</f>
        <v>1 files moved</v>
      </c>
      <c r="G1471" s="6" t="s">
        <v>3261</v>
      </c>
      <c r="H1471" s="1" t="s">
        <v>3262</v>
      </c>
    </row>
    <row r="1472" spans="1:8" x14ac:dyDescent="0.2">
      <c r="A1472" s="5">
        <v>45964.392050590279</v>
      </c>
      <c r="B1472" s="1" t="s">
        <v>1139</v>
      </c>
      <c r="C1472" s="1">
        <v>2025</v>
      </c>
      <c r="D1472" s="1" t="s">
        <v>228</v>
      </c>
      <c r="E1472" s="6" t="s">
        <v>3263</v>
      </c>
      <c r="F1472" s="7" t="str">
        <f t="shared" si="71"/>
        <v>1 files moved</v>
      </c>
      <c r="G1472" s="6" t="s">
        <v>3264</v>
      </c>
      <c r="H1472" s="1" t="s">
        <v>3265</v>
      </c>
    </row>
    <row r="1473" spans="1:8" x14ac:dyDescent="0.2">
      <c r="A1473" s="5">
        <v>45992.408061365742</v>
      </c>
      <c r="B1473" s="1" t="s">
        <v>378</v>
      </c>
      <c r="C1473" s="1">
        <v>2025</v>
      </c>
      <c r="D1473" s="1" t="s">
        <v>255</v>
      </c>
      <c r="E1473" s="6" t="s">
        <v>3266</v>
      </c>
      <c r="F1473" s="7" t="str">
        <f>HYPERLINK("https://drive.google.com/open?id=1UaOhVLC8EU7AZLMQiErwZkrTRt0YZt3o","1 files moved")</f>
        <v>1 files moved</v>
      </c>
      <c r="G1473" s="6" t="s">
        <v>3267</v>
      </c>
      <c r="H1473" s="1" t="s">
        <v>3268</v>
      </c>
    </row>
    <row r="1474" spans="1:8" x14ac:dyDescent="0.2">
      <c r="A1474" s="5">
        <v>45992.409011134259</v>
      </c>
      <c r="B1474" s="1" t="s">
        <v>29</v>
      </c>
      <c r="C1474" s="1">
        <v>2025</v>
      </c>
      <c r="D1474" s="1" t="s">
        <v>255</v>
      </c>
      <c r="E1474" s="6" t="s">
        <v>3269</v>
      </c>
      <c r="F1474" s="7" t="str">
        <f>HYPERLINK("https://drive.google.com/open?id=1jO7SQkOk_xjZHSX78M31VKgg3Vt_d9Aw","1 files moved")</f>
        <v>1 files moved</v>
      </c>
      <c r="G1474" s="6" t="s">
        <v>3270</v>
      </c>
      <c r="H1474" s="1" t="s">
        <v>3271</v>
      </c>
    </row>
    <row r="1475" spans="1:8" x14ac:dyDescent="0.2">
      <c r="A1475" s="5">
        <v>45992.412560150464</v>
      </c>
      <c r="B1475" s="1" t="s">
        <v>397</v>
      </c>
      <c r="C1475" s="1">
        <v>2025</v>
      </c>
      <c r="D1475" s="1" t="s">
        <v>255</v>
      </c>
      <c r="E1475" s="6" t="s">
        <v>3272</v>
      </c>
      <c r="F1475" s="7" t="str">
        <f>HYPERLINK("https://drive.google.com/open?id=11skWmlW9bg1I5Y0qbtAwiD9dgHdxhUYl","1 files moved")</f>
        <v>1 files moved</v>
      </c>
      <c r="G1475" s="6" t="s">
        <v>3273</v>
      </c>
      <c r="H1475" s="1" t="s">
        <v>3274</v>
      </c>
    </row>
    <row r="1476" spans="1:8" x14ac:dyDescent="0.2">
      <c r="A1476" s="5">
        <v>45992.545341226854</v>
      </c>
      <c r="B1476" s="1" t="s">
        <v>22</v>
      </c>
      <c r="C1476" s="1">
        <v>2025</v>
      </c>
      <c r="D1476" s="1" t="s">
        <v>255</v>
      </c>
      <c r="E1476" s="6" t="s">
        <v>3275</v>
      </c>
      <c r="F1476" s="7" t="str">
        <f>HYPERLINK("https://drive.google.com/open?id=1WAbmR1kP-K3GSrnpnC5igzsk9XdBZPD_","1 files moved")</f>
        <v>1 files moved</v>
      </c>
      <c r="G1476" s="6" t="s">
        <v>3276</v>
      </c>
      <c r="H1476" s="1" t="s">
        <v>3277</v>
      </c>
    </row>
    <row r="1477" spans="1:8" x14ac:dyDescent="0.2">
      <c r="A1477" s="5">
        <v>45995.569924513889</v>
      </c>
      <c r="B1477" s="1" t="s">
        <v>330</v>
      </c>
      <c r="C1477" s="1">
        <v>2025</v>
      </c>
      <c r="D1477" s="1" t="s">
        <v>255</v>
      </c>
      <c r="E1477" s="6" t="s">
        <v>3278</v>
      </c>
      <c r="F1477" s="7" t="str">
        <f t="shared" ref="F1477:F1479" si="72">HYPERLINK("https://drive.google.com/open?id=1jgWFJ1Rnlmfp-xLJYcsceHq4Kj-jmyCy","1 files moved")</f>
        <v>1 files moved</v>
      </c>
      <c r="G1477" s="6" t="s">
        <v>3279</v>
      </c>
      <c r="H1477" s="1" t="s">
        <v>3280</v>
      </c>
    </row>
    <row r="1478" spans="1:8" x14ac:dyDescent="0.2">
      <c r="A1478" s="5">
        <v>45995.570432928245</v>
      </c>
      <c r="B1478" s="1" t="s">
        <v>330</v>
      </c>
      <c r="C1478" s="1">
        <v>2025</v>
      </c>
      <c r="D1478" s="1" t="s">
        <v>228</v>
      </c>
      <c r="E1478" s="6" t="s">
        <v>3281</v>
      </c>
      <c r="F1478" s="7" t="str">
        <f t="shared" si="72"/>
        <v>1 files moved</v>
      </c>
      <c r="G1478" s="6" t="s">
        <v>3282</v>
      </c>
      <c r="H1478" s="1" t="s">
        <v>3283</v>
      </c>
    </row>
    <row r="1479" spans="1:8" x14ac:dyDescent="0.2">
      <c r="A1479" s="5">
        <v>45995.571544224542</v>
      </c>
      <c r="B1479" s="1" t="s">
        <v>330</v>
      </c>
      <c r="C1479" s="1">
        <v>2025</v>
      </c>
      <c r="D1479" s="1" t="s">
        <v>196</v>
      </c>
      <c r="E1479" s="6" t="s">
        <v>3284</v>
      </c>
      <c r="F1479" s="7" t="str">
        <f t="shared" si="72"/>
        <v>1 files moved</v>
      </c>
      <c r="G1479" s="6" t="s">
        <v>3285</v>
      </c>
      <c r="H1479" s="1" t="s">
        <v>3286</v>
      </c>
    </row>
    <row r="1480" spans="1:8" x14ac:dyDescent="0.2">
      <c r="A1480" s="5">
        <v>46036.34606950231</v>
      </c>
      <c r="B1480" s="1" t="s">
        <v>378</v>
      </c>
      <c r="C1480" s="1">
        <v>2025</v>
      </c>
      <c r="D1480" s="1" t="s">
        <v>302</v>
      </c>
      <c r="E1480" s="6" t="s">
        <v>3287</v>
      </c>
      <c r="F1480" s="7" t="str">
        <f>HYPERLINK("https://drive.google.com/open?id=1UaOhVLC8EU7AZLMQiErwZkrTRt0YZt3o","1 files moved")</f>
        <v>1 files moved</v>
      </c>
      <c r="G1480" s="6" t="s">
        <v>3288</v>
      </c>
      <c r="H1480" s="1" t="s">
        <v>3289</v>
      </c>
    </row>
    <row r="1481" spans="1:8" x14ac:dyDescent="0.2">
      <c r="A1481" s="5">
        <v>46036.348668437495</v>
      </c>
      <c r="B1481" s="1" t="s">
        <v>29</v>
      </c>
      <c r="C1481" s="1">
        <v>2025</v>
      </c>
      <c r="D1481" s="1" t="s">
        <v>302</v>
      </c>
      <c r="E1481" s="6" t="s">
        <v>3290</v>
      </c>
      <c r="F1481" s="7" t="str">
        <f>HYPERLINK("https://drive.google.com/open?id=1jO7SQkOk_xjZHSX78M31VKgg3Vt_d9Aw","1 files moved")</f>
        <v>1 files moved</v>
      </c>
      <c r="G1481" s="6" t="s">
        <v>3291</v>
      </c>
      <c r="H1481" s="1" t="s">
        <v>3292</v>
      </c>
    </row>
    <row r="1482" spans="1:8" x14ac:dyDescent="0.2">
      <c r="A1482" s="5">
        <v>46036.453023599533</v>
      </c>
      <c r="B1482" s="1" t="s">
        <v>35</v>
      </c>
      <c r="C1482" s="1">
        <v>2025</v>
      </c>
      <c r="D1482" s="1" t="s">
        <v>255</v>
      </c>
      <c r="E1482" s="6" t="s">
        <v>3293</v>
      </c>
      <c r="F1482" s="7" t="str">
        <f t="shared" ref="F1482:F1484" si="73">HYPERLINK("https://drive.google.com/open?id=1p9rKdY4QkNWIsmYys86EoZpuyIpPfpst","1 files moved")</f>
        <v>1 files moved</v>
      </c>
      <c r="G1482" s="6" t="s">
        <v>3294</v>
      </c>
      <c r="H1482" s="1" t="s">
        <v>3295</v>
      </c>
    </row>
    <row r="1483" spans="1:8" x14ac:dyDescent="0.2">
      <c r="A1483" s="5">
        <v>46036.453327951385</v>
      </c>
      <c r="B1483" s="1" t="s">
        <v>35</v>
      </c>
      <c r="C1483" s="1">
        <v>2025</v>
      </c>
      <c r="D1483" s="1" t="s">
        <v>277</v>
      </c>
      <c r="E1483" s="6" t="s">
        <v>3296</v>
      </c>
      <c r="F1483" s="7" t="str">
        <f t="shared" si="73"/>
        <v>1 files moved</v>
      </c>
      <c r="G1483" s="6" t="s">
        <v>3297</v>
      </c>
      <c r="H1483" s="1" t="s">
        <v>3298</v>
      </c>
    </row>
    <row r="1484" spans="1:8" x14ac:dyDescent="0.2">
      <c r="A1484" s="5">
        <v>46036.453676354169</v>
      </c>
      <c r="B1484" s="1" t="s">
        <v>35</v>
      </c>
      <c r="C1484" s="1">
        <v>2025</v>
      </c>
      <c r="D1484" s="1" t="s">
        <v>302</v>
      </c>
      <c r="E1484" s="6" t="s">
        <v>3299</v>
      </c>
      <c r="F1484" s="7" t="str">
        <f t="shared" si="73"/>
        <v>1 files moved</v>
      </c>
      <c r="G1484" s="6" t="s">
        <v>3300</v>
      </c>
      <c r="H1484" s="1" t="s">
        <v>3301</v>
      </c>
    </row>
    <row r="1485" spans="1:8" x14ac:dyDescent="0.2">
      <c r="A1485" s="5">
        <v>46036.523435081021</v>
      </c>
      <c r="B1485" s="1" t="s">
        <v>397</v>
      </c>
      <c r="C1485" s="1">
        <v>2025</v>
      </c>
      <c r="D1485" s="1" t="s">
        <v>302</v>
      </c>
      <c r="E1485" s="6" t="s">
        <v>3302</v>
      </c>
      <c r="F1485" s="7" t="str">
        <f>HYPERLINK("https://drive.google.com/open?id=11skWmlW9bg1I5Y0qbtAwiD9dgHdxhUYl","1 files moved")</f>
        <v>1 files moved</v>
      </c>
      <c r="G1485" s="6" t="s">
        <v>3303</v>
      </c>
      <c r="H1485" s="1" t="s">
        <v>3304</v>
      </c>
    </row>
    <row r="1486" spans="1:8" x14ac:dyDescent="0.2">
      <c r="A1486" s="5">
        <v>46036.63381694445</v>
      </c>
      <c r="B1486" s="1" t="s">
        <v>666</v>
      </c>
      <c r="C1486" s="1">
        <v>2025</v>
      </c>
      <c r="D1486" s="1" t="s">
        <v>302</v>
      </c>
      <c r="E1486" s="6" t="s">
        <v>3305</v>
      </c>
      <c r="F1486" s="7" t="str">
        <f t="shared" ref="F1486:F1490" si="74">HYPERLINK("https://drive.google.com/open?id=1V9JxAml7o3RDV4BK_aYYG2UrIwxiEXjP","1 files moved")</f>
        <v>1 files moved</v>
      </c>
      <c r="G1486" s="6" t="s">
        <v>3306</v>
      </c>
      <c r="H1486" s="1" t="s">
        <v>3307</v>
      </c>
    </row>
    <row r="1487" spans="1:8" x14ac:dyDescent="0.2">
      <c r="A1487" s="5">
        <v>46036.634399641203</v>
      </c>
      <c r="B1487" s="1" t="s">
        <v>666</v>
      </c>
      <c r="C1487" s="1">
        <v>2025</v>
      </c>
      <c r="D1487" s="1" t="s">
        <v>2190</v>
      </c>
      <c r="E1487" s="6" t="s">
        <v>3308</v>
      </c>
      <c r="F1487" s="7" t="str">
        <f t="shared" si="74"/>
        <v>1 files moved</v>
      </c>
      <c r="G1487" s="6" t="s">
        <v>3309</v>
      </c>
      <c r="H1487" s="1" t="s">
        <v>3310</v>
      </c>
    </row>
    <row r="1488" spans="1:8" x14ac:dyDescent="0.2">
      <c r="A1488" s="5">
        <v>46036.634862326391</v>
      </c>
      <c r="B1488" s="1" t="s">
        <v>666</v>
      </c>
      <c r="C1488" s="1">
        <v>2025</v>
      </c>
      <c r="D1488" s="1" t="s">
        <v>2197</v>
      </c>
      <c r="E1488" s="6" t="s">
        <v>3311</v>
      </c>
      <c r="F1488" s="7" t="str">
        <f t="shared" si="74"/>
        <v>1 files moved</v>
      </c>
      <c r="G1488" s="6" t="s">
        <v>3312</v>
      </c>
      <c r="H1488" s="1" t="s">
        <v>3313</v>
      </c>
    </row>
    <row r="1489" spans="1:8" x14ac:dyDescent="0.2">
      <c r="A1489" s="5">
        <v>46036.635138865742</v>
      </c>
      <c r="B1489" s="1" t="s">
        <v>666</v>
      </c>
      <c r="C1489" s="1">
        <v>2025</v>
      </c>
      <c r="D1489" s="1" t="s">
        <v>1866</v>
      </c>
      <c r="E1489" s="6" t="s">
        <v>3314</v>
      </c>
      <c r="F1489" s="7" t="str">
        <f t="shared" si="74"/>
        <v>1 files moved</v>
      </c>
      <c r="G1489" s="6" t="s">
        <v>3315</v>
      </c>
      <c r="H1489" s="1" t="s">
        <v>3316</v>
      </c>
    </row>
    <row r="1490" spans="1:8" x14ac:dyDescent="0.2">
      <c r="A1490" s="5">
        <v>46036.635352048615</v>
      </c>
      <c r="B1490" s="1" t="s">
        <v>666</v>
      </c>
      <c r="C1490" s="1">
        <v>2025</v>
      </c>
      <c r="D1490" s="1" t="s">
        <v>2015</v>
      </c>
      <c r="E1490" s="6" t="s">
        <v>3317</v>
      </c>
      <c r="F1490" s="7" t="str">
        <f t="shared" si="74"/>
        <v>1 files moved</v>
      </c>
      <c r="G1490" s="6" t="s">
        <v>3318</v>
      </c>
      <c r="H1490" s="1" t="s">
        <v>3319</v>
      </c>
    </row>
    <row r="1491" spans="1:8" x14ac:dyDescent="0.2">
      <c r="A1491" s="5">
        <v>46036.649380034723</v>
      </c>
      <c r="B1491" s="1" t="s">
        <v>378</v>
      </c>
      <c r="C1491" s="1">
        <v>2025</v>
      </c>
      <c r="D1491" s="1" t="s">
        <v>2197</v>
      </c>
      <c r="E1491" s="6" t="s">
        <v>3320</v>
      </c>
      <c r="F1491" s="7" t="str">
        <f t="shared" ref="F1491:F1493" si="75">HYPERLINK("https://drive.google.com/open?id=1UaOhVLC8EU7AZLMQiErwZkrTRt0YZt3o","1 files moved")</f>
        <v>1 files moved</v>
      </c>
      <c r="G1491" s="6" t="s">
        <v>3321</v>
      </c>
      <c r="H1491" s="1" t="s">
        <v>3322</v>
      </c>
    </row>
    <row r="1492" spans="1:8" x14ac:dyDescent="0.2">
      <c r="A1492" s="5">
        <v>46036.64973449074</v>
      </c>
      <c r="B1492" s="1" t="s">
        <v>378</v>
      </c>
      <c r="C1492" s="1">
        <v>2025</v>
      </c>
      <c r="D1492" s="1" t="s">
        <v>2190</v>
      </c>
      <c r="E1492" s="6" t="s">
        <v>3323</v>
      </c>
      <c r="F1492" s="7" t="str">
        <f t="shared" si="75"/>
        <v>1 files moved</v>
      </c>
      <c r="G1492" s="6" t="s">
        <v>3324</v>
      </c>
      <c r="H1492" s="1" t="s">
        <v>3325</v>
      </c>
    </row>
    <row r="1493" spans="1:8" x14ac:dyDescent="0.2">
      <c r="A1493" s="5">
        <v>46036.650083738423</v>
      </c>
      <c r="B1493" s="1" t="s">
        <v>378</v>
      </c>
      <c r="C1493" s="1">
        <v>2025</v>
      </c>
      <c r="D1493" s="1" t="s">
        <v>1866</v>
      </c>
      <c r="E1493" s="6" t="s">
        <v>3326</v>
      </c>
      <c r="F1493" s="7" t="str">
        <f t="shared" si="75"/>
        <v>1 files moved</v>
      </c>
      <c r="G1493" s="6" t="s">
        <v>3327</v>
      </c>
      <c r="H1493" s="1" t="s">
        <v>3328</v>
      </c>
    </row>
    <row r="1494" spans="1:8" x14ac:dyDescent="0.2">
      <c r="A1494" s="5">
        <v>46036.650800057869</v>
      </c>
      <c r="B1494" s="1" t="s">
        <v>29</v>
      </c>
      <c r="C1494" s="1">
        <v>2025</v>
      </c>
      <c r="D1494" s="1" t="s">
        <v>2197</v>
      </c>
      <c r="E1494" s="6" t="s">
        <v>3329</v>
      </c>
      <c r="F1494" s="7" t="str">
        <f t="shared" ref="F1494:F1497" si="76">HYPERLINK("https://drive.google.com/open?id=1jO7SQkOk_xjZHSX78M31VKgg3Vt_d9Aw","1 files moved")</f>
        <v>1 files moved</v>
      </c>
      <c r="G1494" s="6" t="s">
        <v>3330</v>
      </c>
      <c r="H1494" s="1" t="s">
        <v>3331</v>
      </c>
    </row>
    <row r="1495" spans="1:8" x14ac:dyDescent="0.2">
      <c r="A1495" s="5">
        <v>46036.651145312499</v>
      </c>
      <c r="B1495" s="1" t="s">
        <v>29</v>
      </c>
      <c r="C1495" s="1">
        <v>2025</v>
      </c>
      <c r="D1495" s="1" t="s">
        <v>2190</v>
      </c>
      <c r="E1495" s="6" t="s">
        <v>3332</v>
      </c>
      <c r="F1495" s="7" t="str">
        <f t="shared" si="76"/>
        <v>1 files moved</v>
      </c>
      <c r="G1495" s="6" t="s">
        <v>3333</v>
      </c>
      <c r="H1495" s="1" t="s">
        <v>3334</v>
      </c>
    </row>
    <row r="1496" spans="1:8" x14ac:dyDescent="0.2">
      <c r="A1496" s="5">
        <v>46036.651415914355</v>
      </c>
      <c r="B1496" s="1" t="s">
        <v>29</v>
      </c>
      <c r="C1496" s="1">
        <v>2025</v>
      </c>
      <c r="D1496" s="1" t="s">
        <v>1866</v>
      </c>
      <c r="E1496" s="6" t="s">
        <v>3335</v>
      </c>
      <c r="F1496" s="7" t="str">
        <f t="shared" si="76"/>
        <v>1 files moved</v>
      </c>
      <c r="G1496" s="6" t="s">
        <v>3336</v>
      </c>
      <c r="H1496" s="1" t="s">
        <v>3337</v>
      </c>
    </row>
    <row r="1497" spans="1:8" x14ac:dyDescent="0.2">
      <c r="A1497" s="5">
        <v>46036.651670069448</v>
      </c>
      <c r="B1497" s="1" t="s">
        <v>29</v>
      </c>
      <c r="C1497" s="1">
        <v>2025</v>
      </c>
      <c r="D1497" s="1" t="s">
        <v>2015</v>
      </c>
      <c r="E1497" s="6" t="s">
        <v>3338</v>
      </c>
      <c r="F1497" s="7" t="str">
        <f t="shared" si="76"/>
        <v>1 files moved</v>
      </c>
      <c r="G1497" s="6" t="s">
        <v>3339</v>
      </c>
      <c r="H1497" s="1" t="s">
        <v>3340</v>
      </c>
    </row>
    <row r="1498" spans="1:8" x14ac:dyDescent="0.2">
      <c r="A1498" s="5">
        <v>46037.316637557873</v>
      </c>
      <c r="B1498" s="1" t="s">
        <v>35</v>
      </c>
      <c r="C1498" s="1">
        <v>2025</v>
      </c>
      <c r="D1498" s="1" t="s">
        <v>139</v>
      </c>
      <c r="E1498" s="6" t="s">
        <v>3341</v>
      </c>
      <c r="F1498" s="7" t="str">
        <f t="shared" ref="F1498:F1500" si="77">HYPERLINK("https://drive.google.com/open?id=1p9rKdY4QkNWIsmYys86EoZpuyIpPfpst","1 files moved")</f>
        <v>1 files moved</v>
      </c>
      <c r="G1498" s="6" t="s">
        <v>3342</v>
      </c>
      <c r="H1498" s="1" t="s">
        <v>3343</v>
      </c>
    </row>
    <row r="1499" spans="1:8" x14ac:dyDescent="0.2">
      <c r="A1499" s="5">
        <v>46037.317054814819</v>
      </c>
      <c r="B1499" s="1" t="s">
        <v>35</v>
      </c>
      <c r="C1499" s="1">
        <v>2025</v>
      </c>
      <c r="D1499" s="1" t="s">
        <v>196</v>
      </c>
      <c r="E1499" s="6" t="s">
        <v>3344</v>
      </c>
      <c r="F1499" s="7" t="str">
        <f t="shared" si="77"/>
        <v>1 files moved</v>
      </c>
      <c r="G1499" s="6" t="s">
        <v>3345</v>
      </c>
      <c r="H1499" s="1" t="s">
        <v>3346</v>
      </c>
    </row>
    <row r="1500" spans="1:8" x14ac:dyDescent="0.2">
      <c r="A1500" s="5">
        <v>46037.317718032413</v>
      </c>
      <c r="B1500" s="1" t="s">
        <v>35</v>
      </c>
      <c r="C1500" s="1">
        <v>2025</v>
      </c>
      <c r="D1500" s="1" t="s">
        <v>228</v>
      </c>
      <c r="E1500" s="6" t="s">
        <v>3347</v>
      </c>
      <c r="F1500" s="7" t="str">
        <f t="shared" si="77"/>
        <v>1 files moved</v>
      </c>
      <c r="G1500" s="6" t="s">
        <v>3348</v>
      </c>
      <c r="H1500" s="1" t="s">
        <v>3349</v>
      </c>
    </row>
    <row r="1501" spans="1:8" x14ac:dyDescent="0.2">
      <c r="A1501" s="5">
        <v>46037.320357986115</v>
      </c>
      <c r="B1501" s="1" t="s">
        <v>13</v>
      </c>
      <c r="C1501" s="1">
        <v>2025</v>
      </c>
      <c r="D1501" s="1" t="s">
        <v>139</v>
      </c>
      <c r="E1501" s="6" t="s">
        <v>3350</v>
      </c>
      <c r="F1501" s="7" t="str">
        <f t="shared" ref="F1501:F1504" si="78">HYPERLINK("https://drive.google.com/open?id=1Zryv8yNLErRzmBqkGZTRY6f8oQgaib5M","1 files moved")</f>
        <v>1 files moved</v>
      </c>
      <c r="G1501" s="6" t="s">
        <v>3351</v>
      </c>
      <c r="H1501" s="1" t="s">
        <v>3352</v>
      </c>
    </row>
    <row r="1502" spans="1:8" x14ac:dyDescent="0.2">
      <c r="A1502" s="5">
        <v>46037.320764675926</v>
      </c>
      <c r="B1502" s="1" t="s">
        <v>13</v>
      </c>
      <c r="C1502" s="1">
        <v>2025</v>
      </c>
      <c r="D1502" s="1" t="s">
        <v>166</v>
      </c>
      <c r="E1502" s="6" t="s">
        <v>3353</v>
      </c>
      <c r="F1502" s="7" t="str">
        <f t="shared" si="78"/>
        <v>1 files moved</v>
      </c>
      <c r="G1502" s="6" t="s">
        <v>3354</v>
      </c>
      <c r="H1502" s="1" t="s">
        <v>3355</v>
      </c>
    </row>
    <row r="1503" spans="1:8" x14ac:dyDescent="0.2">
      <c r="A1503" s="5">
        <v>46037.321105115741</v>
      </c>
      <c r="B1503" s="1" t="s">
        <v>13</v>
      </c>
      <c r="C1503" s="1">
        <v>2025</v>
      </c>
      <c r="D1503" s="1" t="s">
        <v>196</v>
      </c>
      <c r="E1503" s="6" t="s">
        <v>3356</v>
      </c>
      <c r="F1503" s="7" t="str">
        <f t="shared" si="78"/>
        <v>1 files moved</v>
      </c>
      <c r="G1503" s="6" t="s">
        <v>3357</v>
      </c>
      <c r="H1503" s="1" t="s">
        <v>3358</v>
      </c>
    </row>
    <row r="1504" spans="1:8" x14ac:dyDescent="0.2">
      <c r="A1504" s="5">
        <v>46037.321474710647</v>
      </c>
      <c r="B1504" s="1" t="s">
        <v>13</v>
      </c>
      <c r="C1504" s="1">
        <v>2025</v>
      </c>
      <c r="D1504" s="1" t="s">
        <v>228</v>
      </c>
      <c r="E1504" s="6" t="s">
        <v>3359</v>
      </c>
      <c r="F1504" s="7" t="str">
        <f t="shared" si="78"/>
        <v>1 files moved</v>
      </c>
      <c r="G1504" s="6" t="s">
        <v>3360</v>
      </c>
      <c r="H1504" s="1" t="s">
        <v>3361</v>
      </c>
    </row>
    <row r="1505" spans="1:8" x14ac:dyDescent="0.2">
      <c r="A1505" s="5">
        <v>46037.321820625002</v>
      </c>
      <c r="B1505" s="1" t="s">
        <v>13</v>
      </c>
      <c r="C1505" s="1">
        <v>2025</v>
      </c>
      <c r="D1505" s="1" t="s">
        <v>255</v>
      </c>
      <c r="E1505" s="6" t="s">
        <v>3362</v>
      </c>
      <c r="G1505" s="6" t="s">
        <v>3363</v>
      </c>
      <c r="H1505" s="1" t="s">
        <v>3364</v>
      </c>
    </row>
    <row r="1506" spans="1:8" x14ac:dyDescent="0.2">
      <c r="A1506" s="5">
        <v>46037.322157893519</v>
      </c>
      <c r="B1506" s="1" t="s">
        <v>13</v>
      </c>
      <c r="C1506" s="1">
        <v>2025</v>
      </c>
      <c r="D1506" s="1" t="s">
        <v>277</v>
      </c>
      <c r="E1506" s="6" t="s">
        <v>3365</v>
      </c>
      <c r="G1506" s="6" t="s">
        <v>3366</v>
      </c>
      <c r="H1506" s="1" t="s">
        <v>3367</v>
      </c>
    </row>
    <row r="1507" spans="1:8" x14ac:dyDescent="0.2">
      <c r="A1507" s="5">
        <v>46037.322528148143</v>
      </c>
      <c r="B1507" s="1" t="s">
        <v>13</v>
      </c>
      <c r="C1507" s="1">
        <v>2025</v>
      </c>
      <c r="D1507" s="1" t="s">
        <v>302</v>
      </c>
      <c r="E1507" s="6" t="s">
        <v>3368</v>
      </c>
      <c r="G1507" s="6" t="s">
        <v>3369</v>
      </c>
      <c r="H1507" s="1" t="s">
        <v>3370</v>
      </c>
    </row>
    <row r="1508" spans="1:8" x14ac:dyDescent="0.2">
      <c r="A1508" s="5">
        <v>46037.324264814815</v>
      </c>
      <c r="B1508" s="1" t="s">
        <v>13</v>
      </c>
      <c r="C1508" s="1">
        <v>2025</v>
      </c>
      <c r="D1508" s="1" t="s">
        <v>1866</v>
      </c>
      <c r="E1508" s="6" t="s">
        <v>3371</v>
      </c>
      <c r="G1508" s="6" t="s">
        <v>3372</v>
      </c>
      <c r="H1508" s="1" t="s">
        <v>3373</v>
      </c>
    </row>
    <row r="1509" spans="1:8" x14ac:dyDescent="0.2">
      <c r="A1509" s="5">
        <v>46037.324674351854</v>
      </c>
      <c r="B1509" s="1" t="s">
        <v>13</v>
      </c>
      <c r="C1509" s="1">
        <v>2025</v>
      </c>
      <c r="D1509" s="1" t="s">
        <v>2015</v>
      </c>
      <c r="E1509" s="6" t="s">
        <v>3374</v>
      </c>
      <c r="G1509" s="6" t="s">
        <v>3375</v>
      </c>
      <c r="H1509" s="1" t="s">
        <v>3376</v>
      </c>
    </row>
    <row r="1510" spans="1:8" x14ac:dyDescent="0.2">
      <c r="A1510" s="5">
        <v>46037.339014826386</v>
      </c>
      <c r="B1510" s="1" t="s">
        <v>66</v>
      </c>
      <c r="C1510" s="1">
        <v>2025</v>
      </c>
      <c r="D1510" s="1" t="s">
        <v>318</v>
      </c>
      <c r="E1510" s="6" t="s">
        <v>3377</v>
      </c>
      <c r="G1510" s="6" t="s">
        <v>3378</v>
      </c>
      <c r="H1510" s="1" t="s">
        <v>3379</v>
      </c>
    </row>
    <row r="1511" spans="1:8" x14ac:dyDescent="0.2">
      <c r="A1511" s="5">
        <v>46037.339317499995</v>
      </c>
      <c r="B1511" s="1" t="s">
        <v>66</v>
      </c>
      <c r="C1511" s="1">
        <v>2025</v>
      </c>
      <c r="D1511" s="1" t="s">
        <v>352</v>
      </c>
      <c r="E1511" s="6" t="s">
        <v>3380</v>
      </c>
      <c r="G1511" s="6" t="s">
        <v>3381</v>
      </c>
      <c r="H1511" s="1" t="s">
        <v>3382</v>
      </c>
    </row>
    <row r="1512" spans="1:8" x14ac:dyDescent="0.2">
      <c r="A1512" s="5">
        <v>46037.339666770829</v>
      </c>
      <c r="B1512" s="1" t="s">
        <v>66</v>
      </c>
      <c r="C1512" s="1">
        <v>2025</v>
      </c>
      <c r="D1512" s="1" t="s">
        <v>9</v>
      </c>
      <c r="E1512" s="6" t="s">
        <v>3383</v>
      </c>
      <c r="G1512" s="6" t="s">
        <v>3384</v>
      </c>
      <c r="H1512" s="1" t="s">
        <v>3385</v>
      </c>
    </row>
    <row r="1513" spans="1:8" x14ac:dyDescent="0.2">
      <c r="A1513" s="5">
        <v>46037.340004479163</v>
      </c>
      <c r="B1513" s="1" t="s">
        <v>66</v>
      </c>
      <c r="C1513" s="1">
        <v>2025</v>
      </c>
      <c r="D1513" s="1" t="s">
        <v>78</v>
      </c>
      <c r="E1513" s="6" t="s">
        <v>3386</v>
      </c>
      <c r="G1513" s="6" t="s">
        <v>3387</v>
      </c>
      <c r="H1513" s="1" t="s">
        <v>3388</v>
      </c>
    </row>
    <row r="1514" spans="1:8" x14ac:dyDescent="0.2">
      <c r="A1514" s="5">
        <v>46037.340396840278</v>
      </c>
      <c r="B1514" s="1" t="s">
        <v>66</v>
      </c>
      <c r="C1514" s="1">
        <v>2025</v>
      </c>
      <c r="D1514" s="1" t="s">
        <v>110</v>
      </c>
      <c r="E1514" s="6" t="s">
        <v>3389</v>
      </c>
      <c r="G1514" s="6" t="s">
        <v>3390</v>
      </c>
      <c r="H1514" s="1" t="s">
        <v>3391</v>
      </c>
    </row>
    <row r="1515" spans="1:8" x14ac:dyDescent="0.2">
      <c r="A1515" s="5">
        <v>46037.340791909723</v>
      </c>
      <c r="B1515" s="1" t="s">
        <v>66</v>
      </c>
      <c r="C1515" s="1">
        <v>2025</v>
      </c>
      <c r="D1515" s="1" t="s">
        <v>139</v>
      </c>
      <c r="E1515" s="6" t="s">
        <v>3392</v>
      </c>
      <c r="G1515" s="6" t="s">
        <v>3393</v>
      </c>
      <c r="H1515" s="1" t="s">
        <v>3394</v>
      </c>
    </row>
    <row r="1516" spans="1:8" x14ac:dyDescent="0.2">
      <c r="A1516" s="5">
        <v>46037.341213692125</v>
      </c>
      <c r="B1516" s="1" t="s">
        <v>66</v>
      </c>
      <c r="C1516" s="1">
        <v>2025</v>
      </c>
      <c r="D1516" s="1" t="s">
        <v>166</v>
      </c>
      <c r="E1516" s="6" t="s">
        <v>3395</v>
      </c>
      <c r="G1516" s="6" t="s">
        <v>3396</v>
      </c>
      <c r="H1516" s="1" t="s">
        <v>3397</v>
      </c>
    </row>
    <row r="1517" spans="1:8" x14ac:dyDescent="0.2">
      <c r="A1517" s="5">
        <v>46037.341828854165</v>
      </c>
      <c r="B1517" s="1" t="s">
        <v>66</v>
      </c>
      <c r="C1517" s="1">
        <v>2025</v>
      </c>
      <c r="D1517" s="1" t="s">
        <v>196</v>
      </c>
      <c r="E1517" s="6" t="s">
        <v>3398</v>
      </c>
      <c r="G1517" s="6" t="s">
        <v>3399</v>
      </c>
      <c r="H1517" s="1" t="s">
        <v>3400</v>
      </c>
    </row>
    <row r="1518" spans="1:8" x14ac:dyDescent="0.2">
      <c r="A1518" s="5">
        <v>46037.342152800928</v>
      </c>
      <c r="B1518" s="1" t="s">
        <v>66</v>
      </c>
      <c r="C1518" s="1">
        <v>2025</v>
      </c>
      <c r="D1518" s="1" t="s">
        <v>228</v>
      </c>
      <c r="E1518" s="6" t="s">
        <v>3401</v>
      </c>
      <c r="G1518" s="6" t="s">
        <v>3402</v>
      </c>
      <c r="H1518" s="1" t="s">
        <v>3403</v>
      </c>
    </row>
    <row r="1519" spans="1:8" x14ac:dyDescent="0.2">
      <c r="A1519" s="5">
        <v>46037.342471249998</v>
      </c>
      <c r="B1519" s="1" t="s">
        <v>66</v>
      </c>
      <c r="C1519" s="1">
        <v>2025</v>
      </c>
      <c r="D1519" s="1" t="s">
        <v>255</v>
      </c>
      <c r="E1519" s="6" t="s">
        <v>3404</v>
      </c>
      <c r="G1519" s="6" t="s">
        <v>3405</v>
      </c>
      <c r="H1519" s="1" t="s">
        <v>3406</v>
      </c>
    </row>
    <row r="1520" spans="1:8" x14ac:dyDescent="0.2">
      <c r="A1520" s="5">
        <v>46037.34273665509</v>
      </c>
      <c r="B1520" s="1" t="s">
        <v>66</v>
      </c>
      <c r="C1520" s="1">
        <v>2025</v>
      </c>
      <c r="D1520" s="1" t="s">
        <v>277</v>
      </c>
      <c r="E1520" s="6" t="s">
        <v>3407</v>
      </c>
      <c r="G1520" s="6" t="s">
        <v>3408</v>
      </c>
      <c r="H1520" s="1" t="s">
        <v>3409</v>
      </c>
    </row>
    <row r="1521" spans="1:8" x14ac:dyDescent="0.2">
      <c r="A1521" s="5">
        <v>46037.34302803241</v>
      </c>
      <c r="B1521" s="1" t="s">
        <v>66</v>
      </c>
      <c r="C1521" s="1">
        <v>2025</v>
      </c>
      <c r="D1521" s="1" t="s">
        <v>302</v>
      </c>
      <c r="E1521" s="6" t="s">
        <v>3410</v>
      </c>
      <c r="G1521" s="6" t="s">
        <v>3411</v>
      </c>
      <c r="H1521" s="1" t="s">
        <v>3412</v>
      </c>
    </row>
    <row r="1522" spans="1:8" x14ac:dyDescent="0.2">
      <c r="A1522" s="5">
        <v>46037.343405648149</v>
      </c>
      <c r="B1522" s="1" t="s">
        <v>66</v>
      </c>
      <c r="C1522" s="1">
        <v>2025</v>
      </c>
      <c r="D1522" s="1" t="s">
        <v>2190</v>
      </c>
      <c r="E1522" s="6" t="s">
        <v>3413</v>
      </c>
      <c r="G1522" s="6" t="s">
        <v>3414</v>
      </c>
      <c r="H1522" s="1" t="s">
        <v>3415</v>
      </c>
    </row>
    <row r="1523" spans="1:8" x14ac:dyDescent="0.2">
      <c r="A1523" s="5">
        <v>46037.343794641201</v>
      </c>
      <c r="B1523" s="1" t="s">
        <v>66</v>
      </c>
      <c r="C1523" s="1">
        <v>2025</v>
      </c>
      <c r="D1523" s="1" t="s">
        <v>1866</v>
      </c>
      <c r="E1523" s="6" t="s">
        <v>3416</v>
      </c>
      <c r="G1523" s="6" t="s">
        <v>3417</v>
      </c>
      <c r="H1523" s="1" t="s">
        <v>3418</v>
      </c>
    </row>
    <row r="1524" spans="1:8" x14ac:dyDescent="0.2">
      <c r="A1524" s="5">
        <v>46037.344148749995</v>
      </c>
      <c r="B1524" s="1" t="s">
        <v>66</v>
      </c>
      <c r="C1524" s="1">
        <v>2025</v>
      </c>
      <c r="D1524" s="1" t="s">
        <v>2015</v>
      </c>
      <c r="E1524" s="6" t="s">
        <v>3419</v>
      </c>
      <c r="G1524" s="6" t="s">
        <v>3420</v>
      </c>
      <c r="H1524" s="1" t="s">
        <v>3421</v>
      </c>
    </row>
    <row r="1525" spans="1:8" x14ac:dyDescent="0.2">
      <c r="A1525" s="5">
        <v>46037.344868472224</v>
      </c>
      <c r="B1525" s="1" t="s">
        <v>66</v>
      </c>
      <c r="C1525" s="1">
        <v>2025</v>
      </c>
      <c r="D1525" s="1" t="s">
        <v>2197</v>
      </c>
      <c r="E1525" s="6" t="s">
        <v>3422</v>
      </c>
      <c r="G1525" s="6" t="s">
        <v>3423</v>
      </c>
      <c r="H1525" s="1" t="s">
        <v>3424</v>
      </c>
    </row>
    <row r="1526" spans="1:8" x14ac:dyDescent="0.2">
      <c r="A1526" s="5">
        <v>46037.36385681713</v>
      </c>
      <c r="B1526" s="1" t="s">
        <v>8</v>
      </c>
      <c r="C1526" s="1">
        <v>2025</v>
      </c>
      <c r="D1526" s="1" t="s">
        <v>228</v>
      </c>
      <c r="E1526" s="6" t="s">
        <v>3425</v>
      </c>
      <c r="G1526" s="6" t="s">
        <v>3426</v>
      </c>
      <c r="H1526" s="1" t="s">
        <v>3427</v>
      </c>
    </row>
    <row r="1527" spans="1:8" x14ac:dyDescent="0.2">
      <c r="A1527" s="5">
        <v>46037.364088333328</v>
      </c>
      <c r="B1527" s="1" t="s">
        <v>8</v>
      </c>
      <c r="C1527" s="1">
        <v>2025</v>
      </c>
      <c r="D1527" s="1" t="s">
        <v>255</v>
      </c>
      <c r="E1527" s="6" t="s">
        <v>3428</v>
      </c>
      <c r="G1527" s="6" t="s">
        <v>3429</v>
      </c>
      <c r="H1527" s="1" t="s">
        <v>3430</v>
      </c>
    </row>
    <row r="1528" spans="1:8" x14ac:dyDescent="0.2">
      <c r="A1528" s="5">
        <v>46037.364319386572</v>
      </c>
      <c r="B1528" s="1" t="s">
        <v>8</v>
      </c>
      <c r="C1528" s="1">
        <v>2025</v>
      </c>
      <c r="D1528" s="1" t="s">
        <v>277</v>
      </c>
      <c r="E1528" s="6" t="s">
        <v>3431</v>
      </c>
      <c r="G1528" s="6" t="s">
        <v>3432</v>
      </c>
      <c r="H1528" s="1" t="s">
        <v>3433</v>
      </c>
    </row>
    <row r="1529" spans="1:8" x14ac:dyDescent="0.2">
      <c r="A1529" s="5">
        <v>46037.364571481477</v>
      </c>
      <c r="B1529" s="1" t="s">
        <v>8</v>
      </c>
      <c r="C1529" s="1">
        <v>2025</v>
      </c>
      <c r="D1529" s="1" t="s">
        <v>302</v>
      </c>
      <c r="E1529" s="6" t="s">
        <v>3434</v>
      </c>
      <c r="G1529" s="6" t="s">
        <v>3435</v>
      </c>
      <c r="H1529" s="1" t="s">
        <v>3436</v>
      </c>
    </row>
    <row r="1530" spans="1:8" x14ac:dyDescent="0.2">
      <c r="A1530" s="5">
        <v>46037.365683923606</v>
      </c>
      <c r="B1530" s="1" t="s">
        <v>11</v>
      </c>
      <c r="C1530" s="1">
        <v>2025</v>
      </c>
      <c r="D1530" s="1" t="s">
        <v>228</v>
      </c>
      <c r="E1530" s="6" t="s">
        <v>3437</v>
      </c>
      <c r="G1530" s="6" t="s">
        <v>3438</v>
      </c>
      <c r="H1530" s="1" t="s">
        <v>3439</v>
      </c>
    </row>
    <row r="1531" spans="1:8" x14ac:dyDescent="0.2">
      <c r="A1531" s="5">
        <v>46037.365934375004</v>
      </c>
      <c r="B1531" s="1" t="s">
        <v>11</v>
      </c>
      <c r="C1531" s="1">
        <v>2025</v>
      </c>
      <c r="D1531" s="1" t="s">
        <v>255</v>
      </c>
      <c r="E1531" s="6" t="s">
        <v>3440</v>
      </c>
      <c r="G1531" s="6" t="s">
        <v>3441</v>
      </c>
      <c r="H1531" s="1" t="s">
        <v>3442</v>
      </c>
    </row>
    <row r="1532" spans="1:8" x14ac:dyDescent="0.2">
      <c r="A1532" s="5">
        <v>46037.366177418982</v>
      </c>
      <c r="B1532" s="1" t="s">
        <v>11</v>
      </c>
      <c r="C1532" s="1">
        <v>2025</v>
      </c>
      <c r="D1532" s="1" t="s">
        <v>277</v>
      </c>
      <c r="E1532" s="6" t="s">
        <v>3443</v>
      </c>
      <c r="G1532" s="6" t="s">
        <v>3444</v>
      </c>
      <c r="H1532" s="1" t="s">
        <v>3445</v>
      </c>
    </row>
    <row r="1533" spans="1:8" x14ac:dyDescent="0.2">
      <c r="A1533" s="5">
        <v>46037.36652116898</v>
      </c>
      <c r="B1533" s="1" t="s">
        <v>11</v>
      </c>
      <c r="C1533" s="1">
        <v>2025</v>
      </c>
      <c r="D1533" s="1" t="s">
        <v>302</v>
      </c>
      <c r="E1533" s="6" t="s">
        <v>3446</v>
      </c>
      <c r="G1533" s="6" t="s">
        <v>3447</v>
      </c>
      <c r="H1533" s="1" t="s">
        <v>3448</v>
      </c>
    </row>
    <row r="1534" spans="1:8" x14ac:dyDescent="0.2">
      <c r="A1534" s="5">
        <v>46037.367340729164</v>
      </c>
      <c r="B1534" s="1" t="s">
        <v>68</v>
      </c>
      <c r="C1534" s="1">
        <v>2025</v>
      </c>
      <c r="D1534" s="1" t="s">
        <v>139</v>
      </c>
      <c r="E1534" s="6" t="s">
        <v>3449</v>
      </c>
      <c r="G1534" s="6" t="s">
        <v>3450</v>
      </c>
      <c r="H1534" s="1" t="s">
        <v>3451</v>
      </c>
    </row>
    <row r="1535" spans="1:8" x14ac:dyDescent="0.2">
      <c r="A1535" s="5">
        <v>46037.369311909722</v>
      </c>
      <c r="B1535" s="1" t="s">
        <v>68</v>
      </c>
      <c r="C1535" s="1">
        <v>2025</v>
      </c>
      <c r="D1535" s="1" t="s">
        <v>196</v>
      </c>
      <c r="E1535" s="6" t="s">
        <v>3452</v>
      </c>
      <c r="G1535" s="6" t="s">
        <v>3453</v>
      </c>
      <c r="H1535" s="1" t="s">
        <v>3454</v>
      </c>
    </row>
    <row r="1536" spans="1:8" x14ac:dyDescent="0.2">
      <c r="A1536" s="5">
        <v>46037.372737835649</v>
      </c>
      <c r="B1536" s="1" t="s">
        <v>37</v>
      </c>
      <c r="C1536" s="1">
        <v>2025</v>
      </c>
      <c r="D1536" s="1" t="s">
        <v>166</v>
      </c>
      <c r="E1536" s="6" t="s">
        <v>3455</v>
      </c>
      <c r="G1536" s="6" t="s">
        <v>3456</v>
      </c>
      <c r="H1536" s="1" t="s">
        <v>3457</v>
      </c>
    </row>
    <row r="1537" spans="1:8" x14ac:dyDescent="0.2">
      <c r="A1537" s="5">
        <v>46037.373117291667</v>
      </c>
      <c r="B1537" s="1" t="s">
        <v>37</v>
      </c>
      <c r="C1537" s="1">
        <v>2025</v>
      </c>
      <c r="D1537" s="1" t="s">
        <v>255</v>
      </c>
      <c r="E1537" s="6" t="s">
        <v>3458</v>
      </c>
      <c r="G1537" s="6" t="s">
        <v>3459</v>
      </c>
      <c r="H1537" s="1" t="s">
        <v>3460</v>
      </c>
    </row>
    <row r="1538" spans="1:8" x14ac:dyDescent="0.2">
      <c r="A1538" s="5">
        <v>46037.373468391204</v>
      </c>
      <c r="B1538" s="1" t="s">
        <v>37</v>
      </c>
      <c r="C1538" s="1">
        <v>2025</v>
      </c>
      <c r="D1538" s="1" t="s">
        <v>277</v>
      </c>
      <c r="E1538" s="6" t="s">
        <v>3461</v>
      </c>
      <c r="G1538" s="6" t="s">
        <v>3462</v>
      </c>
      <c r="H1538" s="1" t="s">
        <v>3463</v>
      </c>
    </row>
    <row r="1539" spans="1:8" x14ac:dyDescent="0.2">
      <c r="A1539" s="5">
        <v>46037.374237060183</v>
      </c>
      <c r="B1539" s="1" t="s">
        <v>37</v>
      </c>
      <c r="C1539" s="1">
        <v>2025</v>
      </c>
      <c r="D1539" s="1" t="s">
        <v>277</v>
      </c>
      <c r="E1539" s="6" t="s">
        <v>3464</v>
      </c>
      <c r="G1539" s="6" t="s">
        <v>3465</v>
      </c>
      <c r="H1539" s="1" t="s">
        <v>3466</v>
      </c>
    </row>
    <row r="1540" spans="1:8" x14ac:dyDescent="0.2">
      <c r="A1540" s="5">
        <v>46037.374563055557</v>
      </c>
      <c r="B1540" s="1" t="s">
        <v>37</v>
      </c>
      <c r="C1540" s="1">
        <v>2025</v>
      </c>
      <c r="D1540" s="1" t="s">
        <v>302</v>
      </c>
      <c r="E1540" s="6" t="s">
        <v>3467</v>
      </c>
      <c r="G1540" s="6" t="s">
        <v>3468</v>
      </c>
      <c r="H1540" s="1" t="s">
        <v>3469</v>
      </c>
    </row>
    <row r="1541" spans="1:8" x14ac:dyDescent="0.2">
      <c r="A1541" s="5">
        <v>46037.377414780094</v>
      </c>
      <c r="B1541" s="1" t="s">
        <v>68</v>
      </c>
      <c r="C1541" s="1">
        <v>2025</v>
      </c>
      <c r="D1541" s="1" t="s">
        <v>228</v>
      </c>
      <c r="E1541" s="6" t="s">
        <v>3470</v>
      </c>
      <c r="G1541" s="6" t="s">
        <v>3471</v>
      </c>
      <c r="H1541" s="1" t="s">
        <v>3472</v>
      </c>
    </row>
    <row r="1542" spans="1:8" x14ac:dyDescent="0.2">
      <c r="A1542" s="5">
        <v>46037.377534039348</v>
      </c>
      <c r="B1542" s="1" t="s">
        <v>330</v>
      </c>
      <c r="C1542" s="1">
        <v>2025</v>
      </c>
      <c r="D1542" s="1" t="s">
        <v>302</v>
      </c>
      <c r="E1542" s="6" t="s">
        <v>3473</v>
      </c>
      <c r="G1542" s="6" t="s">
        <v>3474</v>
      </c>
      <c r="H1542" s="1" t="s">
        <v>3475</v>
      </c>
    </row>
    <row r="1543" spans="1:8" x14ac:dyDescent="0.2">
      <c r="A1543" s="5">
        <v>46037.377920196755</v>
      </c>
      <c r="B1543" s="1" t="s">
        <v>330</v>
      </c>
      <c r="C1543" s="1">
        <v>2025</v>
      </c>
      <c r="D1543" s="1" t="s">
        <v>277</v>
      </c>
      <c r="E1543" s="6" t="s">
        <v>3476</v>
      </c>
      <c r="G1543" s="6" t="s">
        <v>3477</v>
      </c>
      <c r="H1543" s="1" t="s">
        <v>3478</v>
      </c>
    </row>
    <row r="1544" spans="1:8" x14ac:dyDescent="0.2">
      <c r="A1544" s="5">
        <v>46037.38003158565</v>
      </c>
      <c r="B1544" s="1" t="s">
        <v>68</v>
      </c>
      <c r="C1544" s="1">
        <v>2025</v>
      </c>
      <c r="D1544" s="1" t="s">
        <v>255</v>
      </c>
      <c r="E1544" s="6" t="s">
        <v>3479</v>
      </c>
      <c r="G1544" s="6" t="s">
        <v>3480</v>
      </c>
      <c r="H1544" s="1" t="s">
        <v>3481</v>
      </c>
    </row>
    <row r="1545" spans="1:8" x14ac:dyDescent="0.2">
      <c r="A1545" s="5">
        <v>46037.381503055556</v>
      </c>
      <c r="B1545" s="1" t="s">
        <v>68</v>
      </c>
      <c r="C1545" s="1">
        <v>2025</v>
      </c>
      <c r="D1545" s="1" t="s">
        <v>277</v>
      </c>
      <c r="E1545" s="6" t="s">
        <v>3482</v>
      </c>
      <c r="G1545" s="6" t="s">
        <v>3483</v>
      </c>
      <c r="H1545" s="1" t="s">
        <v>3484</v>
      </c>
    </row>
    <row r="1546" spans="1:8" x14ac:dyDescent="0.2">
      <c r="A1546" s="5">
        <v>46037.381968912036</v>
      </c>
      <c r="B1546" s="1" t="s">
        <v>68</v>
      </c>
      <c r="C1546" s="1">
        <v>2025</v>
      </c>
      <c r="D1546" s="1" t="s">
        <v>277</v>
      </c>
      <c r="E1546" s="6" t="s">
        <v>3485</v>
      </c>
      <c r="G1546" s="6" t="s">
        <v>3486</v>
      </c>
      <c r="H1546" s="1" t="s">
        <v>3487</v>
      </c>
    </row>
    <row r="1547" spans="1:8" x14ac:dyDescent="0.2">
      <c r="A1547" s="5">
        <v>46037.382865648149</v>
      </c>
      <c r="B1547" s="1" t="s">
        <v>39</v>
      </c>
      <c r="C1547" s="1">
        <v>2025</v>
      </c>
      <c r="D1547" s="1" t="s">
        <v>139</v>
      </c>
      <c r="E1547" s="6" t="s">
        <v>3488</v>
      </c>
      <c r="G1547" s="6" t="s">
        <v>3489</v>
      </c>
      <c r="H1547" s="1" t="s">
        <v>3490</v>
      </c>
    </row>
    <row r="1548" spans="1:8" x14ac:dyDescent="0.2">
      <c r="A1548" s="5">
        <v>46037.38309935185</v>
      </c>
      <c r="B1548" s="1" t="s">
        <v>68</v>
      </c>
      <c r="C1548" s="1">
        <v>2025</v>
      </c>
      <c r="D1548" s="1" t="s">
        <v>302</v>
      </c>
      <c r="E1548" s="6" t="s">
        <v>3491</v>
      </c>
      <c r="G1548" s="6" t="s">
        <v>3492</v>
      </c>
      <c r="H1548" s="1" t="s">
        <v>3493</v>
      </c>
    </row>
    <row r="1549" spans="1:8" x14ac:dyDescent="0.2">
      <c r="A1549" s="5">
        <v>46037.383325833332</v>
      </c>
      <c r="B1549" s="1" t="s">
        <v>39</v>
      </c>
      <c r="C1549" s="1">
        <v>2025</v>
      </c>
      <c r="D1549" s="1" t="s">
        <v>166</v>
      </c>
      <c r="E1549" s="6" t="s">
        <v>3494</v>
      </c>
      <c r="G1549" s="6" t="s">
        <v>3495</v>
      </c>
      <c r="H1549" s="1" t="s">
        <v>3496</v>
      </c>
    </row>
    <row r="1550" spans="1:8" x14ac:dyDescent="0.2">
      <c r="A1550" s="5">
        <v>46037.383366539347</v>
      </c>
      <c r="B1550" s="1" t="s">
        <v>22</v>
      </c>
      <c r="C1550" s="1">
        <v>2025</v>
      </c>
      <c r="D1550" s="1" t="s">
        <v>139</v>
      </c>
      <c r="E1550" s="6" t="s">
        <v>3497</v>
      </c>
      <c r="G1550" s="6" t="s">
        <v>3498</v>
      </c>
      <c r="H1550" s="1" t="s">
        <v>3499</v>
      </c>
    </row>
    <row r="1551" spans="1:8" x14ac:dyDescent="0.2">
      <c r="A1551" s="5">
        <v>46037.383677928243</v>
      </c>
      <c r="B1551" s="1" t="s">
        <v>22</v>
      </c>
      <c r="C1551" s="1">
        <v>2025</v>
      </c>
      <c r="D1551" s="1" t="s">
        <v>166</v>
      </c>
      <c r="E1551" s="6" t="s">
        <v>3500</v>
      </c>
      <c r="G1551" s="6" t="s">
        <v>3501</v>
      </c>
      <c r="H1551" s="1" t="s">
        <v>3502</v>
      </c>
    </row>
    <row r="1552" spans="1:8" x14ac:dyDescent="0.2">
      <c r="A1552" s="5">
        <v>46037.38398835648</v>
      </c>
      <c r="B1552" s="1" t="s">
        <v>22</v>
      </c>
      <c r="C1552" s="1">
        <v>2025</v>
      </c>
      <c r="D1552" s="1" t="s">
        <v>196</v>
      </c>
      <c r="E1552" s="6" t="s">
        <v>3503</v>
      </c>
      <c r="G1552" s="6" t="s">
        <v>3504</v>
      </c>
      <c r="H1552" s="1" t="s">
        <v>3505</v>
      </c>
    </row>
    <row r="1553" spans="1:8" x14ac:dyDescent="0.2">
      <c r="A1553" s="5">
        <v>46037.384258900463</v>
      </c>
      <c r="B1553" s="1" t="s">
        <v>39</v>
      </c>
      <c r="C1553" s="1">
        <v>2025</v>
      </c>
      <c r="D1553" s="1" t="s">
        <v>228</v>
      </c>
      <c r="E1553" s="6" t="s">
        <v>3506</v>
      </c>
      <c r="G1553" s="6" t="s">
        <v>3507</v>
      </c>
      <c r="H1553" s="1" t="s">
        <v>3508</v>
      </c>
    </row>
    <row r="1554" spans="1:8" x14ac:dyDescent="0.2">
      <c r="A1554" s="5">
        <v>46037.384284224536</v>
      </c>
      <c r="B1554" s="1" t="s">
        <v>22</v>
      </c>
      <c r="C1554" s="1">
        <v>2025</v>
      </c>
      <c r="D1554" s="1" t="s">
        <v>228</v>
      </c>
      <c r="E1554" s="6" t="s">
        <v>3509</v>
      </c>
      <c r="G1554" s="6" t="s">
        <v>3510</v>
      </c>
      <c r="H1554" s="1" t="s">
        <v>3511</v>
      </c>
    </row>
    <row r="1555" spans="1:8" x14ac:dyDescent="0.2">
      <c r="A1555" s="5">
        <v>46037.384545393521</v>
      </c>
      <c r="B1555" s="1" t="s">
        <v>22</v>
      </c>
      <c r="C1555" s="1">
        <v>2025</v>
      </c>
      <c r="D1555" s="1" t="s">
        <v>255</v>
      </c>
      <c r="E1555" s="6" t="s">
        <v>3512</v>
      </c>
      <c r="G1555" s="6" t="s">
        <v>3513</v>
      </c>
      <c r="H1555" s="1" t="s">
        <v>3514</v>
      </c>
    </row>
    <row r="1556" spans="1:8" x14ac:dyDescent="0.2">
      <c r="A1556" s="5">
        <v>46037.384838136575</v>
      </c>
      <c r="B1556" s="1" t="s">
        <v>22</v>
      </c>
      <c r="C1556" s="1">
        <v>2025</v>
      </c>
      <c r="D1556" s="1" t="s">
        <v>277</v>
      </c>
      <c r="E1556" s="6" t="s">
        <v>3515</v>
      </c>
      <c r="G1556" s="6" t="s">
        <v>3516</v>
      </c>
      <c r="H1556" s="1" t="s">
        <v>3517</v>
      </c>
    </row>
    <row r="1557" spans="1:8" x14ac:dyDescent="0.2">
      <c r="A1557" s="5">
        <v>46037.385262534721</v>
      </c>
      <c r="B1557" s="1" t="s">
        <v>22</v>
      </c>
      <c r="C1557" s="1">
        <v>2025</v>
      </c>
      <c r="D1557" s="1" t="s">
        <v>302</v>
      </c>
      <c r="E1557" s="6" t="s">
        <v>3518</v>
      </c>
      <c r="G1557" s="6" t="s">
        <v>3519</v>
      </c>
      <c r="H1557" s="1" t="s">
        <v>3520</v>
      </c>
    </row>
    <row r="1558" spans="1:8" x14ac:dyDescent="0.2">
      <c r="A1558" s="5">
        <v>46037.385654849539</v>
      </c>
      <c r="B1558" s="1" t="s">
        <v>39</v>
      </c>
      <c r="C1558" s="1">
        <v>2025</v>
      </c>
      <c r="D1558" s="1" t="s">
        <v>196</v>
      </c>
      <c r="E1558" s="6" t="s">
        <v>3521</v>
      </c>
      <c r="G1558" s="6" t="s">
        <v>3522</v>
      </c>
      <c r="H1558" s="1" t="s">
        <v>3523</v>
      </c>
    </row>
    <row r="1559" spans="1:8" x14ac:dyDescent="0.2">
      <c r="A1559" s="5">
        <v>46037.386338622688</v>
      </c>
      <c r="B1559" s="1" t="s">
        <v>39</v>
      </c>
      <c r="C1559" s="1">
        <v>2025</v>
      </c>
      <c r="D1559" s="1" t="s">
        <v>255</v>
      </c>
      <c r="E1559" s="6" t="s">
        <v>3524</v>
      </c>
      <c r="G1559" s="6" t="s">
        <v>3525</v>
      </c>
      <c r="H1559" s="1" t="s">
        <v>3526</v>
      </c>
    </row>
    <row r="1560" spans="1:8" x14ac:dyDescent="0.2">
      <c r="A1560" s="5">
        <v>46037.387107002316</v>
      </c>
      <c r="B1560" s="1" t="s">
        <v>39</v>
      </c>
      <c r="C1560" s="1">
        <v>2025</v>
      </c>
      <c r="D1560" s="1" t="s">
        <v>302</v>
      </c>
      <c r="E1560" s="6" t="s">
        <v>3527</v>
      </c>
      <c r="G1560" s="6" t="s">
        <v>3528</v>
      </c>
      <c r="H1560" s="1" t="s">
        <v>3529</v>
      </c>
    </row>
    <row r="1561" spans="1:8" x14ac:dyDescent="0.2">
      <c r="A1561" s="5">
        <v>46037.387951157405</v>
      </c>
      <c r="B1561" s="1" t="s">
        <v>39</v>
      </c>
      <c r="C1561" s="1">
        <v>2025</v>
      </c>
      <c r="D1561" s="1" t="s">
        <v>277</v>
      </c>
      <c r="E1561" s="6" t="s">
        <v>3530</v>
      </c>
      <c r="G1561" s="6" t="s">
        <v>3531</v>
      </c>
      <c r="H1561" s="1" t="s">
        <v>3532</v>
      </c>
    </row>
    <row r="1562" spans="1:8" x14ac:dyDescent="0.2">
      <c r="A1562" s="5">
        <v>46037.391532037036</v>
      </c>
      <c r="B1562" s="1" t="s">
        <v>378</v>
      </c>
      <c r="C1562" s="1">
        <v>2025</v>
      </c>
      <c r="D1562" s="1" t="s">
        <v>166</v>
      </c>
      <c r="E1562" s="6" t="s">
        <v>3533</v>
      </c>
      <c r="G1562" s="6" t="s">
        <v>3534</v>
      </c>
      <c r="H1562" s="1" t="s">
        <v>3535</v>
      </c>
    </row>
    <row r="1563" spans="1:8" x14ac:dyDescent="0.2">
      <c r="A1563" s="5">
        <v>46037.391982048612</v>
      </c>
      <c r="B1563" s="1" t="s">
        <v>378</v>
      </c>
      <c r="C1563" s="1">
        <v>2025</v>
      </c>
      <c r="D1563" s="1" t="s">
        <v>277</v>
      </c>
      <c r="E1563" s="6" t="s">
        <v>3536</v>
      </c>
      <c r="G1563" s="6" t="s">
        <v>3537</v>
      </c>
      <c r="H1563" s="1" t="s">
        <v>3538</v>
      </c>
    </row>
    <row r="1564" spans="1:8" x14ac:dyDescent="0.2">
      <c r="A1564" s="5">
        <v>46037.393037847221</v>
      </c>
      <c r="B1564" s="1" t="s">
        <v>29</v>
      </c>
      <c r="C1564" s="1">
        <v>2025</v>
      </c>
      <c r="D1564" s="1" t="s">
        <v>166</v>
      </c>
      <c r="E1564" s="6" t="s">
        <v>3539</v>
      </c>
      <c r="G1564" s="6" t="s">
        <v>3540</v>
      </c>
      <c r="H1564" s="1" t="s">
        <v>3541</v>
      </c>
    </row>
    <row r="1565" spans="1:8" x14ac:dyDescent="0.2">
      <c r="A1565" s="5">
        <v>46037.393360023147</v>
      </c>
      <c r="B1565" s="1" t="s">
        <v>29</v>
      </c>
      <c r="C1565" s="1">
        <v>2025</v>
      </c>
      <c r="D1565" s="1" t="s">
        <v>277</v>
      </c>
      <c r="E1565" s="6" t="s">
        <v>3542</v>
      </c>
      <c r="G1565" s="6" t="s">
        <v>3543</v>
      </c>
      <c r="H1565" s="1" t="s">
        <v>3544</v>
      </c>
    </row>
    <row r="1566" spans="1:8" x14ac:dyDescent="0.2">
      <c r="A1566" s="5">
        <v>46037.395947129626</v>
      </c>
      <c r="B1566" s="1" t="s">
        <v>24</v>
      </c>
      <c r="C1566" s="1">
        <v>2025</v>
      </c>
      <c r="D1566" s="1" t="s">
        <v>255</v>
      </c>
      <c r="E1566" s="6" t="s">
        <v>3545</v>
      </c>
      <c r="G1566" s="6" t="s">
        <v>3546</v>
      </c>
      <c r="H1566" s="1" t="s">
        <v>3547</v>
      </c>
    </row>
    <row r="1567" spans="1:8" x14ac:dyDescent="0.2">
      <c r="A1567" s="5">
        <v>46037.39624667824</v>
      </c>
      <c r="B1567" s="1" t="s">
        <v>24</v>
      </c>
      <c r="C1567" s="1">
        <v>2025</v>
      </c>
      <c r="D1567" s="1" t="s">
        <v>277</v>
      </c>
      <c r="E1567" s="6" t="s">
        <v>3548</v>
      </c>
      <c r="G1567" s="6" t="s">
        <v>3549</v>
      </c>
      <c r="H1567" s="1" t="s">
        <v>3550</v>
      </c>
    </row>
    <row r="1568" spans="1:8" x14ac:dyDescent="0.2">
      <c r="A1568" s="5">
        <v>46037.396552847218</v>
      </c>
      <c r="B1568" s="1" t="s">
        <v>24</v>
      </c>
      <c r="C1568" s="1">
        <v>2025</v>
      </c>
      <c r="D1568" s="1" t="s">
        <v>302</v>
      </c>
      <c r="E1568" s="6" t="s">
        <v>3551</v>
      </c>
      <c r="G1568" s="6" t="s">
        <v>3552</v>
      </c>
      <c r="H1568" s="1" t="s">
        <v>3553</v>
      </c>
    </row>
    <row r="1569" spans="1:8" x14ac:dyDescent="0.2">
      <c r="A1569" s="5">
        <v>46037.398817465277</v>
      </c>
      <c r="B1569" s="1" t="s">
        <v>76</v>
      </c>
      <c r="C1569" s="1">
        <v>2025</v>
      </c>
      <c r="D1569" s="1" t="s">
        <v>196</v>
      </c>
      <c r="E1569" s="6" t="s">
        <v>3554</v>
      </c>
      <c r="G1569" s="6" t="s">
        <v>3555</v>
      </c>
      <c r="H1569" s="1" t="s">
        <v>3556</v>
      </c>
    </row>
    <row r="1570" spans="1:8" x14ac:dyDescent="0.2">
      <c r="A1570" s="5">
        <v>46037.399909629632</v>
      </c>
      <c r="B1570" s="1" t="s">
        <v>76</v>
      </c>
      <c r="C1570" s="1">
        <v>2025</v>
      </c>
      <c r="D1570" s="1" t="s">
        <v>228</v>
      </c>
      <c r="E1570" s="6" t="s">
        <v>3557</v>
      </c>
      <c r="G1570" s="6" t="s">
        <v>3558</v>
      </c>
      <c r="H1570" s="1" t="s">
        <v>3559</v>
      </c>
    </row>
    <row r="1571" spans="1:8" x14ac:dyDescent="0.2">
      <c r="A1571" s="5">
        <v>46037.400179722223</v>
      </c>
      <c r="B1571" s="1" t="s">
        <v>76</v>
      </c>
      <c r="C1571" s="1">
        <v>2025</v>
      </c>
      <c r="D1571" s="1" t="s">
        <v>255</v>
      </c>
      <c r="E1571" s="6" t="s">
        <v>3560</v>
      </c>
      <c r="G1571" s="6" t="s">
        <v>3561</v>
      </c>
      <c r="H1571" s="1" t="s">
        <v>3562</v>
      </c>
    </row>
    <row r="1572" spans="1:8" x14ac:dyDescent="0.2">
      <c r="A1572" s="5">
        <v>46037.400403402775</v>
      </c>
      <c r="B1572" s="1" t="s">
        <v>76</v>
      </c>
      <c r="C1572" s="1">
        <v>2025</v>
      </c>
      <c r="D1572" s="1" t="s">
        <v>277</v>
      </c>
      <c r="E1572" s="6" t="s">
        <v>3563</v>
      </c>
      <c r="G1572" s="6" t="s">
        <v>3564</v>
      </c>
      <c r="H1572" s="1" t="s">
        <v>3565</v>
      </c>
    </row>
    <row r="1573" spans="1:8" x14ac:dyDescent="0.2">
      <c r="A1573" s="5">
        <v>46037.400636539351</v>
      </c>
      <c r="B1573" s="1" t="s">
        <v>76</v>
      </c>
      <c r="C1573" s="1">
        <v>2025</v>
      </c>
      <c r="D1573" s="1" t="s">
        <v>302</v>
      </c>
      <c r="E1573" s="6" t="s">
        <v>3566</v>
      </c>
      <c r="G1573" s="6" t="s">
        <v>3567</v>
      </c>
      <c r="H1573" s="1" t="s">
        <v>3568</v>
      </c>
    </row>
    <row r="1574" spans="1:8" x14ac:dyDescent="0.2">
      <c r="A1574" s="5">
        <v>46037.454827199079</v>
      </c>
      <c r="B1574" s="1" t="s">
        <v>70</v>
      </c>
      <c r="C1574" s="1">
        <v>2025</v>
      </c>
      <c r="D1574" s="1" t="s">
        <v>139</v>
      </c>
      <c r="E1574" s="6" t="s">
        <v>3569</v>
      </c>
      <c r="G1574" s="6" t="s">
        <v>3570</v>
      </c>
      <c r="H1574" s="1" t="s">
        <v>3571</v>
      </c>
    </row>
    <row r="1575" spans="1:8" x14ac:dyDescent="0.2">
      <c r="A1575" s="5">
        <v>46037.457222141209</v>
      </c>
      <c r="B1575" s="1" t="s">
        <v>70</v>
      </c>
      <c r="C1575" s="1">
        <v>2025</v>
      </c>
      <c r="D1575" s="1" t="s">
        <v>255</v>
      </c>
      <c r="E1575" s="6" t="s">
        <v>3572</v>
      </c>
      <c r="G1575" s="6" t="s">
        <v>3573</v>
      </c>
      <c r="H1575" s="1" t="s">
        <v>3574</v>
      </c>
    </row>
    <row r="1576" spans="1:8" x14ac:dyDescent="0.2">
      <c r="A1576" s="5">
        <v>46037.457595208332</v>
      </c>
      <c r="B1576" s="1" t="s">
        <v>70</v>
      </c>
      <c r="C1576" s="1">
        <v>2025</v>
      </c>
      <c r="D1576" s="1" t="s">
        <v>277</v>
      </c>
      <c r="E1576" s="6" t="s">
        <v>3575</v>
      </c>
      <c r="G1576" s="6" t="s">
        <v>3576</v>
      </c>
      <c r="H1576" s="1" t="s">
        <v>3577</v>
      </c>
    </row>
    <row r="1577" spans="1:8" x14ac:dyDescent="0.2">
      <c r="A1577" s="5">
        <v>46037.457945127317</v>
      </c>
      <c r="B1577" s="1" t="s">
        <v>70</v>
      </c>
      <c r="C1577" s="1">
        <v>2025</v>
      </c>
      <c r="D1577" s="1" t="s">
        <v>302</v>
      </c>
      <c r="E1577" s="6" t="s">
        <v>3578</v>
      </c>
      <c r="G1577" s="6" t="s">
        <v>3579</v>
      </c>
      <c r="H1577" s="1" t="s">
        <v>3580</v>
      </c>
    </row>
    <row r="1578" spans="1:8" x14ac:dyDescent="0.2">
      <c r="A1578" s="5">
        <v>46037.462930891204</v>
      </c>
      <c r="B1578" s="1" t="s">
        <v>70</v>
      </c>
      <c r="C1578" s="1">
        <v>2025</v>
      </c>
      <c r="D1578" s="1" t="s">
        <v>1866</v>
      </c>
      <c r="E1578" s="6" t="s">
        <v>3581</v>
      </c>
      <c r="G1578" s="6" t="s">
        <v>3582</v>
      </c>
      <c r="H1578" s="1" t="s">
        <v>3583</v>
      </c>
    </row>
    <row r="1579" spans="1:8" x14ac:dyDescent="0.2">
      <c r="A1579" s="5">
        <v>46037.58206857639</v>
      </c>
      <c r="B1579" s="1" t="s">
        <v>33</v>
      </c>
      <c r="C1579" s="1">
        <v>2025</v>
      </c>
      <c r="D1579" s="1" t="s">
        <v>139</v>
      </c>
      <c r="E1579" s="6" t="s">
        <v>3584</v>
      </c>
      <c r="G1579" s="6" t="s">
        <v>3585</v>
      </c>
      <c r="H1579" s="1" t="s">
        <v>3586</v>
      </c>
    </row>
    <row r="1580" spans="1:8" x14ac:dyDescent="0.2">
      <c r="A1580" s="5">
        <v>46037.582372569443</v>
      </c>
      <c r="B1580" s="1" t="s">
        <v>33</v>
      </c>
      <c r="C1580" s="1">
        <v>2025</v>
      </c>
      <c r="D1580" s="1" t="s">
        <v>166</v>
      </c>
      <c r="E1580" s="6" t="s">
        <v>3587</v>
      </c>
      <c r="G1580" s="6" t="s">
        <v>3588</v>
      </c>
      <c r="H1580" s="1" t="s">
        <v>3589</v>
      </c>
    </row>
    <row r="1581" spans="1:8" x14ac:dyDescent="0.2">
      <c r="A1581" s="5">
        <v>46037.583039432866</v>
      </c>
      <c r="B1581" s="1" t="s">
        <v>33</v>
      </c>
      <c r="C1581" s="1">
        <v>2025</v>
      </c>
      <c r="D1581" s="1" t="s">
        <v>196</v>
      </c>
      <c r="E1581" s="6" t="s">
        <v>3590</v>
      </c>
      <c r="G1581" s="6" t="s">
        <v>3591</v>
      </c>
      <c r="H1581" s="1" t="s">
        <v>3592</v>
      </c>
    </row>
    <row r="1582" spans="1:8" x14ac:dyDescent="0.2">
      <c r="A1582" s="5">
        <v>46037.583372395835</v>
      </c>
      <c r="B1582" s="1" t="s">
        <v>33</v>
      </c>
      <c r="C1582" s="1">
        <v>2025</v>
      </c>
      <c r="D1582" s="1" t="s">
        <v>228</v>
      </c>
      <c r="E1582" s="6" t="s">
        <v>3593</v>
      </c>
      <c r="G1582" s="6" t="s">
        <v>3594</v>
      </c>
      <c r="H1582" s="1" t="s">
        <v>3595</v>
      </c>
    </row>
    <row r="1583" spans="1:8" x14ac:dyDescent="0.2">
      <c r="A1583" s="5">
        <v>46037.583696793983</v>
      </c>
      <c r="B1583" s="1" t="s">
        <v>33</v>
      </c>
      <c r="C1583" s="1">
        <v>2025</v>
      </c>
      <c r="D1583" s="1" t="s">
        <v>255</v>
      </c>
      <c r="E1583" s="6" t="s">
        <v>3596</v>
      </c>
      <c r="G1583" s="6" t="s">
        <v>3597</v>
      </c>
      <c r="H1583" s="1" t="s">
        <v>3598</v>
      </c>
    </row>
    <row r="1584" spans="1:8" x14ac:dyDescent="0.2">
      <c r="A1584" s="5">
        <v>46037.584033252315</v>
      </c>
      <c r="B1584" s="1" t="s">
        <v>33</v>
      </c>
      <c r="C1584" s="1">
        <v>2025</v>
      </c>
      <c r="D1584" s="1" t="s">
        <v>277</v>
      </c>
      <c r="E1584" s="6" t="s">
        <v>3599</v>
      </c>
      <c r="G1584" s="6" t="s">
        <v>3600</v>
      </c>
      <c r="H1584" s="1" t="s">
        <v>3601</v>
      </c>
    </row>
    <row r="1585" spans="1:8" x14ac:dyDescent="0.2">
      <c r="A1585" s="5">
        <v>46037.584353530096</v>
      </c>
      <c r="B1585" s="1" t="s">
        <v>33</v>
      </c>
      <c r="C1585" s="1">
        <v>2025</v>
      </c>
      <c r="D1585" s="1" t="s">
        <v>302</v>
      </c>
      <c r="E1585" s="6" t="s">
        <v>3602</v>
      </c>
      <c r="G1585" s="6" t="s">
        <v>3603</v>
      </c>
      <c r="H1585" s="1" t="s">
        <v>3604</v>
      </c>
    </row>
    <row r="1586" spans="1:8" x14ac:dyDescent="0.2">
      <c r="A1586" s="5">
        <v>46037.590134733793</v>
      </c>
      <c r="B1586" s="1" t="s">
        <v>33</v>
      </c>
      <c r="C1586" s="1">
        <v>2025</v>
      </c>
      <c r="D1586" s="1" t="s">
        <v>2190</v>
      </c>
      <c r="E1586" s="6" t="s">
        <v>3605</v>
      </c>
      <c r="G1586" s="6" t="s">
        <v>3606</v>
      </c>
      <c r="H1586" s="1" t="s">
        <v>3607</v>
      </c>
    </row>
    <row r="1587" spans="1:8" x14ac:dyDescent="0.2">
      <c r="A1587" s="5">
        <v>46037.590488541668</v>
      </c>
      <c r="B1587" s="1" t="s">
        <v>33</v>
      </c>
      <c r="C1587" s="1">
        <v>2025</v>
      </c>
      <c r="D1587" s="1" t="s">
        <v>1866</v>
      </c>
      <c r="E1587" s="6" t="s">
        <v>3608</v>
      </c>
      <c r="G1587" s="6" t="s">
        <v>3609</v>
      </c>
      <c r="H1587" s="1" t="s">
        <v>3610</v>
      </c>
    </row>
    <row r="1588" spans="1:8" x14ac:dyDescent="0.2">
      <c r="A1588" s="5">
        <v>46037.591956192133</v>
      </c>
      <c r="B1588" s="1" t="s">
        <v>39</v>
      </c>
      <c r="C1588" s="1">
        <v>2025</v>
      </c>
      <c r="D1588" s="1" t="s">
        <v>2190</v>
      </c>
      <c r="E1588" s="6" t="s">
        <v>3611</v>
      </c>
      <c r="G1588" s="6" t="s">
        <v>3612</v>
      </c>
      <c r="H1588" s="1" t="s">
        <v>3613</v>
      </c>
    </row>
    <row r="1589" spans="1:8" x14ac:dyDescent="0.2">
      <c r="A1589" s="5">
        <v>46037.594541087965</v>
      </c>
      <c r="B1589" s="1" t="s">
        <v>39</v>
      </c>
      <c r="C1589" s="1">
        <v>2025</v>
      </c>
      <c r="D1589" s="1" t="s">
        <v>1866</v>
      </c>
      <c r="E1589" s="6" t="s">
        <v>3614</v>
      </c>
      <c r="G1589" s="6" t="s">
        <v>3615</v>
      </c>
      <c r="H1589" s="1" t="s">
        <v>3616</v>
      </c>
    </row>
    <row r="1590" spans="1:8" x14ac:dyDescent="0.2">
      <c r="A1590" s="5">
        <v>46037.594934131943</v>
      </c>
      <c r="B1590" s="1" t="s">
        <v>39</v>
      </c>
      <c r="C1590" s="1">
        <v>2025</v>
      </c>
      <c r="D1590" s="1" t="s">
        <v>2015</v>
      </c>
      <c r="E1590" s="6" t="s">
        <v>3617</v>
      </c>
      <c r="G1590" s="6" t="s">
        <v>3618</v>
      </c>
      <c r="H1590" s="1" t="s">
        <v>3619</v>
      </c>
    </row>
    <row r="1591" spans="1:8" x14ac:dyDescent="0.2">
      <c r="A1591" s="5">
        <v>46037.595332847224</v>
      </c>
      <c r="B1591" s="1" t="s">
        <v>33</v>
      </c>
      <c r="C1591" s="1">
        <v>2025</v>
      </c>
      <c r="D1591" s="1" t="s">
        <v>2015</v>
      </c>
      <c r="E1591" s="6" t="s">
        <v>3620</v>
      </c>
      <c r="G1591" s="6" t="s">
        <v>3621</v>
      </c>
      <c r="H1591" s="1" t="s">
        <v>3622</v>
      </c>
    </row>
    <row r="1592" spans="1:8" x14ac:dyDescent="0.2">
      <c r="A1592" s="5">
        <v>46037.59962601852</v>
      </c>
      <c r="B1592" s="1" t="s">
        <v>2953</v>
      </c>
      <c r="C1592" s="1">
        <v>2025</v>
      </c>
      <c r="D1592" s="1" t="s">
        <v>139</v>
      </c>
      <c r="E1592" s="6" t="s">
        <v>3623</v>
      </c>
      <c r="G1592" s="6" t="s">
        <v>3624</v>
      </c>
      <c r="H1592" s="1" t="s">
        <v>3625</v>
      </c>
    </row>
    <row r="1593" spans="1:8" x14ac:dyDescent="0.2">
      <c r="A1593" s="5">
        <v>46037.599960497682</v>
      </c>
      <c r="B1593" s="1" t="s">
        <v>2953</v>
      </c>
      <c r="C1593" s="1">
        <v>2025</v>
      </c>
      <c r="D1593" s="1" t="s">
        <v>166</v>
      </c>
      <c r="E1593" s="6" t="s">
        <v>3626</v>
      </c>
      <c r="G1593" s="6" t="s">
        <v>3627</v>
      </c>
      <c r="H1593" s="1" t="s">
        <v>3628</v>
      </c>
    </row>
    <row r="1594" spans="1:8" x14ac:dyDescent="0.2">
      <c r="A1594" s="5">
        <v>46037.601247627317</v>
      </c>
      <c r="B1594" s="1" t="s">
        <v>2953</v>
      </c>
      <c r="C1594" s="1">
        <v>2025</v>
      </c>
      <c r="D1594" s="1" t="s">
        <v>196</v>
      </c>
      <c r="E1594" s="6" t="s">
        <v>3629</v>
      </c>
      <c r="G1594" s="6" t="s">
        <v>3630</v>
      </c>
      <c r="H1594" s="1" t="s">
        <v>3631</v>
      </c>
    </row>
    <row r="1595" spans="1:8" x14ac:dyDescent="0.2">
      <c r="A1595" s="5">
        <v>46037.601761307873</v>
      </c>
      <c r="B1595" s="1" t="s">
        <v>2953</v>
      </c>
      <c r="C1595" s="1">
        <v>2025</v>
      </c>
      <c r="D1595" s="1" t="s">
        <v>228</v>
      </c>
      <c r="E1595" s="6" t="s">
        <v>3632</v>
      </c>
      <c r="G1595" s="6" t="s">
        <v>3633</v>
      </c>
      <c r="H1595" s="1" t="s">
        <v>3634</v>
      </c>
    </row>
    <row r="1596" spans="1:8" x14ac:dyDescent="0.2">
      <c r="A1596" s="5">
        <v>46037.602121643518</v>
      </c>
      <c r="B1596" s="1" t="s">
        <v>2953</v>
      </c>
      <c r="C1596" s="1">
        <v>2025</v>
      </c>
      <c r="D1596" s="1" t="s">
        <v>277</v>
      </c>
      <c r="E1596" s="6" t="s">
        <v>3635</v>
      </c>
      <c r="G1596" s="6" t="s">
        <v>3636</v>
      </c>
      <c r="H1596" s="1" t="s">
        <v>3637</v>
      </c>
    </row>
    <row r="1597" spans="1:8" x14ac:dyDescent="0.2">
      <c r="A1597" s="5">
        <v>46037.602431493055</v>
      </c>
      <c r="B1597" s="1" t="s">
        <v>2953</v>
      </c>
      <c r="C1597" s="1">
        <v>2025</v>
      </c>
      <c r="D1597" s="1" t="s">
        <v>302</v>
      </c>
      <c r="E1597" s="6" t="s">
        <v>3638</v>
      </c>
      <c r="G1597" s="6" t="s">
        <v>3639</v>
      </c>
      <c r="H1597" s="1" t="s">
        <v>3640</v>
      </c>
    </row>
    <row r="1598" spans="1:8" x14ac:dyDescent="0.2">
      <c r="A1598" s="5">
        <v>46037.622086284726</v>
      </c>
      <c r="B1598" s="1" t="s">
        <v>969</v>
      </c>
      <c r="C1598" s="1">
        <v>2025</v>
      </c>
      <c r="D1598" s="1" t="s">
        <v>302</v>
      </c>
      <c r="E1598" s="6" t="s">
        <v>3641</v>
      </c>
      <c r="G1598" s="6" t="s">
        <v>3642</v>
      </c>
      <c r="H1598" s="1" t="s">
        <v>3643</v>
      </c>
    </row>
    <row r="1599" spans="1:8" x14ac:dyDescent="0.2">
      <c r="A1599" s="5">
        <v>46037.622411944445</v>
      </c>
      <c r="B1599" s="1" t="s">
        <v>969</v>
      </c>
      <c r="C1599" s="1">
        <v>2025</v>
      </c>
      <c r="D1599" s="1" t="s">
        <v>277</v>
      </c>
      <c r="E1599" s="6" t="s">
        <v>3644</v>
      </c>
      <c r="G1599" s="6" t="s">
        <v>3645</v>
      </c>
      <c r="H1599" s="1" t="s">
        <v>3646</v>
      </c>
    </row>
    <row r="1600" spans="1:8" x14ac:dyDescent="0.2">
      <c r="A1600" s="5">
        <v>46037.622703090281</v>
      </c>
      <c r="B1600" s="1" t="s">
        <v>969</v>
      </c>
      <c r="C1600" s="1">
        <v>2025</v>
      </c>
      <c r="D1600" s="1" t="s">
        <v>255</v>
      </c>
      <c r="E1600" s="6" t="s">
        <v>3647</v>
      </c>
      <c r="G1600" s="6" t="s">
        <v>3648</v>
      </c>
      <c r="H1600" s="1" t="s">
        <v>3649</v>
      </c>
    </row>
    <row r="1601" spans="1:8" x14ac:dyDescent="0.2">
      <c r="A1601" s="5">
        <v>46037.623221122689</v>
      </c>
      <c r="B1601" s="1" t="s">
        <v>969</v>
      </c>
      <c r="C1601" s="1">
        <v>2025</v>
      </c>
      <c r="D1601" s="1" t="s">
        <v>1866</v>
      </c>
      <c r="E1601" s="6" t="s">
        <v>3650</v>
      </c>
      <c r="G1601" s="6" t="s">
        <v>3651</v>
      </c>
      <c r="H1601" s="1" t="s">
        <v>3652</v>
      </c>
    </row>
    <row r="1602" spans="1:8" x14ac:dyDescent="0.2">
      <c r="A1602" s="5">
        <v>46037.628842048609</v>
      </c>
      <c r="B1602" s="1" t="s">
        <v>45</v>
      </c>
      <c r="C1602" s="1">
        <v>2025</v>
      </c>
      <c r="D1602" s="1" t="s">
        <v>166</v>
      </c>
      <c r="E1602" s="6" t="s">
        <v>3653</v>
      </c>
      <c r="G1602" s="6" t="s">
        <v>3654</v>
      </c>
      <c r="H1602" s="1" t="s">
        <v>3655</v>
      </c>
    </row>
    <row r="1603" spans="1:8" x14ac:dyDescent="0.2">
      <c r="A1603" s="5">
        <v>46037.629147581014</v>
      </c>
      <c r="B1603" s="1" t="s">
        <v>3656</v>
      </c>
      <c r="C1603" s="1">
        <v>2025</v>
      </c>
      <c r="D1603" s="1" t="s">
        <v>139</v>
      </c>
      <c r="E1603" s="6" t="s">
        <v>3657</v>
      </c>
      <c r="G1603" s="6" t="s">
        <v>3658</v>
      </c>
      <c r="H1603" s="1" t="s">
        <v>3659</v>
      </c>
    </row>
    <row r="1604" spans="1:8" x14ac:dyDescent="0.2">
      <c r="A1604" s="5">
        <v>46037.62918635417</v>
      </c>
      <c r="B1604" s="1" t="s">
        <v>45</v>
      </c>
      <c r="C1604" s="1">
        <v>2025</v>
      </c>
      <c r="D1604" s="1" t="s">
        <v>196</v>
      </c>
      <c r="E1604" s="6" t="s">
        <v>3660</v>
      </c>
      <c r="G1604" s="6" t="s">
        <v>3661</v>
      </c>
      <c r="H1604" s="1" t="s">
        <v>3662</v>
      </c>
    </row>
    <row r="1605" spans="1:8" x14ac:dyDescent="0.2">
      <c r="A1605" s="5">
        <v>46037.629520856484</v>
      </c>
      <c r="B1605" s="1" t="s">
        <v>45</v>
      </c>
      <c r="C1605" s="1">
        <v>2025</v>
      </c>
      <c r="D1605" s="1" t="s">
        <v>255</v>
      </c>
      <c r="E1605" s="6" t="s">
        <v>3663</v>
      </c>
      <c r="G1605" s="6" t="s">
        <v>3664</v>
      </c>
      <c r="H1605" s="1" t="s">
        <v>3665</v>
      </c>
    </row>
    <row r="1606" spans="1:8" x14ac:dyDescent="0.2">
      <c r="A1606" s="5">
        <v>46037.629662465275</v>
      </c>
      <c r="B1606" s="1" t="s">
        <v>3656</v>
      </c>
      <c r="C1606" s="1">
        <v>2025</v>
      </c>
      <c r="D1606" s="1" t="s">
        <v>166</v>
      </c>
      <c r="E1606" s="6" t="s">
        <v>3666</v>
      </c>
      <c r="G1606" s="6" t="s">
        <v>3667</v>
      </c>
      <c r="H1606" s="1" t="s">
        <v>3668</v>
      </c>
    </row>
    <row r="1607" spans="1:8" x14ac:dyDescent="0.2">
      <c r="A1607" s="5">
        <v>46037.629844525465</v>
      </c>
      <c r="B1607" s="1" t="s">
        <v>45</v>
      </c>
      <c r="C1607" s="1">
        <v>2025</v>
      </c>
      <c r="D1607" s="1" t="s">
        <v>277</v>
      </c>
      <c r="E1607" s="6" t="s">
        <v>3669</v>
      </c>
      <c r="G1607" s="6" t="s">
        <v>3670</v>
      </c>
      <c r="H1607" s="1" t="s">
        <v>3671</v>
      </c>
    </row>
    <row r="1608" spans="1:8" x14ac:dyDescent="0.2">
      <c r="A1608" s="5">
        <v>46037.630159733795</v>
      </c>
      <c r="B1608" s="1" t="s">
        <v>45</v>
      </c>
      <c r="C1608" s="1">
        <v>2025</v>
      </c>
      <c r="D1608" s="1" t="s">
        <v>302</v>
      </c>
      <c r="E1608" s="6" t="s">
        <v>3672</v>
      </c>
      <c r="G1608" s="6" t="s">
        <v>3673</v>
      </c>
      <c r="H1608" s="1" t="s">
        <v>3674</v>
      </c>
    </row>
    <row r="1609" spans="1:8" x14ac:dyDescent="0.2">
      <c r="A1609" s="5">
        <v>46037.630329814812</v>
      </c>
      <c r="B1609" s="1" t="s">
        <v>3656</v>
      </c>
      <c r="C1609" s="1">
        <v>2025</v>
      </c>
      <c r="D1609" s="1" t="s">
        <v>196</v>
      </c>
      <c r="E1609" s="6" t="s">
        <v>3675</v>
      </c>
      <c r="G1609" s="6" t="s">
        <v>3676</v>
      </c>
      <c r="H1609" s="1" t="s">
        <v>3677</v>
      </c>
    </row>
    <row r="1610" spans="1:8" x14ac:dyDescent="0.2">
      <c r="A1610" s="5">
        <v>46037.630875543982</v>
      </c>
      <c r="B1610" s="1" t="s">
        <v>3656</v>
      </c>
      <c r="C1610" s="1">
        <v>2025</v>
      </c>
      <c r="D1610" s="1" t="s">
        <v>228</v>
      </c>
      <c r="E1610" s="6" t="s">
        <v>3678</v>
      </c>
      <c r="G1610" s="6" t="s">
        <v>3679</v>
      </c>
      <c r="H1610" s="1" t="s">
        <v>3680</v>
      </c>
    </row>
    <row r="1611" spans="1:8" x14ac:dyDescent="0.2">
      <c r="A1611" s="5">
        <v>46037.631465555554</v>
      </c>
      <c r="B1611" s="1" t="s">
        <v>3656</v>
      </c>
      <c r="C1611" s="1">
        <v>2025</v>
      </c>
      <c r="D1611" s="1" t="s">
        <v>255</v>
      </c>
      <c r="E1611" s="6" t="s">
        <v>3681</v>
      </c>
      <c r="G1611" s="6" t="s">
        <v>3682</v>
      </c>
      <c r="H1611" s="1" t="s">
        <v>3683</v>
      </c>
    </row>
    <row r="1612" spans="1:8" x14ac:dyDescent="0.2">
      <c r="A1612" s="5">
        <v>46037.632122650466</v>
      </c>
      <c r="B1612" s="1" t="s">
        <v>3656</v>
      </c>
      <c r="C1612" s="1">
        <v>2025</v>
      </c>
      <c r="D1612" s="1" t="s">
        <v>277</v>
      </c>
      <c r="E1612" s="6" t="s">
        <v>3684</v>
      </c>
      <c r="G1612" s="6" t="s">
        <v>3685</v>
      </c>
      <c r="H1612" s="1" t="s">
        <v>3686</v>
      </c>
    </row>
    <row r="1613" spans="1:8" x14ac:dyDescent="0.2">
      <c r="A1613" s="5">
        <v>46037.632773206016</v>
      </c>
      <c r="B1613" s="1" t="s">
        <v>3656</v>
      </c>
      <c r="C1613" s="1">
        <v>2025</v>
      </c>
      <c r="D1613" s="1" t="s">
        <v>302</v>
      </c>
      <c r="E1613" s="6" t="s">
        <v>3687</v>
      </c>
      <c r="G1613" s="6" t="s">
        <v>3688</v>
      </c>
      <c r="H1613" s="1" t="s">
        <v>3689</v>
      </c>
    </row>
    <row r="1614" spans="1:8" x14ac:dyDescent="0.2">
      <c r="A1614" s="5">
        <v>46037.647069282408</v>
      </c>
      <c r="B1614" s="1" t="s">
        <v>45</v>
      </c>
      <c r="C1614" s="1">
        <v>2025</v>
      </c>
      <c r="D1614" s="1" t="s">
        <v>2190</v>
      </c>
      <c r="E1614" s="6" t="s">
        <v>3690</v>
      </c>
      <c r="G1614" s="6" t="s">
        <v>3691</v>
      </c>
      <c r="H1614" s="1" t="s">
        <v>3692</v>
      </c>
    </row>
    <row r="1615" spans="1:8" x14ac:dyDescent="0.2">
      <c r="A1615" s="5">
        <v>46037.647854722221</v>
      </c>
      <c r="B1615" s="1" t="s">
        <v>45</v>
      </c>
      <c r="C1615" s="1">
        <v>2025</v>
      </c>
      <c r="D1615" s="1" t="s">
        <v>1866</v>
      </c>
      <c r="E1615" s="6" t="s">
        <v>3693</v>
      </c>
      <c r="G1615" s="6" t="s">
        <v>3694</v>
      </c>
      <c r="H1615" s="1" t="s">
        <v>3695</v>
      </c>
    </row>
    <row r="1616" spans="1:8" x14ac:dyDescent="0.2">
      <c r="A1616" s="5">
        <v>46037.648470092594</v>
      </c>
      <c r="B1616" s="1" t="s">
        <v>45</v>
      </c>
      <c r="C1616" s="1">
        <v>2025</v>
      </c>
      <c r="D1616" s="1" t="s">
        <v>2015</v>
      </c>
      <c r="E1616" s="6" t="s">
        <v>3696</v>
      </c>
      <c r="G1616" s="6" t="s">
        <v>3697</v>
      </c>
      <c r="H1616" s="1" t="s">
        <v>3698</v>
      </c>
    </row>
    <row r="1617" spans="1:8" x14ac:dyDescent="0.2">
      <c r="A1617" s="5">
        <v>46037.657758483794</v>
      </c>
      <c r="B1617" s="1" t="s">
        <v>3656</v>
      </c>
      <c r="C1617" s="1">
        <v>2025</v>
      </c>
      <c r="D1617" s="1" t="s">
        <v>2190</v>
      </c>
      <c r="E1617" s="6" t="s">
        <v>3699</v>
      </c>
      <c r="G1617" s="6" t="s">
        <v>3700</v>
      </c>
      <c r="H1617" s="1" t="s">
        <v>3701</v>
      </c>
    </row>
    <row r="1618" spans="1:8" x14ac:dyDescent="0.2">
      <c r="A1618" s="5">
        <v>46037.661082314815</v>
      </c>
      <c r="B1618" s="1" t="s">
        <v>451</v>
      </c>
      <c r="C1618" s="1">
        <v>2025</v>
      </c>
      <c r="D1618" s="1" t="s">
        <v>166</v>
      </c>
      <c r="E1618" s="6" t="s">
        <v>3702</v>
      </c>
      <c r="G1618" s="6" t="s">
        <v>3703</v>
      </c>
      <c r="H1618" s="1" t="s">
        <v>3704</v>
      </c>
    </row>
    <row r="1619" spans="1:8" x14ac:dyDescent="0.2">
      <c r="A1619" s="5">
        <v>46037.661524097217</v>
      </c>
      <c r="B1619" s="1" t="s">
        <v>451</v>
      </c>
      <c r="C1619" s="1">
        <v>2025</v>
      </c>
      <c r="D1619" s="1" t="s">
        <v>196</v>
      </c>
      <c r="E1619" s="6" t="s">
        <v>3705</v>
      </c>
      <c r="G1619" s="6" t="s">
        <v>3706</v>
      </c>
      <c r="H1619" s="1" t="s">
        <v>3707</v>
      </c>
    </row>
    <row r="1620" spans="1:8" x14ac:dyDescent="0.2">
      <c r="A1620" s="5">
        <v>46037.662022523145</v>
      </c>
      <c r="B1620" s="1" t="s">
        <v>451</v>
      </c>
      <c r="C1620" s="1">
        <v>2025</v>
      </c>
      <c r="D1620" s="1" t="s">
        <v>228</v>
      </c>
      <c r="E1620" s="6" t="s">
        <v>3708</v>
      </c>
      <c r="G1620" s="6" t="s">
        <v>3709</v>
      </c>
      <c r="H1620" s="1" t="s">
        <v>3710</v>
      </c>
    </row>
    <row r="1621" spans="1:8" x14ac:dyDescent="0.2">
      <c r="A1621" s="5">
        <v>46037.662493425931</v>
      </c>
      <c r="B1621" s="1" t="s">
        <v>451</v>
      </c>
      <c r="C1621" s="1">
        <v>2025</v>
      </c>
      <c r="D1621" s="1" t="s">
        <v>255</v>
      </c>
      <c r="E1621" s="6" t="s">
        <v>3711</v>
      </c>
      <c r="G1621" s="6" t="s">
        <v>3712</v>
      </c>
      <c r="H1621" s="1" t="s">
        <v>3713</v>
      </c>
    </row>
    <row r="1622" spans="1:8" x14ac:dyDescent="0.2">
      <c r="A1622" s="5">
        <v>46037.662967025462</v>
      </c>
      <c r="B1622" s="1" t="s">
        <v>451</v>
      </c>
      <c r="C1622" s="1">
        <v>2025</v>
      </c>
      <c r="D1622" s="1" t="s">
        <v>277</v>
      </c>
      <c r="E1622" s="6" t="s">
        <v>3714</v>
      </c>
      <c r="G1622" s="6" t="s">
        <v>3715</v>
      </c>
      <c r="H1622" s="1" t="s">
        <v>3716</v>
      </c>
    </row>
    <row r="1623" spans="1:8" x14ac:dyDescent="0.2">
      <c r="A1623" s="5">
        <v>46037.663443564816</v>
      </c>
      <c r="B1623" s="1" t="s">
        <v>451</v>
      </c>
      <c r="C1623" s="1">
        <v>2025</v>
      </c>
      <c r="D1623" s="1" t="s">
        <v>302</v>
      </c>
      <c r="E1623" s="6" t="s">
        <v>3717</v>
      </c>
      <c r="G1623" s="6" t="s">
        <v>3718</v>
      </c>
      <c r="H1623" s="1" t="s">
        <v>3719</v>
      </c>
    </row>
    <row r="1624" spans="1:8" x14ac:dyDescent="0.2">
      <c r="A1624" s="5">
        <v>46037.670501782406</v>
      </c>
      <c r="B1624" s="1" t="s">
        <v>3656</v>
      </c>
      <c r="C1624" s="1">
        <v>2025</v>
      </c>
      <c r="D1624" s="1" t="s">
        <v>1866</v>
      </c>
      <c r="E1624" s="6" t="s">
        <v>3720</v>
      </c>
      <c r="G1624" s="6" t="s">
        <v>3721</v>
      </c>
      <c r="H1624" s="1" t="s">
        <v>3722</v>
      </c>
    </row>
    <row r="1625" spans="1:8" x14ac:dyDescent="0.2">
      <c r="A1625" s="5">
        <v>46041.348080266209</v>
      </c>
      <c r="B1625" s="1" t="s">
        <v>22</v>
      </c>
      <c r="C1625" s="1">
        <v>2025</v>
      </c>
      <c r="D1625" s="1" t="s">
        <v>1866</v>
      </c>
      <c r="E1625" s="6" t="s">
        <v>3723</v>
      </c>
      <c r="F1625" s="7" t="str">
        <f>HYPERLINK("https://drive.google.com/open?id=1WAbmR1kP-K3GSrnpnC5igzsk9XdBZPD_","1 files moved")</f>
        <v>1 files moved</v>
      </c>
      <c r="G1625" s="6" t="s">
        <v>3724</v>
      </c>
      <c r="H1625" s="1" t="s">
        <v>3725</v>
      </c>
    </row>
    <row r="1626" spans="1:8" x14ac:dyDescent="0.2">
      <c r="A1626" s="5">
        <v>46041.372718935185</v>
      </c>
      <c r="B1626" s="1" t="s">
        <v>112</v>
      </c>
      <c r="C1626" s="1">
        <v>2025</v>
      </c>
      <c r="D1626" s="1" t="s">
        <v>139</v>
      </c>
      <c r="E1626" s="6" t="s">
        <v>3726</v>
      </c>
      <c r="F1626" s="7" t="str">
        <f t="shared" ref="F1626:F1628" si="79">HYPERLINK("https://drive.google.com/open?id=1bgfFevr_vWoS1TUMY9H3d79cj9SEs5AT","1 files moved")</f>
        <v>1 files moved</v>
      </c>
      <c r="G1626" s="6" t="s">
        <v>3727</v>
      </c>
      <c r="H1626" s="1" t="s">
        <v>3728</v>
      </c>
    </row>
    <row r="1627" spans="1:8" x14ac:dyDescent="0.2">
      <c r="A1627" s="5">
        <v>46041.372994131947</v>
      </c>
      <c r="B1627" s="1" t="s">
        <v>112</v>
      </c>
      <c r="C1627" s="1">
        <v>2025</v>
      </c>
      <c r="D1627" s="1" t="s">
        <v>166</v>
      </c>
      <c r="E1627" s="6" t="s">
        <v>3729</v>
      </c>
      <c r="F1627" s="7" t="str">
        <f t="shared" si="79"/>
        <v>1 files moved</v>
      </c>
      <c r="G1627" s="6" t="s">
        <v>3730</v>
      </c>
      <c r="H1627" s="1" t="s">
        <v>3731</v>
      </c>
    </row>
    <row r="1628" spans="1:8" x14ac:dyDescent="0.2">
      <c r="A1628" s="5">
        <v>46041.373269918986</v>
      </c>
      <c r="B1628" s="1" t="s">
        <v>112</v>
      </c>
      <c r="C1628" s="1">
        <v>2025</v>
      </c>
      <c r="D1628" s="1" t="s">
        <v>196</v>
      </c>
      <c r="E1628" s="6" t="s">
        <v>3732</v>
      </c>
      <c r="F1628" s="7" t="str">
        <f t="shared" si="79"/>
        <v>1 files moved</v>
      </c>
      <c r="G1628" s="6" t="s">
        <v>3733</v>
      </c>
      <c r="H1628" s="1" t="s">
        <v>3734</v>
      </c>
    </row>
    <row r="1629" spans="1:8" x14ac:dyDescent="0.2">
      <c r="A1629" s="5">
        <v>46041.373342662038</v>
      </c>
      <c r="B1629" s="1" t="s">
        <v>666</v>
      </c>
      <c r="C1629" s="1">
        <v>2025</v>
      </c>
      <c r="D1629" s="1" t="s">
        <v>255</v>
      </c>
      <c r="E1629" s="6" t="s">
        <v>3735</v>
      </c>
      <c r="F1629" s="7" t="str">
        <f>HYPERLINK("https://drive.google.com/open?id=1V9JxAml7o3RDV4BK_aYYG2UrIwxiEXjP","1 files moved")</f>
        <v>1 files moved</v>
      </c>
      <c r="G1629" s="6" t="s">
        <v>3736</v>
      </c>
      <c r="H1629" s="1" t="s">
        <v>3737</v>
      </c>
    </row>
    <row r="1630" spans="1:8" x14ac:dyDescent="0.2">
      <c r="A1630" s="5">
        <v>46041.37353138889</v>
      </c>
      <c r="B1630" s="1" t="s">
        <v>112</v>
      </c>
      <c r="C1630" s="1">
        <v>2025</v>
      </c>
      <c r="D1630" s="1" t="s">
        <v>228</v>
      </c>
      <c r="E1630" s="6" t="s">
        <v>3738</v>
      </c>
      <c r="F1630" s="7" t="str">
        <f>HYPERLINK("https://drive.google.com/open?id=1bgfFevr_vWoS1TUMY9H3d79cj9SEs5AT","1 files moved")</f>
        <v>1 files moved</v>
      </c>
      <c r="G1630" s="6" t="s">
        <v>3739</v>
      </c>
      <c r="H1630" s="1" t="s">
        <v>3740</v>
      </c>
    </row>
    <row r="1631" spans="1:8" x14ac:dyDescent="0.2">
      <c r="A1631" s="5">
        <v>46041.373628611109</v>
      </c>
      <c r="B1631" s="1" t="s">
        <v>666</v>
      </c>
      <c r="C1631" s="1">
        <v>2025</v>
      </c>
      <c r="D1631" s="1" t="s">
        <v>277</v>
      </c>
      <c r="E1631" s="6" t="s">
        <v>3741</v>
      </c>
      <c r="F1631" s="7" t="str">
        <f>HYPERLINK("https://drive.google.com/open?id=1V9JxAml7o3RDV4BK_aYYG2UrIwxiEXjP","1 files moved")</f>
        <v>1 files moved</v>
      </c>
      <c r="G1631" s="6" t="s">
        <v>3742</v>
      </c>
      <c r="H1631" s="1" t="s">
        <v>3743</v>
      </c>
    </row>
    <row r="1632" spans="1:8" x14ac:dyDescent="0.2">
      <c r="A1632" s="5">
        <v>46041.37382015046</v>
      </c>
      <c r="B1632" s="1" t="s">
        <v>112</v>
      </c>
      <c r="C1632" s="1">
        <v>2025</v>
      </c>
      <c r="D1632" s="1" t="s">
        <v>255</v>
      </c>
      <c r="E1632" s="6" t="s">
        <v>3744</v>
      </c>
      <c r="F1632" s="7" t="str">
        <f t="shared" ref="F1632:F1638" si="80">HYPERLINK("https://drive.google.com/open?id=1bgfFevr_vWoS1TUMY9H3d79cj9SEs5AT","1 files moved")</f>
        <v>1 files moved</v>
      </c>
      <c r="G1632" s="6" t="s">
        <v>3745</v>
      </c>
      <c r="H1632" s="1" t="s">
        <v>3746</v>
      </c>
    </row>
    <row r="1633" spans="1:8" x14ac:dyDescent="0.2">
      <c r="A1633" s="5">
        <v>46041.374079212968</v>
      </c>
      <c r="B1633" s="1" t="s">
        <v>112</v>
      </c>
      <c r="C1633" s="1">
        <v>2025</v>
      </c>
      <c r="D1633" s="1" t="s">
        <v>277</v>
      </c>
      <c r="E1633" s="6" t="s">
        <v>3747</v>
      </c>
      <c r="F1633" s="7" t="str">
        <f t="shared" si="80"/>
        <v>1 files moved</v>
      </c>
      <c r="G1633" s="6" t="s">
        <v>3748</v>
      </c>
      <c r="H1633" s="1" t="s">
        <v>3749</v>
      </c>
    </row>
    <row r="1634" spans="1:8" x14ac:dyDescent="0.2">
      <c r="A1634" s="5">
        <v>46041.374317557871</v>
      </c>
      <c r="B1634" s="1" t="s">
        <v>112</v>
      </c>
      <c r="C1634" s="1">
        <v>2025</v>
      </c>
      <c r="D1634" s="1" t="s">
        <v>302</v>
      </c>
      <c r="E1634" s="6" t="s">
        <v>3750</v>
      </c>
      <c r="F1634" s="7" t="str">
        <f t="shared" si="80"/>
        <v>1 files moved</v>
      </c>
      <c r="G1634" s="6" t="s">
        <v>3751</v>
      </c>
      <c r="H1634" s="1" t="s">
        <v>3752</v>
      </c>
    </row>
    <row r="1635" spans="1:8" x14ac:dyDescent="0.2">
      <c r="A1635" s="5">
        <v>46041.375462881944</v>
      </c>
      <c r="B1635" s="1" t="s">
        <v>112</v>
      </c>
      <c r="C1635" s="1">
        <v>2025</v>
      </c>
      <c r="D1635" s="1" t="s">
        <v>2190</v>
      </c>
      <c r="E1635" s="6" t="s">
        <v>3753</v>
      </c>
      <c r="F1635" s="7" t="str">
        <f t="shared" si="80"/>
        <v>1 files moved</v>
      </c>
      <c r="G1635" s="6" t="s">
        <v>3754</v>
      </c>
      <c r="H1635" s="1" t="s">
        <v>3755</v>
      </c>
    </row>
    <row r="1636" spans="1:8" x14ac:dyDescent="0.2">
      <c r="A1636" s="5">
        <v>46041.375743842596</v>
      </c>
      <c r="B1636" s="1" t="s">
        <v>112</v>
      </c>
      <c r="C1636" s="1">
        <v>2025</v>
      </c>
      <c r="D1636" s="1" t="s">
        <v>1866</v>
      </c>
      <c r="E1636" s="6" t="s">
        <v>3756</v>
      </c>
      <c r="F1636" s="7" t="str">
        <f t="shared" si="80"/>
        <v>1 files moved</v>
      </c>
      <c r="G1636" s="6" t="s">
        <v>3757</v>
      </c>
      <c r="H1636" s="1" t="s">
        <v>3758</v>
      </c>
    </row>
    <row r="1637" spans="1:8" x14ac:dyDescent="0.2">
      <c r="A1637" s="5">
        <v>46041.376029525461</v>
      </c>
      <c r="B1637" s="1" t="s">
        <v>112</v>
      </c>
      <c r="C1637" s="1">
        <v>2025</v>
      </c>
      <c r="D1637" s="1" t="s">
        <v>2015</v>
      </c>
      <c r="E1637" s="6" t="s">
        <v>3759</v>
      </c>
      <c r="F1637" s="7" t="str">
        <f t="shared" si="80"/>
        <v>1 files moved</v>
      </c>
      <c r="G1637" s="6" t="s">
        <v>3760</v>
      </c>
      <c r="H1637" s="1" t="s">
        <v>3761</v>
      </c>
    </row>
    <row r="1638" spans="1:8" x14ac:dyDescent="0.2">
      <c r="A1638" s="5">
        <v>46041.376384108793</v>
      </c>
      <c r="B1638" s="1" t="s">
        <v>112</v>
      </c>
      <c r="C1638" s="1">
        <v>2025</v>
      </c>
      <c r="D1638" s="1" t="s">
        <v>2197</v>
      </c>
      <c r="E1638" s="6" t="s">
        <v>3762</v>
      </c>
      <c r="F1638" s="7" t="str">
        <f t="shared" si="80"/>
        <v>1 files moved</v>
      </c>
      <c r="G1638" s="6" t="s">
        <v>3763</v>
      </c>
      <c r="H1638" s="1" t="s">
        <v>3764</v>
      </c>
    </row>
    <row r="1639" spans="1:8" x14ac:dyDescent="0.2">
      <c r="A1639" s="5">
        <v>46041.391655694446</v>
      </c>
      <c r="B1639" s="1" t="s">
        <v>348</v>
      </c>
      <c r="C1639" s="1">
        <v>2025</v>
      </c>
      <c r="D1639" s="1" t="s">
        <v>139</v>
      </c>
      <c r="E1639" s="6" t="s">
        <v>3765</v>
      </c>
      <c r="F1639" s="7" t="str">
        <f t="shared" ref="F1639:F1645" si="81">HYPERLINK("https://drive.google.com/open?id=17WOaAXl5jFgeySypAmjW1SMD0z4Hcu1k","1 files moved")</f>
        <v>1 files moved</v>
      </c>
      <c r="G1639" s="6" t="s">
        <v>3766</v>
      </c>
      <c r="H1639" s="1" t="s">
        <v>3767</v>
      </c>
    </row>
    <row r="1640" spans="1:8" x14ac:dyDescent="0.2">
      <c r="A1640" s="5">
        <v>46041.393768668982</v>
      </c>
      <c r="B1640" s="1" t="s">
        <v>348</v>
      </c>
      <c r="C1640" s="1">
        <v>2025</v>
      </c>
      <c r="D1640" s="1" t="s">
        <v>166</v>
      </c>
      <c r="E1640" s="6" t="s">
        <v>3768</v>
      </c>
      <c r="F1640" s="7" t="str">
        <f t="shared" si="81"/>
        <v>1 files moved</v>
      </c>
      <c r="G1640" s="6" t="s">
        <v>3769</v>
      </c>
      <c r="H1640" s="1" t="s">
        <v>3770</v>
      </c>
    </row>
    <row r="1641" spans="1:8" x14ac:dyDescent="0.2">
      <c r="A1641" s="5">
        <v>46041.394521111113</v>
      </c>
      <c r="B1641" s="1" t="s">
        <v>348</v>
      </c>
      <c r="C1641" s="1">
        <v>2025</v>
      </c>
      <c r="D1641" s="1" t="s">
        <v>196</v>
      </c>
      <c r="E1641" s="6" t="s">
        <v>3771</v>
      </c>
      <c r="F1641" s="7" t="str">
        <f t="shared" si="81"/>
        <v>1 files moved</v>
      </c>
      <c r="G1641" s="6" t="s">
        <v>3772</v>
      </c>
      <c r="H1641" s="1" t="s">
        <v>3773</v>
      </c>
    </row>
    <row r="1642" spans="1:8" x14ac:dyDescent="0.2">
      <c r="A1642" s="5">
        <v>46041.394870219912</v>
      </c>
      <c r="B1642" s="1" t="s">
        <v>348</v>
      </c>
      <c r="C1642" s="1">
        <v>2025</v>
      </c>
      <c r="D1642" s="1" t="s">
        <v>228</v>
      </c>
      <c r="E1642" s="6" t="s">
        <v>3774</v>
      </c>
      <c r="F1642" s="7" t="str">
        <f t="shared" si="81"/>
        <v>1 files moved</v>
      </c>
      <c r="G1642" s="6" t="s">
        <v>3775</v>
      </c>
      <c r="H1642" s="1" t="s">
        <v>3776</v>
      </c>
    </row>
    <row r="1643" spans="1:8" x14ac:dyDescent="0.2">
      <c r="A1643" s="5">
        <v>46041.395480196763</v>
      </c>
      <c r="B1643" s="1" t="s">
        <v>348</v>
      </c>
      <c r="C1643" s="1">
        <v>2025</v>
      </c>
      <c r="D1643" s="1" t="s">
        <v>255</v>
      </c>
      <c r="E1643" s="6" t="s">
        <v>3777</v>
      </c>
      <c r="F1643" s="7" t="str">
        <f t="shared" si="81"/>
        <v>1 files moved</v>
      </c>
      <c r="G1643" s="6" t="s">
        <v>3778</v>
      </c>
      <c r="H1643" s="1" t="s">
        <v>3779</v>
      </c>
    </row>
    <row r="1644" spans="1:8" x14ac:dyDescent="0.2">
      <c r="A1644" s="5">
        <v>46041.395875034723</v>
      </c>
      <c r="B1644" s="1" t="s">
        <v>348</v>
      </c>
      <c r="C1644" s="1">
        <v>2025</v>
      </c>
      <c r="D1644" s="1" t="s">
        <v>277</v>
      </c>
      <c r="E1644" s="6" t="s">
        <v>3780</v>
      </c>
      <c r="F1644" s="7" t="str">
        <f t="shared" si="81"/>
        <v>1 files moved</v>
      </c>
      <c r="G1644" s="6" t="s">
        <v>3781</v>
      </c>
      <c r="H1644" s="1" t="s">
        <v>3782</v>
      </c>
    </row>
    <row r="1645" spans="1:8" x14ac:dyDescent="0.2">
      <c r="A1645" s="5">
        <v>46041.396319560183</v>
      </c>
      <c r="B1645" s="1" t="s">
        <v>348</v>
      </c>
      <c r="C1645" s="1">
        <v>2025</v>
      </c>
      <c r="D1645" s="1" t="s">
        <v>302</v>
      </c>
      <c r="E1645" s="6" t="s">
        <v>3783</v>
      </c>
      <c r="F1645" s="7" t="str">
        <f t="shared" si="81"/>
        <v>1 files moved</v>
      </c>
      <c r="G1645" s="6" t="s">
        <v>3784</v>
      </c>
      <c r="H1645" s="1" t="s">
        <v>3785</v>
      </c>
    </row>
    <row r="1646" spans="1:8" x14ac:dyDescent="0.2">
      <c r="A1646" s="5">
        <v>46041.41561527778</v>
      </c>
      <c r="B1646" s="1" t="s">
        <v>62</v>
      </c>
      <c r="C1646" s="1">
        <v>2025</v>
      </c>
      <c r="D1646" s="1" t="s">
        <v>166</v>
      </c>
      <c r="E1646" s="6" t="s">
        <v>3786</v>
      </c>
      <c r="F1646" s="7" t="str">
        <f t="shared" ref="F1646:F1649" si="82">HYPERLINK("https://drive.google.com/open?id=1CSWuwAcjfOUkpFz17anJSHXpLD9oH9ta","1 files moved")</f>
        <v>1 files moved</v>
      </c>
      <c r="G1646" s="6" t="s">
        <v>3787</v>
      </c>
      <c r="H1646" s="1" t="s">
        <v>3788</v>
      </c>
    </row>
    <row r="1647" spans="1:8" x14ac:dyDescent="0.2">
      <c r="A1647" s="5">
        <v>46041.416420254631</v>
      </c>
      <c r="B1647" s="1" t="s">
        <v>62</v>
      </c>
      <c r="C1647" s="1">
        <v>2025</v>
      </c>
      <c r="D1647" s="1" t="s">
        <v>196</v>
      </c>
      <c r="E1647" s="6" t="s">
        <v>3789</v>
      </c>
      <c r="F1647" s="7" t="str">
        <f t="shared" si="82"/>
        <v>1 files moved</v>
      </c>
      <c r="G1647" s="6" t="s">
        <v>3790</v>
      </c>
      <c r="H1647" s="1" t="s">
        <v>3791</v>
      </c>
    </row>
    <row r="1648" spans="1:8" x14ac:dyDescent="0.2">
      <c r="A1648" s="5">
        <v>46041.417042314817</v>
      </c>
      <c r="B1648" s="1" t="s">
        <v>62</v>
      </c>
      <c r="C1648" s="1">
        <v>2025</v>
      </c>
      <c r="D1648" s="1" t="s">
        <v>228</v>
      </c>
      <c r="E1648" s="6" t="s">
        <v>3792</v>
      </c>
      <c r="F1648" s="7" t="str">
        <f t="shared" si="82"/>
        <v>1 files moved</v>
      </c>
      <c r="G1648" s="6" t="s">
        <v>3793</v>
      </c>
      <c r="H1648" s="1" t="s">
        <v>3794</v>
      </c>
    </row>
    <row r="1649" spans="1:8" x14ac:dyDescent="0.2">
      <c r="A1649" s="5">
        <v>46041.417569594909</v>
      </c>
      <c r="B1649" s="1" t="s">
        <v>62</v>
      </c>
      <c r="C1649" s="1">
        <v>2025</v>
      </c>
      <c r="D1649" s="1" t="s">
        <v>255</v>
      </c>
      <c r="E1649" s="6" t="s">
        <v>3795</v>
      </c>
      <c r="F1649" s="7" t="str">
        <f t="shared" si="82"/>
        <v>1 files moved</v>
      </c>
      <c r="G1649" s="6" t="s">
        <v>3796</v>
      </c>
      <c r="H1649" s="1" t="s">
        <v>3797</v>
      </c>
    </row>
    <row r="1650" spans="1:8" x14ac:dyDescent="0.2">
      <c r="A1650" s="5">
        <v>46041.41811381944</v>
      </c>
      <c r="B1650" s="1" t="s">
        <v>62</v>
      </c>
      <c r="C1650" s="1">
        <v>2025</v>
      </c>
      <c r="D1650" s="1" t="s">
        <v>277</v>
      </c>
      <c r="E1650" s="6" t="s">
        <v>3798</v>
      </c>
      <c r="G1650" s="6" t="s">
        <v>3799</v>
      </c>
      <c r="H1650" s="1" t="s">
        <v>3800</v>
      </c>
    </row>
    <row r="1651" spans="1:8" x14ac:dyDescent="0.2">
      <c r="A1651" s="5">
        <v>46041.418806921298</v>
      </c>
      <c r="B1651" s="1" t="s">
        <v>62</v>
      </c>
      <c r="C1651" s="1">
        <v>2025</v>
      </c>
      <c r="D1651" s="1" t="s">
        <v>277</v>
      </c>
      <c r="E1651" s="6" t="s">
        <v>3801</v>
      </c>
      <c r="G1651" s="6" t="s">
        <v>3802</v>
      </c>
      <c r="H1651" s="1" t="s">
        <v>3803</v>
      </c>
    </row>
    <row r="1652" spans="1:8" x14ac:dyDescent="0.2">
      <c r="A1652" s="5">
        <v>46041.419343726855</v>
      </c>
      <c r="B1652" s="1" t="s">
        <v>62</v>
      </c>
      <c r="C1652" s="1">
        <v>2025</v>
      </c>
      <c r="D1652" s="1" t="s">
        <v>302</v>
      </c>
      <c r="E1652" s="6" t="s">
        <v>3804</v>
      </c>
      <c r="G1652" s="6" t="s">
        <v>3805</v>
      </c>
      <c r="H1652" s="1" t="s">
        <v>3806</v>
      </c>
    </row>
    <row r="1653" spans="1:8" x14ac:dyDescent="0.2">
      <c r="A1653" s="5">
        <v>46041.434545405093</v>
      </c>
      <c r="B1653" s="1" t="s">
        <v>53</v>
      </c>
      <c r="C1653" s="1">
        <v>2025</v>
      </c>
      <c r="D1653" s="1" t="s">
        <v>110</v>
      </c>
      <c r="E1653" s="6" t="s">
        <v>3807</v>
      </c>
      <c r="G1653" s="6" t="s">
        <v>3808</v>
      </c>
      <c r="H1653" s="1" t="s">
        <v>3809</v>
      </c>
    </row>
    <row r="1654" spans="1:8" x14ac:dyDescent="0.2">
      <c r="A1654" s="5">
        <v>46041.434887083335</v>
      </c>
      <c r="B1654" s="1" t="s">
        <v>53</v>
      </c>
      <c r="C1654" s="1">
        <v>2025</v>
      </c>
      <c r="D1654" s="1" t="s">
        <v>255</v>
      </c>
      <c r="E1654" s="6" t="s">
        <v>3810</v>
      </c>
      <c r="G1654" s="6" t="s">
        <v>3811</v>
      </c>
      <c r="H1654" s="1" t="s">
        <v>3812</v>
      </c>
    </row>
    <row r="1655" spans="1:8" x14ac:dyDescent="0.2">
      <c r="A1655" s="5">
        <v>46041.435160763889</v>
      </c>
      <c r="B1655" s="1" t="s">
        <v>53</v>
      </c>
      <c r="C1655" s="1">
        <v>2025</v>
      </c>
      <c r="D1655" s="1" t="s">
        <v>277</v>
      </c>
      <c r="E1655" s="6" t="s">
        <v>3813</v>
      </c>
      <c r="G1655" s="6" t="s">
        <v>3814</v>
      </c>
      <c r="H1655" s="1" t="s">
        <v>3815</v>
      </c>
    </row>
    <row r="1656" spans="1:8" x14ac:dyDescent="0.2">
      <c r="A1656" s="5">
        <v>46041.435508356481</v>
      </c>
      <c r="B1656" s="1" t="s">
        <v>53</v>
      </c>
      <c r="C1656" s="1">
        <v>2025</v>
      </c>
      <c r="D1656" s="1" t="s">
        <v>302</v>
      </c>
      <c r="E1656" s="6" t="s">
        <v>3816</v>
      </c>
      <c r="G1656" s="6" t="s">
        <v>3817</v>
      </c>
      <c r="H1656" s="1" t="s">
        <v>3818</v>
      </c>
    </row>
    <row r="1657" spans="1:8" x14ac:dyDescent="0.2">
      <c r="A1657" s="5">
        <v>46041.445687939813</v>
      </c>
      <c r="B1657" s="1" t="s">
        <v>47</v>
      </c>
      <c r="C1657" s="1">
        <v>2025</v>
      </c>
      <c r="D1657" s="1" t="s">
        <v>302</v>
      </c>
      <c r="E1657" s="6" t="s">
        <v>3819</v>
      </c>
      <c r="G1657" s="6" t="s">
        <v>3820</v>
      </c>
      <c r="H1657" s="1" t="s">
        <v>3821</v>
      </c>
    </row>
    <row r="1658" spans="1:8" x14ac:dyDescent="0.2">
      <c r="A1658" s="5">
        <v>46041.44677894676</v>
      </c>
      <c r="B1658" s="1" t="s">
        <v>47</v>
      </c>
      <c r="C1658" s="1">
        <v>2025</v>
      </c>
      <c r="D1658" s="1" t="s">
        <v>277</v>
      </c>
      <c r="E1658" s="6" t="s">
        <v>3822</v>
      </c>
      <c r="G1658" s="6" t="s">
        <v>3823</v>
      </c>
      <c r="H1658" s="1" t="s">
        <v>3824</v>
      </c>
    </row>
    <row r="1659" spans="1:8" x14ac:dyDescent="0.2">
      <c r="A1659" s="5">
        <v>46041.447944166663</v>
      </c>
      <c r="B1659" s="1" t="s">
        <v>47</v>
      </c>
      <c r="C1659" s="1">
        <v>2025</v>
      </c>
      <c r="D1659" s="1" t="s">
        <v>255</v>
      </c>
      <c r="E1659" s="6" t="s">
        <v>3825</v>
      </c>
      <c r="G1659" s="6" t="s">
        <v>3826</v>
      </c>
      <c r="H1659" s="1" t="s">
        <v>3827</v>
      </c>
    </row>
    <row r="1660" spans="1:8" x14ac:dyDescent="0.2">
      <c r="A1660" s="5">
        <v>46041.449553090279</v>
      </c>
      <c r="B1660" s="1" t="s">
        <v>47</v>
      </c>
      <c r="C1660" s="1">
        <v>2025</v>
      </c>
      <c r="D1660" s="1" t="s">
        <v>228</v>
      </c>
      <c r="E1660" s="6" t="s">
        <v>3828</v>
      </c>
      <c r="G1660" s="6" t="s">
        <v>3829</v>
      </c>
      <c r="H1660" s="1" t="s">
        <v>3830</v>
      </c>
    </row>
    <row r="1661" spans="1:8" x14ac:dyDescent="0.2">
      <c r="A1661" s="5">
        <v>46041.450626111109</v>
      </c>
      <c r="B1661" s="1" t="s">
        <v>47</v>
      </c>
      <c r="C1661" s="1">
        <v>2025</v>
      </c>
      <c r="D1661" s="1" t="s">
        <v>166</v>
      </c>
      <c r="E1661" s="6" t="s">
        <v>3831</v>
      </c>
      <c r="G1661" s="6" t="s">
        <v>3832</v>
      </c>
      <c r="H1661" s="1" t="s">
        <v>3833</v>
      </c>
    </row>
    <row r="1662" spans="1:8" x14ac:dyDescent="0.2">
      <c r="A1662" s="5">
        <v>46041.452211875003</v>
      </c>
      <c r="B1662" s="1" t="s">
        <v>1873</v>
      </c>
      <c r="C1662" s="1">
        <v>2025</v>
      </c>
      <c r="D1662" s="1" t="s">
        <v>110</v>
      </c>
      <c r="E1662" s="6" t="s">
        <v>3834</v>
      </c>
      <c r="G1662" s="6" t="s">
        <v>3835</v>
      </c>
      <c r="H1662" s="1" t="s">
        <v>3836</v>
      </c>
    </row>
    <row r="1663" spans="1:8" x14ac:dyDescent="0.2">
      <c r="A1663" s="5">
        <v>46041.452422858798</v>
      </c>
      <c r="B1663" s="1" t="s">
        <v>47</v>
      </c>
      <c r="C1663" s="1">
        <v>2025</v>
      </c>
      <c r="D1663" s="1" t="s">
        <v>139</v>
      </c>
      <c r="E1663" s="6" t="s">
        <v>3837</v>
      </c>
      <c r="G1663" s="6" t="s">
        <v>3838</v>
      </c>
      <c r="H1663" s="1" t="s">
        <v>3839</v>
      </c>
    </row>
    <row r="1664" spans="1:8" x14ac:dyDescent="0.2">
      <c r="A1664" s="5">
        <v>46041.452512164353</v>
      </c>
      <c r="B1664" s="1" t="s">
        <v>1873</v>
      </c>
      <c r="C1664" s="1">
        <v>2025</v>
      </c>
      <c r="D1664" s="1" t="s">
        <v>139</v>
      </c>
      <c r="E1664" s="6" t="s">
        <v>3840</v>
      </c>
      <c r="G1664" s="6" t="s">
        <v>3841</v>
      </c>
      <c r="H1664" s="1" t="s">
        <v>3842</v>
      </c>
    </row>
    <row r="1665" spans="1:8" x14ac:dyDescent="0.2">
      <c r="A1665" s="5">
        <v>46041.452801921296</v>
      </c>
      <c r="B1665" s="1" t="s">
        <v>1873</v>
      </c>
      <c r="C1665" s="1">
        <v>2025</v>
      </c>
      <c r="D1665" s="1" t="s">
        <v>166</v>
      </c>
      <c r="E1665" s="6" t="s">
        <v>3843</v>
      </c>
      <c r="G1665" s="6" t="s">
        <v>3844</v>
      </c>
      <c r="H1665" s="1" t="s">
        <v>3845</v>
      </c>
    </row>
    <row r="1666" spans="1:8" x14ac:dyDescent="0.2">
      <c r="A1666" s="5">
        <v>46041.453097418984</v>
      </c>
      <c r="B1666" s="1" t="s">
        <v>1873</v>
      </c>
      <c r="C1666" s="1">
        <v>2025</v>
      </c>
      <c r="D1666" s="1" t="s">
        <v>196</v>
      </c>
      <c r="E1666" s="6" t="s">
        <v>3846</v>
      </c>
      <c r="G1666" s="6" t="s">
        <v>3847</v>
      </c>
      <c r="H1666" s="1" t="s">
        <v>3848</v>
      </c>
    </row>
    <row r="1667" spans="1:8" x14ac:dyDescent="0.2">
      <c r="A1667" s="5">
        <v>46041.453494398149</v>
      </c>
      <c r="B1667" s="1" t="s">
        <v>1873</v>
      </c>
      <c r="C1667" s="1">
        <v>2025</v>
      </c>
      <c r="D1667" s="1" t="s">
        <v>228</v>
      </c>
      <c r="E1667" s="6" t="s">
        <v>3849</v>
      </c>
      <c r="G1667" s="6" t="s">
        <v>3850</v>
      </c>
      <c r="H1667" s="1" t="s">
        <v>3851</v>
      </c>
    </row>
    <row r="1668" spans="1:8" x14ac:dyDescent="0.2">
      <c r="A1668" s="5">
        <v>46041.453768831023</v>
      </c>
      <c r="B1668" s="1" t="s">
        <v>1873</v>
      </c>
      <c r="C1668" s="1">
        <v>2025</v>
      </c>
      <c r="D1668" s="1" t="s">
        <v>255</v>
      </c>
      <c r="E1668" s="6" t="s">
        <v>3852</v>
      </c>
      <c r="G1668" s="6" t="s">
        <v>3853</v>
      </c>
      <c r="H1668" s="1" t="s">
        <v>3854</v>
      </c>
    </row>
    <row r="1669" spans="1:8" x14ac:dyDescent="0.2">
      <c r="A1669" s="5">
        <v>46041.454212372686</v>
      </c>
      <c r="B1669" s="1" t="s">
        <v>1873</v>
      </c>
      <c r="C1669" s="1">
        <v>2025</v>
      </c>
      <c r="D1669" s="1" t="s">
        <v>277</v>
      </c>
      <c r="E1669" s="6" t="s">
        <v>3855</v>
      </c>
      <c r="G1669" s="6" t="s">
        <v>3856</v>
      </c>
      <c r="H1669" s="1" t="s">
        <v>3857</v>
      </c>
    </row>
    <row r="1670" spans="1:8" x14ac:dyDescent="0.2">
      <c r="A1670" s="5">
        <v>46041.454499988424</v>
      </c>
      <c r="B1670" s="1" t="s">
        <v>1873</v>
      </c>
      <c r="C1670" s="1">
        <v>2025</v>
      </c>
      <c r="D1670" s="1" t="s">
        <v>302</v>
      </c>
      <c r="E1670" s="6" t="s">
        <v>3858</v>
      </c>
      <c r="G1670" s="6" t="s">
        <v>3859</v>
      </c>
      <c r="H1670" s="1" t="s">
        <v>3860</v>
      </c>
    </row>
    <row r="1671" spans="1:8" x14ac:dyDescent="0.2">
      <c r="A1671" s="5">
        <v>46041.486934965273</v>
      </c>
      <c r="B1671" s="1" t="s">
        <v>397</v>
      </c>
      <c r="C1671" s="1">
        <v>2025</v>
      </c>
      <c r="D1671" s="1" t="s">
        <v>110</v>
      </c>
      <c r="E1671" s="6" t="s">
        <v>3861</v>
      </c>
      <c r="G1671" s="6" t="s">
        <v>3862</v>
      </c>
      <c r="H1671" s="1" t="s">
        <v>3863</v>
      </c>
    </row>
    <row r="1672" spans="1:8" x14ac:dyDescent="0.2">
      <c r="A1672" s="5">
        <v>46041.487362395834</v>
      </c>
      <c r="B1672" s="1" t="s">
        <v>397</v>
      </c>
      <c r="C1672" s="1">
        <v>2025</v>
      </c>
      <c r="D1672" s="1" t="s">
        <v>139</v>
      </c>
      <c r="E1672" s="6" t="s">
        <v>3864</v>
      </c>
      <c r="G1672" s="6" t="s">
        <v>3865</v>
      </c>
      <c r="H1672" s="1" t="s">
        <v>3866</v>
      </c>
    </row>
    <row r="1673" spans="1:8" x14ac:dyDescent="0.2">
      <c r="A1673" s="5">
        <v>46041.487762175922</v>
      </c>
      <c r="B1673" s="1" t="s">
        <v>397</v>
      </c>
      <c r="C1673" s="1">
        <v>2025</v>
      </c>
      <c r="D1673" s="1" t="s">
        <v>166</v>
      </c>
      <c r="E1673" s="6" t="s">
        <v>3867</v>
      </c>
      <c r="G1673" s="6" t="s">
        <v>3868</v>
      </c>
      <c r="H1673" s="1" t="s">
        <v>3869</v>
      </c>
    </row>
    <row r="1674" spans="1:8" x14ac:dyDescent="0.2">
      <c r="A1674" s="5">
        <v>46041.488184490736</v>
      </c>
      <c r="B1674" s="1" t="s">
        <v>397</v>
      </c>
      <c r="C1674" s="1">
        <v>2025</v>
      </c>
      <c r="D1674" s="1" t="s">
        <v>277</v>
      </c>
      <c r="E1674" s="6" t="s">
        <v>3870</v>
      </c>
      <c r="G1674" s="6" t="s">
        <v>3871</v>
      </c>
      <c r="H1674" s="1" t="s">
        <v>3872</v>
      </c>
    </row>
    <row r="1675" spans="1:8" x14ac:dyDescent="0.2">
      <c r="A1675" s="5">
        <v>46041.552053368054</v>
      </c>
      <c r="B1675" s="1" t="s">
        <v>3873</v>
      </c>
      <c r="C1675" s="1">
        <v>2025</v>
      </c>
      <c r="D1675" s="1" t="s">
        <v>302</v>
      </c>
      <c r="E1675" s="6" t="s">
        <v>3874</v>
      </c>
      <c r="G1675" s="6" t="s">
        <v>3875</v>
      </c>
      <c r="H1675" s="1" t="s">
        <v>3876</v>
      </c>
    </row>
    <row r="1676" spans="1:8" x14ac:dyDescent="0.2">
      <c r="A1676" s="5">
        <v>46041.559316226849</v>
      </c>
      <c r="B1676" s="1" t="s">
        <v>3873</v>
      </c>
      <c r="C1676" s="1">
        <v>2025</v>
      </c>
      <c r="D1676" s="1" t="s">
        <v>2197</v>
      </c>
      <c r="E1676" s="6" t="s">
        <v>3877</v>
      </c>
      <c r="G1676" s="6" t="s">
        <v>3878</v>
      </c>
      <c r="H1676" s="1" t="s">
        <v>3879</v>
      </c>
    </row>
    <row r="1677" spans="1:8" x14ac:dyDescent="0.2">
      <c r="A1677" s="5">
        <v>46041.565495763891</v>
      </c>
      <c r="B1677" s="1" t="s">
        <v>451</v>
      </c>
      <c r="C1677" s="1">
        <v>2025</v>
      </c>
      <c r="D1677" s="1" t="s">
        <v>139</v>
      </c>
      <c r="E1677" s="6" t="s">
        <v>3880</v>
      </c>
      <c r="G1677" s="6" t="s">
        <v>3881</v>
      </c>
      <c r="H1677" s="1" t="s">
        <v>3882</v>
      </c>
    </row>
    <row r="1678" spans="1:8" x14ac:dyDescent="0.2">
      <c r="A1678" s="5">
        <v>46041.673635729167</v>
      </c>
      <c r="B1678" s="1" t="s">
        <v>2865</v>
      </c>
      <c r="C1678" s="1">
        <v>2025</v>
      </c>
      <c r="D1678" s="1" t="s">
        <v>139</v>
      </c>
      <c r="E1678" s="6" t="s">
        <v>3883</v>
      </c>
      <c r="G1678" s="6" t="s">
        <v>3884</v>
      </c>
      <c r="H1678" s="1" t="s">
        <v>3885</v>
      </c>
    </row>
    <row r="1679" spans="1:8" x14ac:dyDescent="0.2">
      <c r="A1679" s="5">
        <v>46041.67397625</v>
      </c>
      <c r="B1679" s="1" t="s">
        <v>2865</v>
      </c>
      <c r="C1679" s="1">
        <v>2025</v>
      </c>
      <c r="D1679" s="1" t="s">
        <v>166</v>
      </c>
      <c r="E1679" s="6" t="s">
        <v>3886</v>
      </c>
      <c r="G1679" s="6" t="s">
        <v>3887</v>
      </c>
      <c r="H1679" s="1" t="s">
        <v>3888</v>
      </c>
    </row>
    <row r="1680" spans="1:8" x14ac:dyDescent="0.2">
      <c r="A1680" s="5">
        <v>46041.674295844903</v>
      </c>
      <c r="B1680" s="1" t="s">
        <v>2865</v>
      </c>
      <c r="C1680" s="1">
        <v>2025</v>
      </c>
      <c r="D1680" s="1" t="s">
        <v>196</v>
      </c>
      <c r="E1680" s="6" t="s">
        <v>3889</v>
      </c>
      <c r="G1680" s="6" t="s">
        <v>3890</v>
      </c>
      <c r="H1680" s="1" t="s">
        <v>3891</v>
      </c>
    </row>
    <row r="1681" spans="1:8" x14ac:dyDescent="0.2">
      <c r="A1681" s="5">
        <v>46041.674832060184</v>
      </c>
      <c r="B1681" s="1" t="s">
        <v>2865</v>
      </c>
      <c r="C1681" s="1">
        <v>2025</v>
      </c>
      <c r="D1681" s="1" t="s">
        <v>228</v>
      </c>
      <c r="E1681" s="6" t="s">
        <v>3892</v>
      </c>
      <c r="G1681" s="6" t="s">
        <v>3893</v>
      </c>
      <c r="H1681" s="1" t="s">
        <v>3894</v>
      </c>
    </row>
    <row r="1682" spans="1:8" x14ac:dyDescent="0.2">
      <c r="A1682" s="5">
        <v>46041.675277037037</v>
      </c>
      <c r="B1682" s="1" t="s">
        <v>2865</v>
      </c>
      <c r="C1682" s="1">
        <v>2025</v>
      </c>
      <c r="D1682" s="1" t="s">
        <v>255</v>
      </c>
      <c r="E1682" s="6" t="s">
        <v>3895</v>
      </c>
      <c r="G1682" s="6" t="s">
        <v>3896</v>
      </c>
      <c r="H1682" s="1" t="s">
        <v>3897</v>
      </c>
    </row>
    <row r="1683" spans="1:8" x14ac:dyDescent="0.2">
      <c r="A1683" s="5">
        <v>46041.67561791667</v>
      </c>
      <c r="B1683" s="1" t="s">
        <v>2865</v>
      </c>
      <c r="C1683" s="1">
        <v>2025</v>
      </c>
      <c r="D1683" s="1" t="s">
        <v>277</v>
      </c>
      <c r="E1683" s="6" t="s">
        <v>3898</v>
      </c>
      <c r="G1683" s="6" t="s">
        <v>3899</v>
      </c>
      <c r="H1683" s="1" t="s">
        <v>3900</v>
      </c>
    </row>
    <row r="1684" spans="1:8" x14ac:dyDescent="0.2">
      <c r="A1684" s="5">
        <v>46041.675914097221</v>
      </c>
      <c r="B1684" s="1" t="s">
        <v>2865</v>
      </c>
      <c r="C1684" s="1">
        <v>2025</v>
      </c>
      <c r="D1684" s="1" t="s">
        <v>302</v>
      </c>
      <c r="E1684" s="6" t="s">
        <v>3901</v>
      </c>
      <c r="G1684" s="6" t="s">
        <v>3902</v>
      </c>
      <c r="H1684" s="1" t="s">
        <v>3903</v>
      </c>
    </row>
    <row r="1685" spans="1:8" x14ac:dyDescent="0.2">
      <c r="A1685" s="5">
        <v>46042.464835659717</v>
      </c>
      <c r="B1685" s="1" t="s">
        <v>62</v>
      </c>
      <c r="C1685" s="1">
        <v>2025</v>
      </c>
      <c r="D1685" s="1" t="s">
        <v>2190</v>
      </c>
      <c r="E1685" s="6" t="s">
        <v>3904</v>
      </c>
      <c r="G1685" s="6" t="s">
        <v>3905</v>
      </c>
      <c r="H1685" s="1" t="s">
        <v>3906</v>
      </c>
    </row>
    <row r="1686" spans="1:8" x14ac:dyDescent="0.2">
      <c r="A1686" s="5">
        <v>46042.465598912037</v>
      </c>
      <c r="B1686" s="1" t="s">
        <v>62</v>
      </c>
      <c r="C1686" s="1">
        <v>2025</v>
      </c>
      <c r="D1686" s="1" t="s">
        <v>1866</v>
      </c>
      <c r="E1686" s="6" t="s">
        <v>3907</v>
      </c>
      <c r="G1686" s="6" t="s">
        <v>3908</v>
      </c>
      <c r="H1686" s="1" t="s">
        <v>3909</v>
      </c>
    </row>
    <row r="1687" spans="1:8" x14ac:dyDescent="0.2">
      <c r="A1687" s="5">
        <v>46042.466382500003</v>
      </c>
      <c r="B1687" s="1" t="s">
        <v>62</v>
      </c>
      <c r="C1687" s="1">
        <v>2025</v>
      </c>
      <c r="D1687" s="1" t="s">
        <v>2015</v>
      </c>
      <c r="E1687" s="6" t="s">
        <v>3910</v>
      </c>
      <c r="G1687" s="6" t="s">
        <v>3911</v>
      </c>
      <c r="H1687" s="1" t="s">
        <v>3912</v>
      </c>
    </row>
    <row r="1688" spans="1:8" x14ac:dyDescent="0.2">
      <c r="A1688" s="5">
        <v>46042.468090937502</v>
      </c>
      <c r="B1688" s="1" t="s">
        <v>62</v>
      </c>
      <c r="C1688" s="1">
        <v>2025</v>
      </c>
      <c r="D1688" s="1" t="s">
        <v>2197</v>
      </c>
      <c r="E1688" s="6" t="s">
        <v>3913</v>
      </c>
      <c r="G1688" s="6" t="s">
        <v>3914</v>
      </c>
      <c r="H1688" s="1" t="s">
        <v>3915</v>
      </c>
    </row>
    <row r="1689" spans="1:8" x14ac:dyDescent="0.2">
      <c r="A1689" s="5">
        <v>46042.493386226852</v>
      </c>
      <c r="B1689" s="1" t="s">
        <v>2953</v>
      </c>
      <c r="C1689" s="1">
        <v>2025</v>
      </c>
      <c r="D1689" s="1" t="s">
        <v>255</v>
      </c>
      <c r="E1689" s="6" t="s">
        <v>3916</v>
      </c>
      <c r="G1689" s="6" t="s">
        <v>3917</v>
      </c>
      <c r="H1689" s="1" t="s">
        <v>3918</v>
      </c>
    </row>
    <row r="1690" spans="1:8" x14ac:dyDescent="0.2">
      <c r="A1690" s="5">
        <v>46042.508828460646</v>
      </c>
      <c r="B1690" s="1" t="s">
        <v>1139</v>
      </c>
      <c r="C1690" s="1">
        <v>2025</v>
      </c>
      <c r="D1690" s="1" t="s">
        <v>139</v>
      </c>
      <c r="E1690" s="6" t="s">
        <v>3919</v>
      </c>
      <c r="G1690" s="6" t="s">
        <v>3920</v>
      </c>
      <c r="H1690" s="1" t="s">
        <v>3921</v>
      </c>
    </row>
    <row r="1691" spans="1:8" x14ac:dyDescent="0.2">
      <c r="A1691" s="5">
        <v>46042.539020393524</v>
      </c>
      <c r="B1691" s="1" t="s">
        <v>1139</v>
      </c>
      <c r="C1691" s="1">
        <v>2025</v>
      </c>
      <c r="D1691" s="1" t="s">
        <v>166</v>
      </c>
      <c r="E1691" s="6" t="s">
        <v>3922</v>
      </c>
      <c r="G1691" s="6" t="s">
        <v>3923</v>
      </c>
      <c r="H1691" s="1" t="s">
        <v>3924</v>
      </c>
    </row>
    <row r="1692" spans="1:8" x14ac:dyDescent="0.2">
      <c r="A1692" s="5">
        <v>46042.539418703702</v>
      </c>
      <c r="B1692" s="1" t="s">
        <v>1139</v>
      </c>
      <c r="C1692" s="1">
        <v>2025</v>
      </c>
      <c r="D1692" s="1" t="s">
        <v>255</v>
      </c>
      <c r="E1692" s="6" t="s">
        <v>3925</v>
      </c>
      <c r="G1692" s="6" t="s">
        <v>3926</v>
      </c>
      <c r="H1692" s="1" t="s">
        <v>3927</v>
      </c>
    </row>
    <row r="1693" spans="1:8" x14ac:dyDescent="0.2">
      <c r="A1693" s="5">
        <v>46042.539861979167</v>
      </c>
      <c r="B1693" s="1" t="s">
        <v>1139</v>
      </c>
      <c r="C1693" s="1">
        <v>2025</v>
      </c>
      <c r="D1693" s="1" t="s">
        <v>277</v>
      </c>
      <c r="E1693" s="6" t="s">
        <v>3928</v>
      </c>
      <c r="G1693" s="6" t="s">
        <v>3929</v>
      </c>
      <c r="H1693" s="1" t="s">
        <v>3930</v>
      </c>
    </row>
    <row r="1694" spans="1:8" x14ac:dyDescent="0.2">
      <c r="A1694" s="5">
        <v>46042.54023564815</v>
      </c>
      <c r="B1694" s="1" t="s">
        <v>1139</v>
      </c>
      <c r="C1694" s="1">
        <v>2025</v>
      </c>
      <c r="D1694" s="1" t="s">
        <v>302</v>
      </c>
      <c r="E1694" s="6" t="s">
        <v>3931</v>
      </c>
      <c r="G1694" s="6" t="s">
        <v>3932</v>
      </c>
      <c r="H1694" s="1" t="s">
        <v>3933</v>
      </c>
    </row>
    <row r="1695" spans="1:8" x14ac:dyDescent="0.2">
      <c r="A1695" s="5">
        <v>46043.367766516203</v>
      </c>
      <c r="B1695" s="1" t="s">
        <v>56</v>
      </c>
      <c r="C1695" s="1">
        <v>2025</v>
      </c>
      <c r="D1695" s="1" t="s">
        <v>255</v>
      </c>
      <c r="E1695" s="6" t="s">
        <v>3934</v>
      </c>
      <c r="G1695" s="6" t="s">
        <v>3935</v>
      </c>
      <c r="H1695" s="1" t="s">
        <v>3936</v>
      </c>
    </row>
    <row r="1696" spans="1:8" x14ac:dyDescent="0.2">
      <c r="A1696" s="5">
        <v>46043.369675810187</v>
      </c>
      <c r="B1696" s="1" t="s">
        <v>56</v>
      </c>
      <c r="C1696" s="1">
        <v>2025</v>
      </c>
      <c r="D1696" s="1" t="s">
        <v>255</v>
      </c>
      <c r="E1696" s="6" t="s">
        <v>3937</v>
      </c>
      <c r="G1696" s="6" t="s">
        <v>3938</v>
      </c>
      <c r="H1696" s="1" t="s">
        <v>3939</v>
      </c>
    </row>
    <row r="1697" spans="1:8" x14ac:dyDescent="0.2">
      <c r="A1697" s="5">
        <v>46043.371505659721</v>
      </c>
      <c r="B1697" s="1" t="s">
        <v>686</v>
      </c>
      <c r="C1697" s="1">
        <v>2025</v>
      </c>
      <c r="D1697" s="1" t="s">
        <v>139</v>
      </c>
      <c r="E1697" s="6" t="s">
        <v>3940</v>
      </c>
      <c r="G1697" s="6" t="s">
        <v>3941</v>
      </c>
      <c r="H1697" s="1" t="s">
        <v>3942</v>
      </c>
    </row>
    <row r="1698" spans="1:8" x14ac:dyDescent="0.2">
      <c r="A1698" s="5">
        <v>46043.371794120365</v>
      </c>
      <c r="B1698" s="1" t="s">
        <v>686</v>
      </c>
      <c r="C1698" s="1">
        <v>2025</v>
      </c>
      <c r="D1698" s="1" t="s">
        <v>166</v>
      </c>
      <c r="E1698" s="6" t="s">
        <v>3943</v>
      </c>
      <c r="G1698" s="6" t="s">
        <v>3944</v>
      </c>
      <c r="H1698" s="1" t="s">
        <v>3945</v>
      </c>
    </row>
    <row r="1699" spans="1:8" x14ac:dyDescent="0.2">
      <c r="A1699" s="5">
        <v>46043.372101516201</v>
      </c>
      <c r="B1699" s="1" t="s">
        <v>686</v>
      </c>
      <c r="C1699" s="1">
        <v>2025</v>
      </c>
      <c r="D1699" s="1" t="s">
        <v>196</v>
      </c>
      <c r="E1699" s="6" t="s">
        <v>3946</v>
      </c>
      <c r="G1699" s="6" t="s">
        <v>3947</v>
      </c>
      <c r="H1699" s="1" t="s">
        <v>3948</v>
      </c>
    </row>
    <row r="1700" spans="1:8" x14ac:dyDescent="0.2">
      <c r="A1700" s="5">
        <v>46043.372367662036</v>
      </c>
      <c r="B1700" s="1" t="s">
        <v>686</v>
      </c>
      <c r="C1700" s="1">
        <v>2025</v>
      </c>
      <c r="D1700" s="1" t="s">
        <v>228</v>
      </c>
      <c r="E1700" s="6" t="s">
        <v>3949</v>
      </c>
      <c r="G1700" s="6" t="s">
        <v>3950</v>
      </c>
      <c r="H1700" s="1" t="s">
        <v>3951</v>
      </c>
    </row>
    <row r="1701" spans="1:8" x14ac:dyDescent="0.2">
      <c r="A1701" s="5">
        <v>46043.372695208338</v>
      </c>
      <c r="B1701" s="1" t="s">
        <v>686</v>
      </c>
      <c r="C1701" s="1">
        <v>2025</v>
      </c>
      <c r="D1701" s="1" t="s">
        <v>255</v>
      </c>
      <c r="E1701" s="6" t="s">
        <v>3952</v>
      </c>
      <c r="G1701" s="6" t="s">
        <v>3953</v>
      </c>
      <c r="H1701" s="1" t="s">
        <v>3954</v>
      </c>
    </row>
    <row r="1702" spans="1:8" x14ac:dyDescent="0.2">
      <c r="A1702" s="5">
        <v>46043.372979849533</v>
      </c>
      <c r="B1702" s="1" t="s">
        <v>686</v>
      </c>
      <c r="C1702" s="1">
        <v>2025</v>
      </c>
      <c r="D1702" s="1" t="s">
        <v>277</v>
      </c>
      <c r="E1702" s="6" t="s">
        <v>3955</v>
      </c>
      <c r="G1702" s="6" t="s">
        <v>3956</v>
      </c>
      <c r="H1702" s="1" t="s">
        <v>3957</v>
      </c>
    </row>
    <row r="1703" spans="1:8" x14ac:dyDescent="0.2">
      <c r="A1703" s="5">
        <v>46043.373255393519</v>
      </c>
      <c r="B1703" s="1" t="s">
        <v>686</v>
      </c>
      <c r="C1703" s="1">
        <v>2025</v>
      </c>
      <c r="D1703" s="1" t="s">
        <v>302</v>
      </c>
      <c r="E1703" s="6" t="s">
        <v>3958</v>
      </c>
      <c r="G1703" s="6" t="s">
        <v>3959</v>
      </c>
      <c r="H1703" s="1" t="s">
        <v>3960</v>
      </c>
    </row>
    <row r="1704" spans="1:8" x14ac:dyDescent="0.2">
      <c r="A1704" s="5">
        <v>46043.374245462968</v>
      </c>
      <c r="B1704" s="1" t="s">
        <v>686</v>
      </c>
      <c r="C1704" s="1">
        <v>2025</v>
      </c>
      <c r="D1704" s="1" t="s">
        <v>1866</v>
      </c>
      <c r="E1704" s="6" t="s">
        <v>3961</v>
      </c>
      <c r="G1704" s="6" t="s">
        <v>3962</v>
      </c>
      <c r="H1704" s="1" t="s">
        <v>3963</v>
      </c>
    </row>
    <row r="1705" spans="1:8" x14ac:dyDescent="0.2">
      <c r="A1705" s="5">
        <v>46043.37462023148</v>
      </c>
      <c r="B1705" s="1" t="s">
        <v>686</v>
      </c>
      <c r="C1705" s="1">
        <v>2025</v>
      </c>
      <c r="D1705" s="1" t="s">
        <v>2015</v>
      </c>
      <c r="E1705" s="6" t="s">
        <v>3964</v>
      </c>
      <c r="G1705" s="6" t="s">
        <v>3965</v>
      </c>
      <c r="H1705" s="1" t="s">
        <v>3966</v>
      </c>
    </row>
    <row r="1706" spans="1:8" x14ac:dyDescent="0.2">
      <c r="A1706" s="5">
        <v>46048.361614282403</v>
      </c>
      <c r="B1706" s="1" t="s">
        <v>969</v>
      </c>
      <c r="C1706" s="1">
        <v>2025</v>
      </c>
      <c r="D1706" s="1" t="s">
        <v>1866</v>
      </c>
      <c r="E1706" s="6" t="s">
        <v>3967</v>
      </c>
      <c r="F1706" s="7" t="str">
        <f>HYPERLINK("https://drive.google.com/open?id=1jjaZ6sBJ-rgFFoV-a9VrKbvqiPbqOcgX","1 files moved")</f>
        <v>1 files moved</v>
      </c>
      <c r="G1706" s="6" t="s">
        <v>3968</v>
      </c>
      <c r="H1706" s="1" t="s">
        <v>3969</v>
      </c>
    </row>
    <row r="1707" spans="1:8" x14ac:dyDescent="0.2">
      <c r="A1707" s="5">
        <v>46048.367964201389</v>
      </c>
      <c r="B1707" s="1" t="s">
        <v>348</v>
      </c>
      <c r="C1707" s="1">
        <v>2025</v>
      </c>
      <c r="D1707" s="1" t="s">
        <v>1866</v>
      </c>
      <c r="E1707" s="6" t="s">
        <v>3970</v>
      </c>
      <c r="F1707" s="7" t="str">
        <f t="shared" ref="F1707:F1708" si="83">HYPERLINK("https://drive.google.com/open?id=17WOaAXl5jFgeySypAmjW1SMD0z4Hcu1k","1 files moved")</f>
        <v>1 files moved</v>
      </c>
      <c r="G1707" s="6" t="s">
        <v>3971</v>
      </c>
      <c r="H1707" s="1" t="s">
        <v>3972</v>
      </c>
    </row>
    <row r="1708" spans="1:8" x14ac:dyDescent="0.2">
      <c r="A1708" s="5">
        <v>46048.368420416664</v>
      </c>
      <c r="B1708" s="1" t="s">
        <v>348</v>
      </c>
      <c r="C1708" s="1">
        <v>2025</v>
      </c>
      <c r="D1708" s="1" t="s">
        <v>2015</v>
      </c>
      <c r="E1708" s="6" t="s">
        <v>3973</v>
      </c>
      <c r="F1708" s="7" t="str">
        <f t="shared" si="83"/>
        <v>1 files moved</v>
      </c>
      <c r="G1708" s="6" t="s">
        <v>3974</v>
      </c>
      <c r="H1708" s="1" t="s">
        <v>3975</v>
      </c>
    </row>
    <row r="1709" spans="1:8" x14ac:dyDescent="0.2">
      <c r="A1709" s="5">
        <v>46048.372464131942</v>
      </c>
      <c r="B1709" s="1" t="s">
        <v>969</v>
      </c>
      <c r="C1709" s="1">
        <v>2025</v>
      </c>
      <c r="D1709" s="1" t="s">
        <v>2015</v>
      </c>
      <c r="E1709" s="6" t="s">
        <v>3976</v>
      </c>
      <c r="F1709" s="7" t="str">
        <f>HYPERLINK("https://drive.google.com/open?id=1jjaZ6sBJ-rgFFoV-a9VrKbvqiPbqOcgX","1 files moved")</f>
        <v>1 files moved</v>
      </c>
      <c r="G1709" s="6" t="s">
        <v>3977</v>
      </c>
      <c r="H1709" s="1" t="s">
        <v>3978</v>
      </c>
    </row>
    <row r="1710" spans="1:8" x14ac:dyDescent="0.2">
      <c r="A1710" s="5">
        <v>46048.377042893517</v>
      </c>
      <c r="B1710" s="1" t="s">
        <v>2953</v>
      </c>
      <c r="C1710" s="1">
        <v>2025</v>
      </c>
      <c r="D1710" s="1" t="s">
        <v>1866</v>
      </c>
      <c r="E1710" s="6" t="s">
        <v>3979</v>
      </c>
      <c r="F1710" s="7" t="str">
        <f t="shared" ref="F1710:F1711" si="84">HYPERLINK("https://drive.google.com/open?id=1PIK6ghqV4qAtohq5HjlNh_1o4Nwjlhqm","1 files moved")</f>
        <v>1 files moved</v>
      </c>
      <c r="G1710" s="6" t="s">
        <v>3980</v>
      </c>
      <c r="H1710" s="1" t="s">
        <v>3981</v>
      </c>
    </row>
    <row r="1711" spans="1:8" x14ac:dyDescent="0.2">
      <c r="A1711" s="5">
        <v>46048.377493703709</v>
      </c>
      <c r="B1711" s="1" t="s">
        <v>2953</v>
      </c>
      <c r="C1711" s="1">
        <v>2025</v>
      </c>
      <c r="D1711" s="1" t="s">
        <v>2015</v>
      </c>
      <c r="E1711" s="6" t="s">
        <v>3982</v>
      </c>
      <c r="F1711" s="7" t="str">
        <f t="shared" si="84"/>
        <v>1 files moved</v>
      </c>
      <c r="G1711" s="6" t="s">
        <v>3983</v>
      </c>
      <c r="H1711" s="1" t="s">
        <v>3984</v>
      </c>
    </row>
    <row r="1712" spans="1:8" x14ac:dyDescent="0.2">
      <c r="A1712" s="5">
        <v>46048.378436539351</v>
      </c>
      <c r="B1712" s="1" t="s">
        <v>76</v>
      </c>
      <c r="C1712" s="1">
        <v>2025</v>
      </c>
      <c r="D1712" s="1" t="s">
        <v>1866</v>
      </c>
      <c r="E1712" s="6" t="s">
        <v>3985</v>
      </c>
      <c r="F1712" s="7" t="str">
        <f t="shared" ref="F1712:F1713" si="85">HYPERLINK("https://drive.google.com/open?id=1YKXc634Hd6ivOmY-kuk_dNKkhypgkHlR","1 files moved")</f>
        <v>1 files moved</v>
      </c>
      <c r="G1712" s="6" t="s">
        <v>3986</v>
      </c>
      <c r="H1712" s="1" t="s">
        <v>3987</v>
      </c>
    </row>
    <row r="1713" spans="1:8" x14ac:dyDescent="0.2">
      <c r="A1713" s="5">
        <v>46048.378747152776</v>
      </c>
      <c r="B1713" s="1" t="s">
        <v>76</v>
      </c>
      <c r="C1713" s="1">
        <v>2025</v>
      </c>
      <c r="D1713" s="1" t="s">
        <v>2015</v>
      </c>
      <c r="E1713" s="6" t="s">
        <v>3988</v>
      </c>
      <c r="F1713" s="7" t="str">
        <f t="shared" si="85"/>
        <v>1 files moved</v>
      </c>
      <c r="G1713" s="6" t="s">
        <v>3989</v>
      </c>
      <c r="H1713" s="1" t="s">
        <v>3990</v>
      </c>
    </row>
    <row r="1714" spans="1:8" x14ac:dyDescent="0.2">
      <c r="A1714" s="5">
        <v>46048.381530902778</v>
      </c>
      <c r="B1714" s="1" t="s">
        <v>3656</v>
      </c>
      <c r="C1714" s="1">
        <v>2025</v>
      </c>
      <c r="D1714" s="1" t="s">
        <v>2015</v>
      </c>
      <c r="E1714" s="6" t="s">
        <v>3991</v>
      </c>
      <c r="F1714" s="7" t="str">
        <f>HYPERLINK("https://drive.google.com/open?id=1IwnPY8rUh888_bXbZf8qrizXtJCHwBLQ","1 files moved")</f>
        <v>1 files moved</v>
      </c>
      <c r="G1714" s="6" t="s">
        <v>3992</v>
      </c>
      <c r="H1714" s="1" t="s">
        <v>3993</v>
      </c>
    </row>
    <row r="1715" spans="1:8" x14ac:dyDescent="0.2">
      <c r="A1715" s="5">
        <v>46048.391107743053</v>
      </c>
      <c r="B1715" s="1" t="s">
        <v>24</v>
      </c>
      <c r="C1715" s="1">
        <v>2025</v>
      </c>
      <c r="D1715" s="1" t="s">
        <v>1866</v>
      </c>
      <c r="E1715" s="6" t="s">
        <v>3994</v>
      </c>
      <c r="F1715" s="7" t="str">
        <f t="shared" ref="F1715:F1716" si="86">HYPERLINK("https://drive.google.com/open?id=1lAkCTSJDqjfWsuZxvLL2COI53gbRENb_","1 files moved")</f>
        <v>1 files moved</v>
      </c>
      <c r="G1715" s="6" t="s">
        <v>3995</v>
      </c>
      <c r="H1715" s="1" t="s">
        <v>3996</v>
      </c>
    </row>
    <row r="1716" spans="1:8" x14ac:dyDescent="0.2">
      <c r="A1716" s="5">
        <v>46048.391658148146</v>
      </c>
      <c r="B1716" s="1" t="s">
        <v>24</v>
      </c>
      <c r="C1716" s="1">
        <v>2025</v>
      </c>
      <c r="D1716" s="1" t="s">
        <v>2015</v>
      </c>
      <c r="E1716" s="6" t="s">
        <v>3997</v>
      </c>
      <c r="F1716" s="7" t="str">
        <f t="shared" si="86"/>
        <v>1 files moved</v>
      </c>
      <c r="G1716" s="6" t="s">
        <v>3998</v>
      </c>
      <c r="H1716" s="1" t="s">
        <v>3999</v>
      </c>
    </row>
    <row r="1717" spans="1:8" x14ac:dyDescent="0.2">
      <c r="A1717" s="5">
        <v>46048.391662766204</v>
      </c>
      <c r="B1717" s="1" t="s">
        <v>11</v>
      </c>
      <c r="C1717" s="1">
        <v>2025</v>
      </c>
      <c r="D1717" s="1" t="s">
        <v>1866</v>
      </c>
      <c r="E1717" s="6" t="s">
        <v>4000</v>
      </c>
      <c r="F1717" s="7" t="str">
        <f t="shared" ref="F1717:F1718" si="87">HYPERLINK("https://drive.google.com/open?id=1YzDqbFE4H4BS5N9a8WbsE5FQL-HEPRMj","1 files moved")</f>
        <v>1 files moved</v>
      </c>
      <c r="G1717" s="6" t="s">
        <v>4001</v>
      </c>
      <c r="H1717" s="1" t="s">
        <v>4002</v>
      </c>
    </row>
    <row r="1718" spans="1:8" x14ac:dyDescent="0.2">
      <c r="A1718" s="5">
        <v>46048.3919346412</v>
      </c>
      <c r="B1718" s="1" t="s">
        <v>11</v>
      </c>
      <c r="C1718" s="1">
        <v>2025</v>
      </c>
      <c r="D1718" s="1" t="s">
        <v>2015</v>
      </c>
      <c r="E1718" s="6" t="s">
        <v>4003</v>
      </c>
      <c r="F1718" s="7" t="str">
        <f t="shared" si="87"/>
        <v>1 files moved</v>
      </c>
      <c r="G1718" s="6" t="s">
        <v>4004</v>
      </c>
      <c r="H1718" s="1" t="s">
        <v>4005</v>
      </c>
    </row>
    <row r="1719" spans="1:8" x14ac:dyDescent="0.2">
      <c r="A1719" s="5">
        <v>46048.409013310185</v>
      </c>
      <c r="B1719" s="1" t="s">
        <v>451</v>
      </c>
      <c r="C1719" s="1">
        <v>2025</v>
      </c>
      <c r="D1719" s="1" t="s">
        <v>1866</v>
      </c>
      <c r="E1719" s="6" t="s">
        <v>4006</v>
      </c>
      <c r="F1719" s="7" t="str">
        <f t="shared" ref="F1719:F1720" si="88">HYPERLINK("https://drive.google.com/open?id=1KIx1m7meHb5nobC5pXq7RhJanL49Yo2o","1 files moved")</f>
        <v>1 files moved</v>
      </c>
      <c r="G1719" s="6" t="s">
        <v>4007</v>
      </c>
      <c r="H1719" s="1" t="s">
        <v>4008</v>
      </c>
    </row>
    <row r="1720" spans="1:8" x14ac:dyDescent="0.2">
      <c r="A1720" s="5">
        <v>46048.409990057873</v>
      </c>
      <c r="B1720" s="1" t="s">
        <v>451</v>
      </c>
      <c r="C1720" s="1">
        <v>2025</v>
      </c>
      <c r="D1720" s="1" t="s">
        <v>2015</v>
      </c>
      <c r="E1720" s="6" t="s">
        <v>4009</v>
      </c>
      <c r="F1720" s="7" t="str">
        <f t="shared" si="88"/>
        <v>1 files moved</v>
      </c>
      <c r="G1720" s="6" t="s">
        <v>4010</v>
      </c>
      <c r="H1720" s="1" t="s">
        <v>4011</v>
      </c>
    </row>
    <row r="1721" spans="1:8" x14ac:dyDescent="0.2">
      <c r="A1721" s="5">
        <v>46048.410139629632</v>
      </c>
      <c r="B1721" s="1" t="s">
        <v>22</v>
      </c>
      <c r="C1721" s="1">
        <v>2025</v>
      </c>
      <c r="D1721" s="1" t="s">
        <v>2015</v>
      </c>
      <c r="E1721" s="6" t="s">
        <v>4012</v>
      </c>
      <c r="F1721" s="7" t="str">
        <f>HYPERLINK("https://drive.google.com/open?id=1WAbmR1kP-K3GSrnpnC5igzsk9XdBZPD_","1 files moved")</f>
        <v>1 files moved</v>
      </c>
      <c r="G1721" s="6" t="s">
        <v>4013</v>
      </c>
      <c r="H1721" s="1" t="s">
        <v>4014</v>
      </c>
    </row>
    <row r="1722" spans="1:8" x14ac:dyDescent="0.2">
      <c r="A1722" s="5">
        <v>46048.410325787037</v>
      </c>
      <c r="B1722" s="1" t="s">
        <v>330</v>
      </c>
      <c r="C1722" s="1">
        <v>2025</v>
      </c>
      <c r="D1722" s="1" t="s">
        <v>1866</v>
      </c>
      <c r="E1722" s="6" t="s">
        <v>4015</v>
      </c>
      <c r="F1722" s="7" t="str">
        <f t="shared" ref="F1722:F1723" si="89">HYPERLINK("https://drive.google.com/open?id=1jgWFJ1Rnlmfp-xLJYcsceHq4Kj-jmyCy","1 files moved")</f>
        <v>1 files moved</v>
      </c>
      <c r="G1722" s="6" t="s">
        <v>4016</v>
      </c>
      <c r="H1722" s="1" t="s">
        <v>4017</v>
      </c>
    </row>
    <row r="1723" spans="1:8" x14ac:dyDescent="0.2">
      <c r="A1723" s="5">
        <v>46048.410661192131</v>
      </c>
      <c r="B1723" s="1" t="s">
        <v>330</v>
      </c>
      <c r="C1723" s="1">
        <v>2025</v>
      </c>
      <c r="D1723" s="1" t="s">
        <v>2015</v>
      </c>
      <c r="E1723" s="6" t="s">
        <v>4018</v>
      </c>
      <c r="F1723" s="7" t="str">
        <f t="shared" si="89"/>
        <v>1 files moved</v>
      </c>
      <c r="G1723" s="6" t="s">
        <v>4019</v>
      </c>
      <c r="H1723" s="1" t="s">
        <v>4020</v>
      </c>
    </row>
    <row r="1724" spans="1:8" x14ac:dyDescent="0.2">
      <c r="A1724" s="5">
        <v>46048.411064409724</v>
      </c>
      <c r="B1724" s="1" t="s">
        <v>70</v>
      </c>
      <c r="C1724" s="1">
        <v>2025</v>
      </c>
      <c r="D1724" s="1" t="s">
        <v>2015</v>
      </c>
      <c r="E1724" s="6" t="s">
        <v>4021</v>
      </c>
      <c r="F1724" s="7" t="str">
        <f>HYPERLINK("https://drive.google.com/open?id=1tJPwF2su0hso4TETThLNHI9_S0dJdbLl","1 files moved")</f>
        <v>1 files moved</v>
      </c>
      <c r="G1724" s="6" t="s">
        <v>4022</v>
      </c>
      <c r="H1724" s="1" t="s">
        <v>4023</v>
      </c>
    </row>
    <row r="1725" spans="1:8" x14ac:dyDescent="0.2">
      <c r="A1725" s="5">
        <v>46048.486395590277</v>
      </c>
      <c r="B1725" s="1" t="s">
        <v>68</v>
      </c>
      <c r="C1725" s="1">
        <v>2025</v>
      </c>
      <c r="D1725" s="1" t="s">
        <v>1866</v>
      </c>
      <c r="E1725" s="6" t="s">
        <v>4024</v>
      </c>
      <c r="F1725" s="7" t="str">
        <f t="shared" ref="F1725:F1726" si="90">HYPERLINK("https://drive.google.com/open?id=1OV29wdO4ju235Dn_RfWfQvZfv8o_gJRA","1 files moved")</f>
        <v>1 files moved</v>
      </c>
      <c r="G1725" s="6" t="s">
        <v>4025</v>
      </c>
      <c r="H1725" s="1" t="s">
        <v>4026</v>
      </c>
    </row>
    <row r="1726" spans="1:8" x14ac:dyDescent="0.2">
      <c r="A1726" s="5">
        <v>46048.486830312497</v>
      </c>
      <c r="B1726" s="1" t="s">
        <v>68</v>
      </c>
      <c r="C1726" s="1">
        <v>2025</v>
      </c>
      <c r="D1726" s="1" t="s">
        <v>2190</v>
      </c>
      <c r="E1726" s="6" t="s">
        <v>4027</v>
      </c>
      <c r="F1726" s="7" t="str">
        <f t="shared" si="90"/>
        <v>1 files moved</v>
      </c>
      <c r="G1726" s="6" t="s">
        <v>4028</v>
      </c>
      <c r="H1726" s="1" t="s">
        <v>4029</v>
      </c>
    </row>
    <row r="1727" spans="1:8" x14ac:dyDescent="0.2">
      <c r="A1727" s="5">
        <v>46048.488760787033</v>
      </c>
      <c r="B1727" s="1" t="s">
        <v>37</v>
      </c>
      <c r="C1727" s="1">
        <v>2025</v>
      </c>
      <c r="D1727" s="1" t="s">
        <v>1866</v>
      </c>
      <c r="E1727" s="6" t="s">
        <v>4030</v>
      </c>
      <c r="F1727" s="7" t="str">
        <f t="shared" ref="F1727:F1728" si="91">HYPERLINK("https://drive.google.com/open?id=1qa1mLZHOuZIAKZUnYIblWo1lTS9NuBTm","1 files moved")</f>
        <v>1 files moved</v>
      </c>
      <c r="G1727" s="6" t="s">
        <v>4031</v>
      </c>
      <c r="H1727" s="1" t="s">
        <v>4032</v>
      </c>
    </row>
    <row r="1728" spans="1:8" x14ac:dyDescent="0.2">
      <c r="A1728" s="5">
        <v>46048.489123194449</v>
      </c>
      <c r="B1728" s="1" t="s">
        <v>37</v>
      </c>
      <c r="C1728" s="1">
        <v>2025</v>
      </c>
      <c r="D1728" s="1" t="s">
        <v>2015</v>
      </c>
      <c r="E1728" s="6" t="s">
        <v>4033</v>
      </c>
      <c r="F1728" s="7" t="str">
        <f t="shared" si="91"/>
        <v>1 files moved</v>
      </c>
      <c r="G1728" s="6" t="s">
        <v>4034</v>
      </c>
      <c r="H1728" s="1" t="s">
        <v>4035</v>
      </c>
    </row>
    <row r="1729" spans="1:8" x14ac:dyDescent="0.2">
      <c r="A1729" s="5">
        <v>46048.527493414353</v>
      </c>
      <c r="B1729" s="1" t="s">
        <v>35</v>
      </c>
      <c r="C1729" s="1">
        <v>2025</v>
      </c>
      <c r="D1729" s="1" t="s">
        <v>1866</v>
      </c>
      <c r="E1729" s="6" t="s">
        <v>4036</v>
      </c>
      <c r="F1729" s="7" t="str">
        <f t="shared" ref="F1729:F1730" si="92">HYPERLINK("https://drive.google.com/open?id=1p9rKdY4QkNWIsmYys86EoZpuyIpPfpst","1 files moved")</f>
        <v>1 files moved</v>
      </c>
      <c r="G1729" s="6" t="s">
        <v>4037</v>
      </c>
      <c r="H1729" s="1" t="s">
        <v>4038</v>
      </c>
    </row>
    <row r="1730" spans="1:8" x14ac:dyDescent="0.2">
      <c r="A1730" s="5">
        <v>46048.527844699071</v>
      </c>
      <c r="B1730" s="1" t="s">
        <v>35</v>
      </c>
      <c r="C1730" s="1">
        <v>2025</v>
      </c>
      <c r="D1730" s="1" t="s">
        <v>2015</v>
      </c>
      <c r="E1730" s="6" t="s">
        <v>4039</v>
      </c>
      <c r="F1730" s="7" t="str">
        <f t="shared" si="92"/>
        <v>1 files moved</v>
      </c>
      <c r="G1730" s="6" t="s">
        <v>4040</v>
      </c>
      <c r="H1730" s="1" t="s">
        <v>4041</v>
      </c>
    </row>
    <row r="1731" spans="1:8" x14ac:dyDescent="0.2">
      <c r="A1731" s="5">
        <v>46048.61839181713</v>
      </c>
      <c r="B1731" s="1" t="s">
        <v>1873</v>
      </c>
      <c r="C1731" s="1">
        <v>2025</v>
      </c>
      <c r="D1731" s="1" t="s">
        <v>2015</v>
      </c>
      <c r="E1731" s="6" t="s">
        <v>4042</v>
      </c>
      <c r="F1731" s="7" t="str">
        <f>HYPERLINK("https://drive.google.com/open?id=1YX2RL83pvfGKIcbWPzS6tyrz6pE7_IDy","1 files moved")</f>
        <v>1 files moved</v>
      </c>
      <c r="G1731" s="6" t="s">
        <v>4043</v>
      </c>
      <c r="H1731" s="1" t="s">
        <v>4044</v>
      </c>
    </row>
    <row r="1732" spans="1:8" x14ac:dyDescent="0.2">
      <c r="A1732" s="5">
        <v>46048.642699756943</v>
      </c>
      <c r="B1732" s="1" t="s">
        <v>47</v>
      </c>
      <c r="C1732" s="1">
        <v>2025</v>
      </c>
      <c r="D1732" s="1" t="s">
        <v>1866</v>
      </c>
      <c r="E1732" s="6" t="s">
        <v>4045</v>
      </c>
      <c r="G1732" s="6" t="s">
        <v>4046</v>
      </c>
      <c r="H1732" s="1" t="s">
        <v>4047</v>
      </c>
    </row>
    <row r="1733" spans="1:8" x14ac:dyDescent="0.2">
      <c r="A1733" s="5">
        <v>46048.643160624997</v>
      </c>
      <c r="B1733" s="1" t="s">
        <v>47</v>
      </c>
      <c r="C1733" s="1">
        <v>2025</v>
      </c>
      <c r="D1733" s="1" t="s">
        <v>2015</v>
      </c>
      <c r="E1733" s="6" t="s">
        <v>4048</v>
      </c>
      <c r="G1733" s="6" t="s">
        <v>4049</v>
      </c>
      <c r="H1733" s="1" t="s">
        <v>4050</v>
      </c>
    </row>
    <row r="1734" spans="1:8" x14ac:dyDescent="0.2">
      <c r="A1734" s="5">
        <v>46048.644089814814</v>
      </c>
      <c r="B1734" s="1" t="s">
        <v>1139</v>
      </c>
      <c r="C1734" s="1">
        <v>2025</v>
      </c>
      <c r="D1734" s="1" t="s">
        <v>2190</v>
      </c>
      <c r="E1734" s="6" t="s">
        <v>4051</v>
      </c>
      <c r="G1734" s="6" t="s">
        <v>4052</v>
      </c>
      <c r="H1734" s="1" t="s">
        <v>4053</v>
      </c>
    </row>
    <row r="1735" spans="1:8" x14ac:dyDescent="0.2">
      <c r="A1735" s="5">
        <v>46048.644477037036</v>
      </c>
      <c r="B1735" s="1" t="s">
        <v>1139</v>
      </c>
      <c r="C1735" s="1">
        <v>2025</v>
      </c>
      <c r="D1735" s="1" t="s">
        <v>1866</v>
      </c>
      <c r="E1735" s="6" t="s">
        <v>4054</v>
      </c>
      <c r="G1735" s="6" t="s">
        <v>4055</v>
      </c>
      <c r="H1735" s="1" t="s">
        <v>4056</v>
      </c>
    </row>
    <row r="1736" spans="1:8" x14ac:dyDescent="0.2">
      <c r="A1736" s="5">
        <v>46048.644706099542</v>
      </c>
      <c r="B1736" s="1" t="s">
        <v>47</v>
      </c>
      <c r="C1736" s="1">
        <v>2025</v>
      </c>
      <c r="D1736" s="1" t="s">
        <v>318</v>
      </c>
      <c r="E1736" s="6" t="s">
        <v>4057</v>
      </c>
      <c r="G1736" s="6" t="s">
        <v>4058</v>
      </c>
      <c r="H1736" s="1" t="s">
        <v>4059</v>
      </c>
    </row>
    <row r="1737" spans="1:8" x14ac:dyDescent="0.2">
      <c r="A1737" s="5">
        <v>46048.644894004625</v>
      </c>
      <c r="B1737" s="1" t="s">
        <v>1139</v>
      </c>
      <c r="C1737" s="1">
        <v>2025</v>
      </c>
      <c r="D1737" s="1" t="s">
        <v>2015</v>
      </c>
      <c r="E1737" s="6" t="s">
        <v>4060</v>
      </c>
      <c r="G1737" s="6" t="s">
        <v>4061</v>
      </c>
      <c r="H1737" s="1" t="s">
        <v>4062</v>
      </c>
    </row>
    <row r="1738" spans="1:8" x14ac:dyDescent="0.2">
      <c r="A1738" s="5">
        <v>46048.645065000004</v>
      </c>
      <c r="B1738" s="1" t="s">
        <v>47</v>
      </c>
      <c r="C1738" s="1">
        <v>2025</v>
      </c>
      <c r="D1738" s="1" t="s">
        <v>352</v>
      </c>
      <c r="E1738" s="6" t="s">
        <v>4063</v>
      </c>
      <c r="G1738" s="6" t="s">
        <v>4064</v>
      </c>
      <c r="H1738" s="1" t="s">
        <v>4065</v>
      </c>
    </row>
    <row r="1739" spans="1:8" x14ac:dyDescent="0.2">
      <c r="A1739" s="5">
        <v>46048.646234988424</v>
      </c>
      <c r="B1739" s="1" t="s">
        <v>47</v>
      </c>
      <c r="C1739" s="1">
        <v>2025</v>
      </c>
      <c r="D1739" s="1" t="s">
        <v>9</v>
      </c>
      <c r="E1739" s="6" t="s">
        <v>4066</v>
      </c>
      <c r="G1739" s="6" t="s">
        <v>4067</v>
      </c>
      <c r="H1739" s="1" t="s">
        <v>4068</v>
      </c>
    </row>
    <row r="1740" spans="1:8" x14ac:dyDescent="0.2">
      <c r="A1740" s="5">
        <v>46048.646584490736</v>
      </c>
      <c r="B1740" s="1" t="s">
        <v>47</v>
      </c>
      <c r="C1740" s="1">
        <v>2025</v>
      </c>
      <c r="D1740" s="1" t="s">
        <v>78</v>
      </c>
      <c r="E1740" s="6" t="s">
        <v>4069</v>
      </c>
      <c r="G1740" s="6" t="s">
        <v>4070</v>
      </c>
      <c r="H1740" s="1" t="s">
        <v>4071</v>
      </c>
    </row>
    <row r="1741" spans="1:8" x14ac:dyDescent="0.2">
      <c r="A1741" s="5">
        <v>46048.647814837968</v>
      </c>
      <c r="B1741" s="1" t="s">
        <v>47</v>
      </c>
      <c r="C1741" s="1">
        <v>2025</v>
      </c>
      <c r="D1741" s="1" t="s">
        <v>110</v>
      </c>
      <c r="E1741" s="6" t="s">
        <v>4072</v>
      </c>
      <c r="G1741" s="6" t="s">
        <v>4073</v>
      </c>
      <c r="H1741" s="1" t="s">
        <v>4074</v>
      </c>
    </row>
    <row r="1742" spans="1:8" x14ac:dyDescent="0.2">
      <c r="A1742" s="5">
        <v>46048.648319826389</v>
      </c>
      <c r="B1742" s="1" t="s">
        <v>47</v>
      </c>
      <c r="C1742" s="1">
        <v>2025</v>
      </c>
      <c r="D1742" s="1" t="s">
        <v>139</v>
      </c>
      <c r="E1742" s="6" t="s">
        <v>4075</v>
      </c>
      <c r="G1742" s="6" t="s">
        <v>4076</v>
      </c>
      <c r="H1742" s="1" t="s">
        <v>4077</v>
      </c>
    </row>
    <row r="1743" spans="1:8" x14ac:dyDescent="0.2">
      <c r="A1743" s="5">
        <v>46048.64924554398</v>
      </c>
      <c r="B1743" s="1" t="s">
        <v>47</v>
      </c>
      <c r="C1743" s="1">
        <v>2025</v>
      </c>
      <c r="D1743" s="1" t="s">
        <v>166</v>
      </c>
      <c r="E1743" s="6" t="s">
        <v>4078</v>
      </c>
      <c r="G1743" s="6" t="s">
        <v>4079</v>
      </c>
      <c r="H1743" s="1" t="s">
        <v>4080</v>
      </c>
    </row>
    <row r="1744" spans="1:8" x14ac:dyDescent="0.2">
      <c r="A1744" s="5">
        <v>46048.649607025465</v>
      </c>
      <c r="B1744" s="1" t="s">
        <v>47</v>
      </c>
      <c r="C1744" s="1">
        <v>2025</v>
      </c>
      <c r="D1744" s="1" t="s">
        <v>196</v>
      </c>
      <c r="E1744" s="6" t="s">
        <v>4081</v>
      </c>
      <c r="G1744" s="6" t="s">
        <v>4082</v>
      </c>
      <c r="H1744" s="1" t="s">
        <v>4083</v>
      </c>
    </row>
    <row r="1745" spans="1:8" x14ac:dyDescent="0.2">
      <c r="A1745" s="5">
        <v>46048.652264571763</v>
      </c>
      <c r="B1745" s="1" t="s">
        <v>47</v>
      </c>
      <c r="C1745" s="1">
        <v>2025</v>
      </c>
      <c r="D1745" s="1" t="s">
        <v>228</v>
      </c>
      <c r="E1745" s="6" t="s">
        <v>4084</v>
      </c>
      <c r="G1745" s="6" t="s">
        <v>4085</v>
      </c>
      <c r="H1745" s="1" t="s">
        <v>4086</v>
      </c>
    </row>
    <row r="1746" spans="1:8" x14ac:dyDescent="0.2">
      <c r="A1746" s="5">
        <v>46048.653668819446</v>
      </c>
      <c r="B1746" s="1" t="s">
        <v>378</v>
      </c>
      <c r="C1746" s="1">
        <v>2025</v>
      </c>
      <c r="D1746" s="1" t="s">
        <v>2015</v>
      </c>
      <c r="E1746" s="6" t="s">
        <v>4087</v>
      </c>
      <c r="G1746" s="6" t="s">
        <v>4088</v>
      </c>
      <c r="H1746" s="1" t="s">
        <v>4089</v>
      </c>
    </row>
    <row r="1747" spans="1:8" x14ac:dyDescent="0.2">
      <c r="A1747" s="5">
        <v>46048.653799907406</v>
      </c>
      <c r="B1747" s="1" t="s">
        <v>47</v>
      </c>
      <c r="C1747" s="1">
        <v>2025</v>
      </c>
      <c r="D1747" s="1" t="s">
        <v>255</v>
      </c>
      <c r="E1747" s="6" t="s">
        <v>4090</v>
      </c>
      <c r="G1747" s="6" t="s">
        <v>4091</v>
      </c>
      <c r="H1747" s="1" t="s">
        <v>4092</v>
      </c>
    </row>
    <row r="1748" spans="1:8" x14ac:dyDescent="0.2">
      <c r="A1748" s="5">
        <v>46048.661015659723</v>
      </c>
      <c r="B1748" s="1" t="s">
        <v>47</v>
      </c>
      <c r="C1748" s="1">
        <v>2025</v>
      </c>
      <c r="D1748" s="1" t="s">
        <v>277</v>
      </c>
      <c r="E1748" s="6" t="s">
        <v>4093</v>
      </c>
      <c r="G1748" s="6" t="s">
        <v>4094</v>
      </c>
      <c r="H1748" s="1" t="s">
        <v>4095</v>
      </c>
    </row>
    <row r="1749" spans="1:8" x14ac:dyDescent="0.2">
      <c r="A1749" s="5">
        <v>46048.661402824073</v>
      </c>
      <c r="B1749" s="1" t="s">
        <v>47</v>
      </c>
      <c r="C1749" s="1">
        <v>2025</v>
      </c>
      <c r="D1749" s="1" t="s">
        <v>302</v>
      </c>
      <c r="E1749" s="6" t="s">
        <v>4096</v>
      </c>
    </row>
    <row r="1750" spans="1:8" x14ac:dyDescent="0.2">
      <c r="A1750" s="5">
        <v>46048.673606365744</v>
      </c>
      <c r="B1750" s="1" t="s">
        <v>378</v>
      </c>
      <c r="C1750" s="1">
        <v>2025</v>
      </c>
      <c r="D1750" s="1" t="s">
        <v>2015</v>
      </c>
      <c r="E1750" s="6" t="s">
        <v>4097</v>
      </c>
      <c r="G1750" s="6" t="s">
        <v>4098</v>
      </c>
      <c r="H1750" s="1" t="s">
        <v>4099</v>
      </c>
    </row>
    <row r="1751" spans="1:8" x14ac:dyDescent="0.2">
      <c r="A1751" s="5">
        <v>46049.43402763889</v>
      </c>
      <c r="B1751" s="1" t="s">
        <v>8</v>
      </c>
      <c r="C1751" s="1">
        <v>2025</v>
      </c>
      <c r="D1751" s="1" t="s">
        <v>1866</v>
      </c>
      <c r="E1751" s="6" t="s">
        <v>4100</v>
      </c>
      <c r="G1751" s="6" t="s">
        <v>4101</v>
      </c>
      <c r="H1751" s="1" t="s">
        <v>4102</v>
      </c>
    </row>
    <row r="1752" spans="1:8" x14ac:dyDescent="0.2">
      <c r="A1752" s="5">
        <v>46049.434260810187</v>
      </c>
      <c r="B1752" s="1" t="s">
        <v>8</v>
      </c>
      <c r="C1752" s="1">
        <v>2025</v>
      </c>
      <c r="D1752" s="1" t="s">
        <v>2015</v>
      </c>
      <c r="E1752" s="6" t="s">
        <v>4103</v>
      </c>
      <c r="G1752" s="6" t="s">
        <v>4104</v>
      </c>
      <c r="H1752" s="1" t="s">
        <v>4105</v>
      </c>
    </row>
    <row r="1753" spans="1:8" x14ac:dyDescent="0.2">
      <c r="A1753" s="5">
        <v>46049.434804976852</v>
      </c>
      <c r="B1753" s="1" t="s">
        <v>68</v>
      </c>
      <c r="C1753" s="1">
        <v>2025</v>
      </c>
      <c r="D1753" s="1" t="s">
        <v>2015</v>
      </c>
      <c r="E1753" s="6" t="s">
        <v>4106</v>
      </c>
      <c r="G1753" s="6" t="s">
        <v>4107</v>
      </c>
      <c r="H1753" s="1" t="s">
        <v>4108</v>
      </c>
    </row>
    <row r="1754" spans="1:8" x14ac:dyDescent="0.2">
      <c r="A1754" s="5">
        <v>46049.443619768514</v>
      </c>
      <c r="B1754" s="1" t="s">
        <v>397</v>
      </c>
      <c r="C1754" s="1">
        <v>2025</v>
      </c>
      <c r="D1754" s="1" t="s">
        <v>1866</v>
      </c>
      <c r="E1754" s="6" t="s">
        <v>4109</v>
      </c>
      <c r="G1754" s="6" t="s">
        <v>4110</v>
      </c>
      <c r="H1754" s="1" t="s">
        <v>4111</v>
      </c>
    </row>
    <row r="1755" spans="1:8" x14ac:dyDescent="0.2">
      <c r="A1755" s="5">
        <v>46049.444017928239</v>
      </c>
      <c r="B1755" s="1" t="s">
        <v>397</v>
      </c>
      <c r="C1755" s="1">
        <v>2025</v>
      </c>
      <c r="D1755" s="1" t="s">
        <v>2015</v>
      </c>
      <c r="E1755" s="6" t="s">
        <v>4112</v>
      </c>
      <c r="G1755" s="6" t="s">
        <v>4113</v>
      </c>
      <c r="H1755" s="1" t="s">
        <v>4114</v>
      </c>
    </row>
    <row r="1756" spans="1:8" x14ac:dyDescent="0.2">
      <c r="A1756" s="5">
        <v>46049.458518692132</v>
      </c>
      <c r="B1756" s="1" t="s">
        <v>53</v>
      </c>
      <c r="C1756" s="1">
        <v>2025</v>
      </c>
      <c r="D1756" s="1" t="s">
        <v>1866</v>
      </c>
      <c r="E1756" s="6" t="s">
        <v>4115</v>
      </c>
      <c r="G1756" s="6" t="s">
        <v>4116</v>
      </c>
      <c r="H1756" s="1" t="s">
        <v>4117</v>
      </c>
    </row>
    <row r="1757" spans="1:8" x14ac:dyDescent="0.2">
      <c r="A1757" s="5">
        <v>46049.458909513887</v>
      </c>
      <c r="B1757" s="1" t="s">
        <v>53</v>
      </c>
      <c r="C1757" s="1">
        <v>2025</v>
      </c>
      <c r="D1757" s="1" t="s">
        <v>2015</v>
      </c>
      <c r="E1757" s="6" t="s">
        <v>4118</v>
      </c>
      <c r="G1757" s="6" t="s">
        <v>4119</v>
      </c>
      <c r="H1757" s="1" t="s">
        <v>4120</v>
      </c>
    </row>
    <row r="1758" spans="1:8" x14ac:dyDescent="0.2">
      <c r="A1758" s="5">
        <v>46049.459333958337</v>
      </c>
      <c r="B1758" s="1" t="s">
        <v>53</v>
      </c>
      <c r="C1758" s="1">
        <v>2025</v>
      </c>
      <c r="D1758" s="1" t="s">
        <v>2190</v>
      </c>
      <c r="E1758" s="6" t="s">
        <v>4121</v>
      </c>
      <c r="G1758" s="6" t="s">
        <v>4122</v>
      </c>
      <c r="H1758" s="1" t="s">
        <v>4123</v>
      </c>
    </row>
    <row r="1759" spans="1:8" x14ac:dyDescent="0.2">
      <c r="A1759" s="5">
        <v>46049.460642638893</v>
      </c>
      <c r="B1759" s="1" t="s">
        <v>53</v>
      </c>
      <c r="C1759" s="1">
        <v>2025</v>
      </c>
      <c r="D1759" s="1" t="s">
        <v>2197</v>
      </c>
      <c r="E1759" s="6" t="s">
        <v>4124</v>
      </c>
      <c r="G1759" s="6" t="s">
        <v>4125</v>
      </c>
      <c r="H1759" s="1" t="s">
        <v>4126</v>
      </c>
    </row>
    <row r="1760" spans="1:8" x14ac:dyDescent="0.2">
      <c r="A1760" s="5">
        <v>46049.624178321756</v>
      </c>
      <c r="B1760" s="1" t="s">
        <v>56</v>
      </c>
      <c r="C1760" s="1">
        <v>2025</v>
      </c>
      <c r="D1760" s="1" t="s">
        <v>2015</v>
      </c>
      <c r="E1760" s="6" t="s">
        <v>4127</v>
      </c>
      <c r="G1760" s="6" t="s">
        <v>4128</v>
      </c>
      <c r="H1760" s="1" t="s">
        <v>4129</v>
      </c>
    </row>
    <row r="1761" spans="1:8" x14ac:dyDescent="0.2">
      <c r="A1761" s="5">
        <v>46049.62446806713</v>
      </c>
      <c r="B1761" s="1" t="s">
        <v>56</v>
      </c>
      <c r="C1761" s="1">
        <v>2025</v>
      </c>
      <c r="D1761" s="1" t="s">
        <v>1866</v>
      </c>
      <c r="E1761" s="6" t="s">
        <v>4130</v>
      </c>
      <c r="G1761" s="6" t="s">
        <v>4131</v>
      </c>
      <c r="H1761" s="1" t="s">
        <v>4132</v>
      </c>
    </row>
    <row r="1762" spans="1:8" x14ac:dyDescent="0.2">
      <c r="A1762" s="5">
        <v>46049.635426597219</v>
      </c>
      <c r="B1762" s="1" t="s">
        <v>1873</v>
      </c>
      <c r="C1762" s="1">
        <v>2025</v>
      </c>
      <c r="D1762" s="1" t="s">
        <v>1866</v>
      </c>
      <c r="E1762" s="6" t="s">
        <v>4133</v>
      </c>
      <c r="G1762" s="6" t="s">
        <v>4134</v>
      </c>
      <c r="H1762" s="1" t="s">
        <v>4135</v>
      </c>
    </row>
    <row r="1763" spans="1:8" x14ac:dyDescent="0.2">
      <c r="A1763" s="5">
        <v>46050.614166157407</v>
      </c>
      <c r="B1763" s="1" t="s">
        <v>4136</v>
      </c>
      <c r="C1763" s="1">
        <v>2025</v>
      </c>
      <c r="D1763" s="1" t="s">
        <v>2190</v>
      </c>
      <c r="E1763" s="6" t="s">
        <v>4137</v>
      </c>
      <c r="G1763" s="6" t="s">
        <v>4138</v>
      </c>
      <c r="H1763" s="1" t="s">
        <v>4139</v>
      </c>
    </row>
    <row r="1764" spans="1:8" x14ac:dyDescent="0.2">
      <c r="A1764" s="5">
        <v>46050.624163171291</v>
      </c>
      <c r="B1764" s="1" t="s">
        <v>4140</v>
      </c>
      <c r="C1764" s="1">
        <v>2025</v>
      </c>
      <c r="D1764" s="1" t="s">
        <v>255</v>
      </c>
      <c r="E1764" s="6" t="s">
        <v>4141</v>
      </c>
      <c r="G1764" s="6" t="s">
        <v>4142</v>
      </c>
      <c r="H1764" s="1" t="s">
        <v>4143</v>
      </c>
    </row>
    <row r="1765" spans="1:8" x14ac:dyDescent="0.2">
      <c r="A1765" s="5">
        <v>46050.626080694448</v>
      </c>
      <c r="B1765" s="1" t="s">
        <v>4140</v>
      </c>
      <c r="C1765" s="1">
        <v>2025</v>
      </c>
      <c r="D1765" s="1" t="s">
        <v>277</v>
      </c>
      <c r="E1765" s="6" t="s">
        <v>4144</v>
      </c>
      <c r="G1765" s="6" t="s">
        <v>4145</v>
      </c>
      <c r="H1765" s="1" t="s">
        <v>4146</v>
      </c>
    </row>
    <row r="1766" spans="1:8" x14ac:dyDescent="0.2">
      <c r="A1766" s="5">
        <v>46050.626852337962</v>
      </c>
      <c r="B1766" s="1" t="s">
        <v>4140</v>
      </c>
      <c r="C1766" s="1">
        <v>2025</v>
      </c>
      <c r="D1766" s="1" t="s">
        <v>302</v>
      </c>
      <c r="E1766" s="6" t="s">
        <v>4147</v>
      </c>
      <c r="G1766" s="6" t="s">
        <v>4148</v>
      </c>
      <c r="H1766" s="1" t="s">
        <v>4149</v>
      </c>
    </row>
    <row r="1767" spans="1:8" x14ac:dyDescent="0.2">
      <c r="A1767" s="5">
        <v>46050.628732233796</v>
      </c>
      <c r="B1767" s="1" t="s">
        <v>4140</v>
      </c>
      <c r="C1767" s="1">
        <v>2025</v>
      </c>
      <c r="D1767" s="1" t="s">
        <v>2190</v>
      </c>
      <c r="E1767" s="6" t="s">
        <v>4150</v>
      </c>
      <c r="G1767" s="6" t="s">
        <v>4151</v>
      </c>
      <c r="H1767" s="1" t="s">
        <v>4152</v>
      </c>
    </row>
    <row r="1768" spans="1:8" x14ac:dyDescent="0.2">
      <c r="A1768" s="5">
        <v>46050.629264745367</v>
      </c>
      <c r="B1768" s="1" t="s">
        <v>4140</v>
      </c>
      <c r="C1768" s="1">
        <v>2025</v>
      </c>
      <c r="D1768" s="1" t="s">
        <v>1866</v>
      </c>
      <c r="E1768" s="6" t="s">
        <v>4153</v>
      </c>
      <c r="G1768" s="6" t="s">
        <v>4154</v>
      </c>
      <c r="H1768" s="1" t="s">
        <v>4155</v>
      </c>
    </row>
    <row r="1769" spans="1:8" x14ac:dyDescent="0.2">
      <c r="A1769" s="5">
        <v>46050.629731053239</v>
      </c>
      <c r="B1769" s="1" t="s">
        <v>4140</v>
      </c>
      <c r="C1769" s="1">
        <v>2025</v>
      </c>
      <c r="D1769" s="1" t="s">
        <v>2015</v>
      </c>
      <c r="E1769" s="6" t="s">
        <v>4156</v>
      </c>
      <c r="G1769" s="6" t="s">
        <v>4157</v>
      </c>
      <c r="H1769" s="1" t="s">
        <v>4158</v>
      </c>
    </row>
    <row r="1770" spans="1:8" x14ac:dyDescent="0.2">
      <c r="A1770" s="5">
        <v>46050.634915393515</v>
      </c>
      <c r="B1770" s="1" t="s">
        <v>4159</v>
      </c>
      <c r="C1770" s="1">
        <v>2025</v>
      </c>
      <c r="D1770" s="1" t="s">
        <v>255</v>
      </c>
      <c r="E1770" s="6" t="s">
        <v>4160</v>
      </c>
      <c r="G1770" s="6" t="s">
        <v>4161</v>
      </c>
      <c r="H1770" s="1" t="s">
        <v>4162</v>
      </c>
    </row>
    <row r="1771" spans="1:8" x14ac:dyDescent="0.2">
      <c r="A1771" s="5">
        <v>46050.635440162034</v>
      </c>
      <c r="B1771" s="1" t="s">
        <v>4159</v>
      </c>
      <c r="C1771" s="1">
        <v>2025</v>
      </c>
      <c r="D1771" s="1" t="s">
        <v>277</v>
      </c>
      <c r="E1771" s="6" t="s">
        <v>4163</v>
      </c>
      <c r="G1771" s="6" t="s">
        <v>4164</v>
      </c>
      <c r="H1771" s="1" t="s">
        <v>4165</v>
      </c>
    </row>
    <row r="1772" spans="1:8" x14ac:dyDescent="0.2">
      <c r="A1772" s="5">
        <v>46050.635938020831</v>
      </c>
      <c r="B1772" s="1" t="s">
        <v>4159</v>
      </c>
      <c r="C1772" s="1">
        <v>2025</v>
      </c>
      <c r="D1772" s="1" t="s">
        <v>302</v>
      </c>
      <c r="E1772" s="6" t="s">
        <v>4166</v>
      </c>
      <c r="G1772" s="6" t="s">
        <v>4167</v>
      </c>
      <c r="H1772" s="1" t="s">
        <v>4168</v>
      </c>
    </row>
    <row r="1773" spans="1:8" x14ac:dyDescent="0.2">
      <c r="A1773" s="5">
        <v>46050.636372337962</v>
      </c>
      <c r="B1773" s="1" t="s">
        <v>4159</v>
      </c>
      <c r="C1773" s="1">
        <v>2025</v>
      </c>
      <c r="D1773" s="1" t="s">
        <v>2190</v>
      </c>
      <c r="E1773" s="6" t="s">
        <v>4169</v>
      </c>
      <c r="G1773" s="6" t="s">
        <v>4170</v>
      </c>
      <c r="H1773" s="1" t="s">
        <v>4171</v>
      </c>
    </row>
    <row r="1774" spans="1:8" x14ac:dyDescent="0.2">
      <c r="A1774" s="5">
        <v>46050.636754236111</v>
      </c>
      <c r="B1774" s="1" t="s">
        <v>4159</v>
      </c>
      <c r="C1774" s="1">
        <v>2025</v>
      </c>
      <c r="D1774" s="1" t="s">
        <v>1866</v>
      </c>
      <c r="E1774" s="6" t="s">
        <v>4172</v>
      </c>
      <c r="G1774" s="6" t="s">
        <v>4173</v>
      </c>
      <c r="H1774" s="1" t="s">
        <v>4174</v>
      </c>
    </row>
    <row r="1775" spans="1:8" x14ac:dyDescent="0.2">
      <c r="A1775" s="5">
        <v>46050.637457013887</v>
      </c>
      <c r="B1775" s="1" t="s">
        <v>4159</v>
      </c>
      <c r="C1775" s="1">
        <v>2025</v>
      </c>
      <c r="D1775" s="1" t="s">
        <v>2015</v>
      </c>
      <c r="E1775" s="6" t="s">
        <v>4175</v>
      </c>
      <c r="G1775" s="6" t="s">
        <v>4176</v>
      </c>
      <c r="H1775" s="1" t="s">
        <v>4177</v>
      </c>
    </row>
    <row r="1776" spans="1:8" x14ac:dyDescent="0.2">
      <c r="A1776" s="5">
        <v>46050.650807048616</v>
      </c>
      <c r="B1776" s="1" t="s">
        <v>4178</v>
      </c>
      <c r="C1776" s="1">
        <v>2025</v>
      </c>
      <c r="D1776" s="1" t="s">
        <v>255</v>
      </c>
      <c r="E1776" s="6" t="s">
        <v>4179</v>
      </c>
      <c r="G1776" s="6" t="s">
        <v>4180</v>
      </c>
      <c r="H1776" s="1" t="s">
        <v>4181</v>
      </c>
    </row>
    <row r="1777" spans="1:8" x14ac:dyDescent="0.2">
      <c r="A1777" s="5">
        <v>46050.651191307872</v>
      </c>
      <c r="B1777" s="1" t="s">
        <v>4178</v>
      </c>
      <c r="C1777" s="1">
        <v>2025</v>
      </c>
      <c r="D1777" s="1" t="s">
        <v>277</v>
      </c>
      <c r="E1777" s="6" t="s">
        <v>4182</v>
      </c>
      <c r="G1777" s="6" t="s">
        <v>4183</v>
      </c>
      <c r="H1777" s="1" t="s">
        <v>4184</v>
      </c>
    </row>
    <row r="1778" spans="1:8" x14ac:dyDescent="0.2">
      <c r="A1778" s="5">
        <v>46050.651672615742</v>
      </c>
      <c r="B1778" s="1" t="s">
        <v>4178</v>
      </c>
      <c r="C1778" s="1">
        <v>2025</v>
      </c>
      <c r="D1778" s="1" t="s">
        <v>302</v>
      </c>
      <c r="E1778" s="6" t="s">
        <v>4185</v>
      </c>
      <c r="G1778" s="6" t="s">
        <v>4186</v>
      </c>
      <c r="H1778" s="1" t="s">
        <v>4187</v>
      </c>
    </row>
    <row r="1779" spans="1:8" x14ac:dyDescent="0.2">
      <c r="A1779" s="5">
        <v>46050.65203331018</v>
      </c>
      <c r="B1779" s="1" t="s">
        <v>4178</v>
      </c>
      <c r="C1779" s="1">
        <v>2025</v>
      </c>
      <c r="D1779" s="1" t="s">
        <v>2190</v>
      </c>
      <c r="E1779" s="6" t="s">
        <v>4188</v>
      </c>
      <c r="G1779" s="6" t="s">
        <v>4189</v>
      </c>
      <c r="H1779" s="1" t="s">
        <v>4190</v>
      </c>
    </row>
    <row r="1780" spans="1:8" x14ac:dyDescent="0.2">
      <c r="A1780" s="5">
        <v>46050.652322361115</v>
      </c>
      <c r="B1780" s="1" t="s">
        <v>4178</v>
      </c>
      <c r="C1780" s="1">
        <v>2025</v>
      </c>
      <c r="D1780" s="1" t="s">
        <v>1866</v>
      </c>
      <c r="E1780" s="6" t="s">
        <v>4191</v>
      </c>
      <c r="G1780" s="6" t="s">
        <v>4192</v>
      </c>
      <c r="H1780" s="1" t="s">
        <v>4193</v>
      </c>
    </row>
    <row r="1781" spans="1:8" x14ac:dyDescent="0.2">
      <c r="A1781" s="5">
        <v>46050.652656886574</v>
      </c>
      <c r="B1781" s="1" t="s">
        <v>4178</v>
      </c>
      <c r="C1781" s="1">
        <v>2025</v>
      </c>
      <c r="D1781" s="1" t="s">
        <v>2015</v>
      </c>
      <c r="E1781" s="6" t="s">
        <v>4194</v>
      </c>
      <c r="G1781" s="6" t="s">
        <v>4195</v>
      </c>
      <c r="H1781" s="1" t="s">
        <v>4196</v>
      </c>
    </row>
    <row r="1782" spans="1:8" x14ac:dyDescent="0.2">
      <c r="A1782" s="5">
        <v>46050.723483680558</v>
      </c>
      <c r="B1782" s="1" t="s">
        <v>2865</v>
      </c>
      <c r="C1782" s="1">
        <v>2025</v>
      </c>
      <c r="D1782" s="1" t="s">
        <v>2197</v>
      </c>
      <c r="E1782" s="6" t="s">
        <v>4197</v>
      </c>
      <c r="G1782" s="6" t="s">
        <v>4198</v>
      </c>
      <c r="H1782" s="1" t="s">
        <v>4199</v>
      </c>
    </row>
    <row r="1783" spans="1:8" x14ac:dyDescent="0.2">
      <c r="A1783" s="5">
        <v>46050.724200277778</v>
      </c>
      <c r="B1783" s="1" t="s">
        <v>2865</v>
      </c>
      <c r="C1783" s="1">
        <v>2025</v>
      </c>
      <c r="D1783" s="1" t="s">
        <v>2190</v>
      </c>
      <c r="E1783" s="6" t="s">
        <v>4200</v>
      </c>
      <c r="G1783" s="6" t="s">
        <v>4201</v>
      </c>
      <c r="H1783" s="1" t="s">
        <v>4202</v>
      </c>
    </row>
    <row r="1784" spans="1:8" x14ac:dyDescent="0.2">
      <c r="A1784" s="5">
        <v>46050.724975266203</v>
      </c>
      <c r="B1784" s="1" t="s">
        <v>2865</v>
      </c>
      <c r="C1784" s="1">
        <v>2025</v>
      </c>
      <c r="D1784" s="1" t="s">
        <v>1866</v>
      </c>
      <c r="E1784" s="6" t="s">
        <v>4203</v>
      </c>
      <c r="G1784" s="6" t="s">
        <v>4204</v>
      </c>
      <c r="H1784" s="1" t="s">
        <v>4205</v>
      </c>
    </row>
    <row r="1785" spans="1:8" x14ac:dyDescent="0.2">
      <c r="A1785" s="5">
        <v>46050.725524594905</v>
      </c>
      <c r="B1785" s="1" t="s">
        <v>2865</v>
      </c>
      <c r="C1785" s="1">
        <v>2025</v>
      </c>
      <c r="D1785" s="1" t="s">
        <v>2015</v>
      </c>
      <c r="E1785" s="6" t="s">
        <v>4206</v>
      </c>
      <c r="G1785" s="6" t="s">
        <v>4207</v>
      </c>
      <c r="H1785" s="1" t="s">
        <v>4208</v>
      </c>
    </row>
    <row r="1786" spans="1:8" x14ac:dyDescent="0.2">
      <c r="A1786" s="5">
        <v>46050.935432442129</v>
      </c>
      <c r="B1786" s="1" t="s">
        <v>4209</v>
      </c>
      <c r="C1786" s="1">
        <v>2025</v>
      </c>
      <c r="D1786" s="1" t="s">
        <v>255</v>
      </c>
      <c r="E1786" s="6" t="s">
        <v>4210</v>
      </c>
      <c r="G1786" s="6" t="s">
        <v>4211</v>
      </c>
      <c r="H1786" s="1" t="s">
        <v>4212</v>
      </c>
    </row>
    <row r="1787" spans="1:8" x14ac:dyDescent="0.2">
      <c r="A1787" s="5">
        <v>46050.93587912037</v>
      </c>
      <c r="B1787" s="1" t="s">
        <v>4209</v>
      </c>
      <c r="C1787" s="1">
        <v>2025</v>
      </c>
      <c r="D1787" s="1" t="s">
        <v>277</v>
      </c>
      <c r="E1787" s="6" t="s">
        <v>4213</v>
      </c>
      <c r="G1787" s="6" t="s">
        <v>4214</v>
      </c>
      <c r="H1787" s="1" t="s">
        <v>4215</v>
      </c>
    </row>
    <row r="1788" spans="1:8" x14ac:dyDescent="0.2">
      <c r="A1788" s="5">
        <v>46050.93626563657</v>
      </c>
      <c r="B1788" s="1" t="s">
        <v>4209</v>
      </c>
      <c r="C1788" s="1">
        <v>2025</v>
      </c>
      <c r="D1788" s="1" t="s">
        <v>302</v>
      </c>
      <c r="E1788" s="6" t="s">
        <v>4216</v>
      </c>
      <c r="G1788" s="6" t="s">
        <v>4217</v>
      </c>
      <c r="H1788" s="1" t="s">
        <v>4218</v>
      </c>
    </row>
    <row r="1789" spans="1:8" x14ac:dyDescent="0.2">
      <c r="A1789" s="5">
        <v>46051.329915300928</v>
      </c>
      <c r="B1789" s="1" t="s">
        <v>4209</v>
      </c>
      <c r="C1789" s="1">
        <v>2025</v>
      </c>
      <c r="D1789" s="1" t="s">
        <v>2015</v>
      </c>
      <c r="E1789" s="6" t="s">
        <v>4219</v>
      </c>
      <c r="G1789" s="6" t="s">
        <v>4220</v>
      </c>
      <c r="H1789" s="1" t="s">
        <v>4221</v>
      </c>
    </row>
    <row r="1790" spans="1:8" x14ac:dyDescent="0.2">
      <c r="A1790" s="5">
        <v>46051.331235370366</v>
      </c>
      <c r="B1790" s="1" t="s">
        <v>4209</v>
      </c>
      <c r="C1790" s="1">
        <v>2025</v>
      </c>
      <c r="D1790" s="1" t="s">
        <v>1866</v>
      </c>
      <c r="E1790" s="6" t="s">
        <v>4222</v>
      </c>
      <c r="G1790" s="6" t="s">
        <v>4223</v>
      </c>
      <c r="H1790" s="1" t="s">
        <v>4224</v>
      </c>
    </row>
    <row r="1791" spans="1:8" x14ac:dyDescent="0.2">
      <c r="A1791" s="5">
        <v>46051.382752928243</v>
      </c>
      <c r="B1791" s="1" t="s">
        <v>4209</v>
      </c>
      <c r="C1791" s="1">
        <v>2025</v>
      </c>
      <c r="D1791" s="1" t="s">
        <v>2190</v>
      </c>
      <c r="E1791" s="6" t="s">
        <v>4225</v>
      </c>
      <c r="G1791" s="6" t="s">
        <v>4226</v>
      </c>
      <c r="H1791" s="1" t="s">
        <v>4227</v>
      </c>
    </row>
  </sheetData>
  <autoFilter ref="A1:K1791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  <hyperlink ref="E302" r:id="rId301" xr:uid="{00000000-0004-0000-0000-00002C010000}"/>
    <hyperlink ref="E303" r:id="rId302" xr:uid="{00000000-0004-0000-0000-00002D010000}"/>
    <hyperlink ref="E304" r:id="rId303" xr:uid="{00000000-0004-0000-0000-00002E010000}"/>
    <hyperlink ref="E305" r:id="rId304" xr:uid="{00000000-0004-0000-0000-00002F010000}"/>
    <hyperlink ref="E306" r:id="rId305" xr:uid="{00000000-0004-0000-0000-000030010000}"/>
    <hyperlink ref="E307" r:id="rId306" xr:uid="{00000000-0004-0000-0000-000031010000}"/>
    <hyperlink ref="E308" r:id="rId307" xr:uid="{00000000-0004-0000-0000-000032010000}"/>
    <hyperlink ref="E309" r:id="rId308" xr:uid="{00000000-0004-0000-0000-000033010000}"/>
    <hyperlink ref="E310" r:id="rId309" xr:uid="{00000000-0004-0000-0000-000034010000}"/>
    <hyperlink ref="E311" r:id="rId310" xr:uid="{00000000-0004-0000-0000-000035010000}"/>
    <hyperlink ref="E312" r:id="rId311" xr:uid="{00000000-0004-0000-0000-000036010000}"/>
    <hyperlink ref="E313" r:id="rId312" xr:uid="{00000000-0004-0000-0000-000037010000}"/>
    <hyperlink ref="E314" r:id="rId313" xr:uid="{00000000-0004-0000-0000-000038010000}"/>
    <hyperlink ref="E315" r:id="rId314" xr:uid="{00000000-0004-0000-0000-000039010000}"/>
    <hyperlink ref="E316" r:id="rId315" xr:uid="{00000000-0004-0000-0000-00003A010000}"/>
    <hyperlink ref="E317" r:id="rId316" xr:uid="{00000000-0004-0000-0000-00003B010000}"/>
    <hyperlink ref="E318" r:id="rId317" xr:uid="{00000000-0004-0000-0000-00003C010000}"/>
    <hyperlink ref="E319" r:id="rId318" xr:uid="{00000000-0004-0000-0000-00003D010000}"/>
    <hyperlink ref="E320" r:id="rId319" xr:uid="{00000000-0004-0000-0000-00003E010000}"/>
    <hyperlink ref="E321" r:id="rId320" xr:uid="{00000000-0004-0000-0000-00003F010000}"/>
    <hyperlink ref="E322" r:id="rId321" xr:uid="{00000000-0004-0000-0000-000040010000}"/>
    <hyperlink ref="E323" r:id="rId322" xr:uid="{00000000-0004-0000-0000-000041010000}"/>
    <hyperlink ref="E324" r:id="rId323" xr:uid="{00000000-0004-0000-0000-000042010000}"/>
    <hyperlink ref="E325" r:id="rId324" xr:uid="{00000000-0004-0000-0000-000043010000}"/>
    <hyperlink ref="E326" r:id="rId325" xr:uid="{00000000-0004-0000-0000-000044010000}"/>
    <hyperlink ref="E327" r:id="rId326" xr:uid="{00000000-0004-0000-0000-000045010000}"/>
    <hyperlink ref="E328" r:id="rId327" xr:uid="{00000000-0004-0000-0000-000046010000}"/>
    <hyperlink ref="E329" r:id="rId328" xr:uid="{00000000-0004-0000-0000-000047010000}"/>
    <hyperlink ref="E330" r:id="rId329" xr:uid="{00000000-0004-0000-0000-000048010000}"/>
    <hyperlink ref="E331" r:id="rId330" xr:uid="{00000000-0004-0000-0000-000049010000}"/>
    <hyperlink ref="E332" r:id="rId331" xr:uid="{00000000-0004-0000-0000-00004A010000}"/>
    <hyperlink ref="E333" r:id="rId332" xr:uid="{00000000-0004-0000-0000-00004B010000}"/>
    <hyperlink ref="E334" r:id="rId333" xr:uid="{00000000-0004-0000-0000-00004C010000}"/>
    <hyperlink ref="E335" r:id="rId334" xr:uid="{00000000-0004-0000-0000-00004D010000}"/>
    <hyperlink ref="E336" r:id="rId335" xr:uid="{00000000-0004-0000-0000-00004E010000}"/>
    <hyperlink ref="E337" r:id="rId336" xr:uid="{00000000-0004-0000-0000-00004F010000}"/>
    <hyperlink ref="E338" r:id="rId337" xr:uid="{00000000-0004-0000-0000-000050010000}"/>
    <hyperlink ref="E339" r:id="rId338" xr:uid="{00000000-0004-0000-0000-000051010000}"/>
    <hyperlink ref="E340" r:id="rId339" xr:uid="{00000000-0004-0000-0000-000052010000}"/>
    <hyperlink ref="E341" r:id="rId340" xr:uid="{00000000-0004-0000-0000-000053010000}"/>
    <hyperlink ref="E342" r:id="rId341" xr:uid="{00000000-0004-0000-0000-000054010000}"/>
    <hyperlink ref="E343" r:id="rId342" xr:uid="{00000000-0004-0000-0000-000055010000}"/>
    <hyperlink ref="E344" r:id="rId343" xr:uid="{00000000-0004-0000-0000-000056010000}"/>
    <hyperlink ref="E345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9" r:id="rId348" xr:uid="{00000000-0004-0000-0000-00005B010000}"/>
    <hyperlink ref="E350" r:id="rId349" xr:uid="{00000000-0004-0000-0000-00005C010000}"/>
    <hyperlink ref="E351" r:id="rId350" xr:uid="{00000000-0004-0000-0000-00005D010000}"/>
    <hyperlink ref="E352" r:id="rId351" xr:uid="{00000000-0004-0000-0000-00005E010000}"/>
    <hyperlink ref="E353" r:id="rId352" xr:uid="{00000000-0004-0000-0000-00005F010000}"/>
    <hyperlink ref="E354" r:id="rId353" xr:uid="{00000000-0004-0000-0000-000060010000}"/>
    <hyperlink ref="E355" r:id="rId354" xr:uid="{00000000-0004-0000-0000-000061010000}"/>
    <hyperlink ref="E356" r:id="rId355" xr:uid="{00000000-0004-0000-0000-000062010000}"/>
    <hyperlink ref="E357" r:id="rId356" xr:uid="{00000000-0004-0000-0000-000063010000}"/>
    <hyperlink ref="E358" r:id="rId357" xr:uid="{00000000-0004-0000-0000-000064010000}"/>
    <hyperlink ref="E359" r:id="rId358" xr:uid="{00000000-0004-0000-0000-000065010000}"/>
    <hyperlink ref="E360" r:id="rId359" xr:uid="{00000000-0004-0000-0000-000066010000}"/>
    <hyperlink ref="E361" r:id="rId360" xr:uid="{00000000-0004-0000-0000-000067010000}"/>
    <hyperlink ref="E362" r:id="rId361" xr:uid="{00000000-0004-0000-0000-000068010000}"/>
    <hyperlink ref="E363" r:id="rId362" xr:uid="{00000000-0004-0000-0000-000069010000}"/>
    <hyperlink ref="E364" r:id="rId363" xr:uid="{00000000-0004-0000-0000-00006A010000}"/>
    <hyperlink ref="E365" r:id="rId364" xr:uid="{00000000-0004-0000-0000-00006B010000}"/>
    <hyperlink ref="E366" r:id="rId365" xr:uid="{00000000-0004-0000-0000-00006C010000}"/>
    <hyperlink ref="E367" r:id="rId366" xr:uid="{00000000-0004-0000-0000-00006D010000}"/>
    <hyperlink ref="E368" r:id="rId367" xr:uid="{00000000-0004-0000-0000-00006E010000}"/>
    <hyperlink ref="E369" r:id="rId368" xr:uid="{00000000-0004-0000-0000-00006F010000}"/>
    <hyperlink ref="E370" r:id="rId369" xr:uid="{00000000-0004-0000-0000-000070010000}"/>
    <hyperlink ref="E371" r:id="rId370" xr:uid="{00000000-0004-0000-0000-000071010000}"/>
    <hyperlink ref="E372" r:id="rId371" xr:uid="{00000000-0004-0000-0000-000072010000}"/>
    <hyperlink ref="E373" r:id="rId372" xr:uid="{00000000-0004-0000-0000-000073010000}"/>
    <hyperlink ref="E374" r:id="rId373" xr:uid="{00000000-0004-0000-0000-000074010000}"/>
    <hyperlink ref="E375" r:id="rId374" xr:uid="{00000000-0004-0000-0000-000075010000}"/>
    <hyperlink ref="E376" r:id="rId375" xr:uid="{00000000-0004-0000-0000-000076010000}"/>
    <hyperlink ref="E377" r:id="rId376" xr:uid="{00000000-0004-0000-0000-000077010000}"/>
    <hyperlink ref="E378" r:id="rId377" xr:uid="{00000000-0004-0000-0000-000078010000}"/>
    <hyperlink ref="E379" r:id="rId378" xr:uid="{00000000-0004-0000-0000-000079010000}"/>
    <hyperlink ref="E380" r:id="rId379" xr:uid="{00000000-0004-0000-0000-00007A010000}"/>
    <hyperlink ref="E381" r:id="rId380" xr:uid="{00000000-0004-0000-0000-00007B010000}"/>
    <hyperlink ref="E382" r:id="rId381" xr:uid="{00000000-0004-0000-0000-00007C010000}"/>
    <hyperlink ref="E383" r:id="rId382" xr:uid="{00000000-0004-0000-0000-00007D010000}"/>
    <hyperlink ref="E384" r:id="rId383" xr:uid="{00000000-0004-0000-0000-00007E010000}"/>
    <hyperlink ref="E385" r:id="rId384" xr:uid="{00000000-0004-0000-0000-00007F010000}"/>
    <hyperlink ref="E386" r:id="rId385" xr:uid="{00000000-0004-0000-0000-000080010000}"/>
    <hyperlink ref="E387" r:id="rId386" xr:uid="{00000000-0004-0000-0000-000081010000}"/>
    <hyperlink ref="E388" r:id="rId387" xr:uid="{00000000-0004-0000-0000-000082010000}"/>
    <hyperlink ref="E389" r:id="rId388" xr:uid="{00000000-0004-0000-0000-000083010000}"/>
    <hyperlink ref="E390" r:id="rId389" xr:uid="{00000000-0004-0000-0000-000084010000}"/>
    <hyperlink ref="E391" r:id="rId390" xr:uid="{00000000-0004-0000-0000-000085010000}"/>
    <hyperlink ref="E392" r:id="rId391" xr:uid="{00000000-0004-0000-0000-000086010000}"/>
    <hyperlink ref="E393" r:id="rId392" xr:uid="{00000000-0004-0000-0000-000087010000}"/>
    <hyperlink ref="E394" r:id="rId393" xr:uid="{00000000-0004-0000-0000-000088010000}"/>
    <hyperlink ref="E395" r:id="rId394" xr:uid="{00000000-0004-0000-0000-000089010000}"/>
    <hyperlink ref="E396" r:id="rId395" xr:uid="{00000000-0004-0000-0000-00008A010000}"/>
    <hyperlink ref="E397" r:id="rId396" xr:uid="{00000000-0004-0000-0000-00008B010000}"/>
    <hyperlink ref="E398" r:id="rId397" xr:uid="{00000000-0004-0000-0000-00008C010000}"/>
    <hyperlink ref="E399" r:id="rId398" xr:uid="{00000000-0004-0000-0000-00008D010000}"/>
    <hyperlink ref="E400" r:id="rId399" xr:uid="{00000000-0004-0000-0000-00008E010000}"/>
    <hyperlink ref="E401" r:id="rId400" xr:uid="{00000000-0004-0000-0000-00008F010000}"/>
    <hyperlink ref="E402" r:id="rId401" xr:uid="{00000000-0004-0000-0000-000090010000}"/>
    <hyperlink ref="E403" r:id="rId402" xr:uid="{00000000-0004-0000-0000-000091010000}"/>
    <hyperlink ref="E404" r:id="rId403" xr:uid="{00000000-0004-0000-0000-000092010000}"/>
    <hyperlink ref="E405" r:id="rId404" xr:uid="{00000000-0004-0000-0000-000093010000}"/>
    <hyperlink ref="E406" r:id="rId405" xr:uid="{00000000-0004-0000-0000-000094010000}"/>
    <hyperlink ref="E407" r:id="rId406" xr:uid="{00000000-0004-0000-0000-000095010000}"/>
    <hyperlink ref="E408" r:id="rId407" xr:uid="{00000000-0004-0000-0000-000096010000}"/>
    <hyperlink ref="E409" r:id="rId408" xr:uid="{00000000-0004-0000-0000-000097010000}"/>
    <hyperlink ref="E410" r:id="rId409" xr:uid="{00000000-0004-0000-0000-000098010000}"/>
    <hyperlink ref="E411" r:id="rId410" xr:uid="{00000000-0004-0000-0000-000099010000}"/>
    <hyperlink ref="E412" r:id="rId411" xr:uid="{00000000-0004-0000-0000-00009A010000}"/>
    <hyperlink ref="E413" r:id="rId412" xr:uid="{00000000-0004-0000-0000-00009B010000}"/>
    <hyperlink ref="E414" r:id="rId413" xr:uid="{00000000-0004-0000-0000-00009C010000}"/>
    <hyperlink ref="E415" r:id="rId414" xr:uid="{00000000-0004-0000-0000-00009D010000}"/>
    <hyperlink ref="E416" r:id="rId415" xr:uid="{00000000-0004-0000-0000-00009E010000}"/>
    <hyperlink ref="E417" r:id="rId416" xr:uid="{00000000-0004-0000-0000-00009F010000}"/>
    <hyperlink ref="E418" r:id="rId417" xr:uid="{00000000-0004-0000-0000-0000A0010000}"/>
    <hyperlink ref="E419" r:id="rId418" xr:uid="{00000000-0004-0000-0000-0000A1010000}"/>
    <hyperlink ref="E420" r:id="rId419" xr:uid="{00000000-0004-0000-0000-0000A2010000}"/>
    <hyperlink ref="E421" r:id="rId420" xr:uid="{00000000-0004-0000-0000-0000A3010000}"/>
    <hyperlink ref="E422" r:id="rId421" xr:uid="{00000000-0004-0000-0000-0000A4010000}"/>
    <hyperlink ref="E423" r:id="rId422" xr:uid="{00000000-0004-0000-0000-0000A5010000}"/>
    <hyperlink ref="E424" r:id="rId423" xr:uid="{00000000-0004-0000-0000-0000A6010000}"/>
    <hyperlink ref="E425" r:id="rId424" xr:uid="{00000000-0004-0000-0000-0000A7010000}"/>
    <hyperlink ref="E426" r:id="rId425" xr:uid="{00000000-0004-0000-0000-0000A8010000}"/>
    <hyperlink ref="E427" r:id="rId426" xr:uid="{00000000-0004-0000-0000-0000A9010000}"/>
    <hyperlink ref="E428" r:id="rId427" xr:uid="{00000000-0004-0000-0000-0000AA010000}"/>
    <hyperlink ref="E429" r:id="rId428" xr:uid="{00000000-0004-0000-0000-0000AB010000}"/>
    <hyperlink ref="E430" r:id="rId429" xr:uid="{00000000-0004-0000-0000-0000AC010000}"/>
    <hyperlink ref="E431" r:id="rId430" xr:uid="{00000000-0004-0000-0000-0000AD010000}"/>
    <hyperlink ref="E432" r:id="rId431" xr:uid="{00000000-0004-0000-0000-0000AE010000}"/>
    <hyperlink ref="E433" r:id="rId432" xr:uid="{00000000-0004-0000-0000-0000AF010000}"/>
    <hyperlink ref="E434" r:id="rId433" xr:uid="{00000000-0004-0000-0000-0000B0010000}"/>
    <hyperlink ref="E435" r:id="rId434" xr:uid="{00000000-0004-0000-0000-0000B1010000}"/>
    <hyperlink ref="E436" r:id="rId435" xr:uid="{00000000-0004-0000-0000-0000B2010000}"/>
    <hyperlink ref="E437" r:id="rId436" xr:uid="{00000000-0004-0000-0000-0000B3010000}"/>
    <hyperlink ref="E438" r:id="rId437" xr:uid="{00000000-0004-0000-0000-0000B4010000}"/>
    <hyperlink ref="E439" r:id="rId438" xr:uid="{00000000-0004-0000-0000-0000B5010000}"/>
    <hyperlink ref="E440" r:id="rId439" xr:uid="{00000000-0004-0000-0000-0000B6010000}"/>
    <hyperlink ref="E441" r:id="rId440" xr:uid="{00000000-0004-0000-0000-0000B7010000}"/>
    <hyperlink ref="E442" r:id="rId441" xr:uid="{00000000-0004-0000-0000-0000B8010000}"/>
    <hyperlink ref="E443" r:id="rId442" xr:uid="{00000000-0004-0000-0000-0000B9010000}"/>
    <hyperlink ref="E444" r:id="rId443" xr:uid="{00000000-0004-0000-0000-0000BA010000}"/>
    <hyperlink ref="E445" r:id="rId444" xr:uid="{00000000-0004-0000-0000-0000BB010000}"/>
    <hyperlink ref="E446" r:id="rId445" xr:uid="{00000000-0004-0000-0000-0000BC010000}"/>
    <hyperlink ref="E447" r:id="rId446" xr:uid="{00000000-0004-0000-0000-0000BD010000}"/>
    <hyperlink ref="E448" r:id="rId447" xr:uid="{00000000-0004-0000-0000-0000BE010000}"/>
    <hyperlink ref="E449" r:id="rId448" xr:uid="{00000000-0004-0000-0000-0000BF010000}"/>
    <hyperlink ref="E450" r:id="rId449" xr:uid="{00000000-0004-0000-0000-0000C0010000}"/>
    <hyperlink ref="E451" r:id="rId450" xr:uid="{00000000-0004-0000-0000-0000C1010000}"/>
    <hyperlink ref="E452" r:id="rId451" xr:uid="{00000000-0004-0000-0000-0000C2010000}"/>
    <hyperlink ref="E453" r:id="rId452" xr:uid="{00000000-0004-0000-0000-0000C3010000}"/>
    <hyperlink ref="E454" r:id="rId453" xr:uid="{00000000-0004-0000-0000-0000C4010000}"/>
    <hyperlink ref="E455" r:id="rId454" xr:uid="{00000000-0004-0000-0000-0000C5010000}"/>
    <hyperlink ref="E456" r:id="rId455" xr:uid="{00000000-0004-0000-0000-0000C6010000}"/>
    <hyperlink ref="E457" r:id="rId456" xr:uid="{00000000-0004-0000-0000-0000C7010000}"/>
    <hyperlink ref="E458" r:id="rId457" xr:uid="{00000000-0004-0000-0000-0000C8010000}"/>
    <hyperlink ref="E459" r:id="rId458" xr:uid="{00000000-0004-0000-0000-0000C9010000}"/>
    <hyperlink ref="E460" r:id="rId459" xr:uid="{00000000-0004-0000-0000-0000CA010000}"/>
    <hyperlink ref="E461" r:id="rId460" xr:uid="{00000000-0004-0000-0000-0000CB010000}"/>
    <hyperlink ref="E462" r:id="rId461" xr:uid="{00000000-0004-0000-0000-0000CC010000}"/>
    <hyperlink ref="E463" r:id="rId462" xr:uid="{00000000-0004-0000-0000-0000CD010000}"/>
    <hyperlink ref="E464" r:id="rId463" xr:uid="{00000000-0004-0000-0000-0000CE010000}"/>
    <hyperlink ref="E465" r:id="rId464" xr:uid="{00000000-0004-0000-0000-0000CF010000}"/>
    <hyperlink ref="E466" r:id="rId465" xr:uid="{00000000-0004-0000-0000-0000D0010000}"/>
    <hyperlink ref="E467" r:id="rId466" xr:uid="{00000000-0004-0000-0000-0000D1010000}"/>
    <hyperlink ref="E468" r:id="rId467" xr:uid="{00000000-0004-0000-0000-0000D2010000}"/>
    <hyperlink ref="E469" r:id="rId468" xr:uid="{00000000-0004-0000-0000-0000D3010000}"/>
    <hyperlink ref="E470" r:id="rId469" xr:uid="{00000000-0004-0000-0000-0000D4010000}"/>
    <hyperlink ref="E471" r:id="rId470" xr:uid="{00000000-0004-0000-0000-0000D5010000}"/>
    <hyperlink ref="E472" r:id="rId471" xr:uid="{00000000-0004-0000-0000-0000D6010000}"/>
    <hyperlink ref="E473" r:id="rId472" xr:uid="{00000000-0004-0000-0000-0000D7010000}"/>
    <hyperlink ref="E474" r:id="rId473" xr:uid="{00000000-0004-0000-0000-0000D8010000}"/>
    <hyperlink ref="E475" r:id="rId474" xr:uid="{00000000-0004-0000-0000-0000D9010000}"/>
    <hyperlink ref="E476" r:id="rId475" xr:uid="{00000000-0004-0000-0000-0000DA010000}"/>
    <hyperlink ref="E477" r:id="rId476" xr:uid="{00000000-0004-0000-0000-0000DB010000}"/>
    <hyperlink ref="E478" r:id="rId477" xr:uid="{00000000-0004-0000-0000-0000DC010000}"/>
    <hyperlink ref="E479" r:id="rId478" xr:uid="{00000000-0004-0000-0000-0000DD010000}"/>
    <hyperlink ref="E480" r:id="rId479" xr:uid="{00000000-0004-0000-0000-0000DE010000}"/>
    <hyperlink ref="E481" r:id="rId480" xr:uid="{00000000-0004-0000-0000-0000DF010000}"/>
    <hyperlink ref="E482" r:id="rId481" xr:uid="{00000000-0004-0000-0000-0000E0010000}"/>
    <hyperlink ref="E483" r:id="rId482" xr:uid="{00000000-0004-0000-0000-0000E1010000}"/>
    <hyperlink ref="E484" r:id="rId483" xr:uid="{00000000-0004-0000-0000-0000E2010000}"/>
    <hyperlink ref="E485" r:id="rId484" xr:uid="{00000000-0004-0000-0000-0000E3010000}"/>
    <hyperlink ref="E486" r:id="rId485" xr:uid="{00000000-0004-0000-0000-0000E4010000}"/>
    <hyperlink ref="E487" r:id="rId486" xr:uid="{00000000-0004-0000-0000-0000E5010000}"/>
    <hyperlink ref="E488" r:id="rId487" xr:uid="{00000000-0004-0000-0000-0000E6010000}"/>
    <hyperlink ref="E489" r:id="rId488" xr:uid="{00000000-0004-0000-0000-0000E7010000}"/>
    <hyperlink ref="E490" r:id="rId489" xr:uid="{00000000-0004-0000-0000-0000E8010000}"/>
    <hyperlink ref="E491" r:id="rId490" xr:uid="{00000000-0004-0000-0000-0000E9010000}"/>
    <hyperlink ref="E492" r:id="rId491" xr:uid="{00000000-0004-0000-0000-0000EA010000}"/>
    <hyperlink ref="E493" r:id="rId492" xr:uid="{00000000-0004-0000-0000-0000EB010000}"/>
    <hyperlink ref="E494" r:id="rId493" xr:uid="{00000000-0004-0000-0000-0000EC010000}"/>
    <hyperlink ref="E495" r:id="rId494" xr:uid="{00000000-0004-0000-0000-0000ED010000}"/>
    <hyperlink ref="E496" r:id="rId495" xr:uid="{00000000-0004-0000-0000-0000EE010000}"/>
    <hyperlink ref="E497" r:id="rId496" xr:uid="{00000000-0004-0000-0000-0000EF010000}"/>
    <hyperlink ref="E498" r:id="rId497" xr:uid="{00000000-0004-0000-0000-0000F0010000}"/>
    <hyperlink ref="E499" r:id="rId498" xr:uid="{00000000-0004-0000-0000-0000F1010000}"/>
    <hyperlink ref="E500" r:id="rId499" xr:uid="{00000000-0004-0000-0000-0000F2010000}"/>
    <hyperlink ref="E501" r:id="rId500" xr:uid="{00000000-0004-0000-0000-0000F3010000}"/>
    <hyperlink ref="E502" r:id="rId501" xr:uid="{00000000-0004-0000-0000-0000F4010000}"/>
    <hyperlink ref="E503" r:id="rId502" xr:uid="{00000000-0004-0000-0000-0000F5010000}"/>
    <hyperlink ref="E504" r:id="rId503" xr:uid="{00000000-0004-0000-0000-0000F6010000}"/>
    <hyperlink ref="E505" r:id="rId504" xr:uid="{00000000-0004-0000-0000-0000F7010000}"/>
    <hyperlink ref="E506" r:id="rId505" xr:uid="{00000000-0004-0000-0000-0000F8010000}"/>
    <hyperlink ref="E507" r:id="rId506" xr:uid="{00000000-0004-0000-0000-0000F9010000}"/>
    <hyperlink ref="E508" r:id="rId507" xr:uid="{00000000-0004-0000-0000-0000FA010000}"/>
    <hyperlink ref="E509" r:id="rId508" xr:uid="{00000000-0004-0000-0000-0000FB010000}"/>
    <hyperlink ref="E510" r:id="rId509" xr:uid="{00000000-0004-0000-0000-0000FC010000}"/>
    <hyperlink ref="E511" r:id="rId510" xr:uid="{00000000-0004-0000-0000-0000FD010000}"/>
    <hyperlink ref="E512" r:id="rId511" xr:uid="{00000000-0004-0000-0000-0000FE010000}"/>
    <hyperlink ref="E513" r:id="rId512" xr:uid="{00000000-0004-0000-0000-0000FF010000}"/>
    <hyperlink ref="E514" r:id="rId513" xr:uid="{00000000-0004-0000-0000-000000020000}"/>
    <hyperlink ref="E515" r:id="rId514" xr:uid="{00000000-0004-0000-0000-000001020000}"/>
    <hyperlink ref="E516" r:id="rId515" xr:uid="{00000000-0004-0000-0000-000002020000}"/>
    <hyperlink ref="E517" r:id="rId516" xr:uid="{00000000-0004-0000-0000-000003020000}"/>
    <hyperlink ref="E518" r:id="rId517" xr:uid="{00000000-0004-0000-0000-000004020000}"/>
    <hyperlink ref="E519" r:id="rId518" xr:uid="{00000000-0004-0000-0000-000005020000}"/>
    <hyperlink ref="E520" r:id="rId519" xr:uid="{00000000-0004-0000-0000-000006020000}"/>
    <hyperlink ref="E521" r:id="rId520" xr:uid="{00000000-0004-0000-0000-000007020000}"/>
    <hyperlink ref="E522" r:id="rId521" xr:uid="{00000000-0004-0000-0000-000008020000}"/>
    <hyperlink ref="E523" r:id="rId522" xr:uid="{00000000-0004-0000-0000-000009020000}"/>
    <hyperlink ref="E524" r:id="rId523" xr:uid="{00000000-0004-0000-0000-00000A020000}"/>
    <hyperlink ref="E525" r:id="rId524" xr:uid="{00000000-0004-0000-0000-00000B020000}"/>
    <hyperlink ref="E526" r:id="rId525" xr:uid="{00000000-0004-0000-0000-00000C020000}"/>
    <hyperlink ref="E527" r:id="rId526" xr:uid="{00000000-0004-0000-0000-00000D020000}"/>
    <hyperlink ref="E528" r:id="rId527" xr:uid="{00000000-0004-0000-0000-00000E020000}"/>
    <hyperlink ref="E529" r:id="rId528" xr:uid="{00000000-0004-0000-0000-00000F020000}"/>
    <hyperlink ref="E530" r:id="rId529" xr:uid="{00000000-0004-0000-0000-000010020000}"/>
    <hyperlink ref="E531" r:id="rId530" xr:uid="{00000000-0004-0000-0000-000011020000}"/>
    <hyperlink ref="E532" r:id="rId531" xr:uid="{00000000-0004-0000-0000-000012020000}"/>
    <hyperlink ref="E533" r:id="rId532" xr:uid="{00000000-0004-0000-0000-000013020000}"/>
    <hyperlink ref="E534" r:id="rId533" xr:uid="{00000000-0004-0000-0000-000014020000}"/>
    <hyperlink ref="E535" r:id="rId534" xr:uid="{00000000-0004-0000-0000-000015020000}"/>
    <hyperlink ref="E536" r:id="rId535" xr:uid="{00000000-0004-0000-0000-000016020000}"/>
    <hyperlink ref="E537" r:id="rId536" xr:uid="{00000000-0004-0000-0000-000017020000}"/>
    <hyperlink ref="E538" r:id="rId537" xr:uid="{00000000-0004-0000-0000-000018020000}"/>
    <hyperlink ref="E539" r:id="rId538" xr:uid="{00000000-0004-0000-0000-000019020000}"/>
    <hyperlink ref="E540" r:id="rId539" xr:uid="{00000000-0004-0000-0000-00001A020000}"/>
    <hyperlink ref="E541" r:id="rId540" xr:uid="{00000000-0004-0000-0000-00001B020000}"/>
    <hyperlink ref="E542" r:id="rId541" xr:uid="{00000000-0004-0000-0000-00001C020000}"/>
    <hyperlink ref="E543" r:id="rId542" xr:uid="{00000000-0004-0000-0000-00001D020000}"/>
    <hyperlink ref="E544" r:id="rId543" xr:uid="{00000000-0004-0000-0000-00001E020000}"/>
    <hyperlink ref="E545" r:id="rId544" xr:uid="{00000000-0004-0000-0000-00001F020000}"/>
    <hyperlink ref="E546" r:id="rId545" xr:uid="{00000000-0004-0000-0000-000020020000}"/>
    <hyperlink ref="E547" r:id="rId546" xr:uid="{00000000-0004-0000-0000-000021020000}"/>
    <hyperlink ref="E548" r:id="rId547" xr:uid="{00000000-0004-0000-0000-000022020000}"/>
    <hyperlink ref="E549" r:id="rId548" xr:uid="{00000000-0004-0000-0000-000023020000}"/>
    <hyperlink ref="E550" r:id="rId549" xr:uid="{00000000-0004-0000-0000-000024020000}"/>
    <hyperlink ref="E551" r:id="rId550" xr:uid="{00000000-0004-0000-0000-000025020000}"/>
    <hyperlink ref="E552" r:id="rId551" xr:uid="{00000000-0004-0000-0000-000026020000}"/>
    <hyperlink ref="E553" r:id="rId552" xr:uid="{00000000-0004-0000-0000-000027020000}"/>
    <hyperlink ref="E554" r:id="rId553" xr:uid="{00000000-0004-0000-0000-000028020000}"/>
    <hyperlink ref="E555" r:id="rId554" xr:uid="{00000000-0004-0000-0000-000029020000}"/>
    <hyperlink ref="E556" r:id="rId555" xr:uid="{00000000-0004-0000-0000-00002A020000}"/>
    <hyperlink ref="E557" r:id="rId556" xr:uid="{00000000-0004-0000-0000-00002B020000}"/>
    <hyperlink ref="E558" r:id="rId557" xr:uid="{00000000-0004-0000-0000-00002C020000}"/>
    <hyperlink ref="E559" r:id="rId558" xr:uid="{00000000-0004-0000-0000-00002D020000}"/>
    <hyperlink ref="E560" r:id="rId559" xr:uid="{00000000-0004-0000-0000-00002E020000}"/>
    <hyperlink ref="E561" r:id="rId560" xr:uid="{00000000-0004-0000-0000-00002F020000}"/>
    <hyperlink ref="E562" r:id="rId561" xr:uid="{00000000-0004-0000-0000-000030020000}"/>
    <hyperlink ref="E563" r:id="rId562" xr:uid="{00000000-0004-0000-0000-000031020000}"/>
    <hyperlink ref="E564" r:id="rId563" xr:uid="{00000000-0004-0000-0000-000032020000}"/>
    <hyperlink ref="E565" r:id="rId564" xr:uid="{00000000-0004-0000-0000-000033020000}"/>
    <hyperlink ref="E566" r:id="rId565" xr:uid="{00000000-0004-0000-0000-000034020000}"/>
    <hyperlink ref="E567" r:id="rId566" xr:uid="{00000000-0004-0000-0000-000035020000}"/>
    <hyperlink ref="E568" r:id="rId567" xr:uid="{00000000-0004-0000-0000-000036020000}"/>
    <hyperlink ref="E569" r:id="rId568" xr:uid="{00000000-0004-0000-0000-000037020000}"/>
    <hyperlink ref="E570" r:id="rId569" xr:uid="{00000000-0004-0000-0000-000038020000}"/>
    <hyperlink ref="E571" r:id="rId570" xr:uid="{00000000-0004-0000-0000-000039020000}"/>
    <hyperlink ref="E572" r:id="rId571" xr:uid="{00000000-0004-0000-0000-00003A020000}"/>
    <hyperlink ref="E573" r:id="rId572" xr:uid="{00000000-0004-0000-0000-00003B020000}"/>
    <hyperlink ref="E574" r:id="rId573" xr:uid="{00000000-0004-0000-0000-00003C020000}"/>
    <hyperlink ref="E575" r:id="rId574" xr:uid="{00000000-0004-0000-0000-00003D020000}"/>
    <hyperlink ref="E576" r:id="rId575" xr:uid="{00000000-0004-0000-0000-00003E020000}"/>
    <hyperlink ref="E577" r:id="rId576" xr:uid="{00000000-0004-0000-0000-00003F020000}"/>
    <hyperlink ref="E578" r:id="rId577" xr:uid="{00000000-0004-0000-0000-000040020000}"/>
    <hyperlink ref="E579" r:id="rId578" xr:uid="{00000000-0004-0000-0000-000041020000}"/>
    <hyperlink ref="E580" r:id="rId579" xr:uid="{00000000-0004-0000-0000-000042020000}"/>
    <hyperlink ref="E581" r:id="rId580" xr:uid="{00000000-0004-0000-0000-000043020000}"/>
    <hyperlink ref="E582" r:id="rId581" xr:uid="{00000000-0004-0000-0000-000044020000}"/>
    <hyperlink ref="E583" r:id="rId582" xr:uid="{00000000-0004-0000-0000-000045020000}"/>
    <hyperlink ref="E584" r:id="rId583" xr:uid="{00000000-0004-0000-0000-000046020000}"/>
    <hyperlink ref="E585" r:id="rId584" xr:uid="{00000000-0004-0000-0000-000047020000}"/>
    <hyperlink ref="E586" r:id="rId585" xr:uid="{00000000-0004-0000-0000-000048020000}"/>
    <hyperlink ref="E587" r:id="rId586" xr:uid="{00000000-0004-0000-0000-000049020000}"/>
    <hyperlink ref="E588" r:id="rId587" xr:uid="{00000000-0004-0000-0000-00004A020000}"/>
    <hyperlink ref="E589" r:id="rId588" xr:uid="{00000000-0004-0000-0000-00004B020000}"/>
    <hyperlink ref="E590" r:id="rId589" xr:uid="{00000000-0004-0000-0000-00004C020000}"/>
    <hyperlink ref="E591" r:id="rId590" xr:uid="{00000000-0004-0000-0000-00004D020000}"/>
    <hyperlink ref="E592" r:id="rId591" xr:uid="{00000000-0004-0000-0000-00004E020000}"/>
    <hyperlink ref="E593" r:id="rId592" xr:uid="{00000000-0004-0000-0000-00004F020000}"/>
    <hyperlink ref="E594" r:id="rId593" xr:uid="{00000000-0004-0000-0000-000050020000}"/>
    <hyperlink ref="E595" r:id="rId594" xr:uid="{00000000-0004-0000-0000-000051020000}"/>
    <hyperlink ref="E596" r:id="rId595" xr:uid="{00000000-0004-0000-0000-000052020000}"/>
    <hyperlink ref="E597" r:id="rId596" xr:uid="{00000000-0004-0000-0000-000053020000}"/>
    <hyperlink ref="E598" r:id="rId597" xr:uid="{00000000-0004-0000-0000-000054020000}"/>
    <hyperlink ref="E599" r:id="rId598" xr:uid="{00000000-0004-0000-0000-000055020000}"/>
    <hyperlink ref="E600" r:id="rId599" xr:uid="{00000000-0004-0000-0000-000056020000}"/>
    <hyperlink ref="E601" r:id="rId600" xr:uid="{00000000-0004-0000-0000-000057020000}"/>
    <hyperlink ref="E602" r:id="rId601" xr:uid="{00000000-0004-0000-0000-000058020000}"/>
    <hyperlink ref="E603" r:id="rId602" xr:uid="{00000000-0004-0000-0000-000059020000}"/>
    <hyperlink ref="E604" r:id="rId603" xr:uid="{00000000-0004-0000-0000-00005A020000}"/>
    <hyperlink ref="E605" r:id="rId604" xr:uid="{00000000-0004-0000-0000-00005B020000}"/>
    <hyperlink ref="E606" r:id="rId605" xr:uid="{00000000-0004-0000-0000-00005C020000}"/>
    <hyperlink ref="E607" r:id="rId606" xr:uid="{00000000-0004-0000-0000-00005D020000}"/>
    <hyperlink ref="E608" r:id="rId607" xr:uid="{00000000-0004-0000-0000-00005E020000}"/>
    <hyperlink ref="E609" r:id="rId608" xr:uid="{00000000-0004-0000-0000-00005F020000}"/>
    <hyperlink ref="E610" r:id="rId609" xr:uid="{00000000-0004-0000-0000-000060020000}"/>
    <hyperlink ref="E611" r:id="rId610" xr:uid="{00000000-0004-0000-0000-000061020000}"/>
    <hyperlink ref="G611" r:id="rId611" xr:uid="{00000000-0004-0000-0000-000062020000}"/>
    <hyperlink ref="E612" r:id="rId612" xr:uid="{00000000-0004-0000-0000-000063020000}"/>
    <hyperlink ref="G612" r:id="rId613" xr:uid="{00000000-0004-0000-0000-000064020000}"/>
    <hyperlink ref="E613" r:id="rId614" xr:uid="{00000000-0004-0000-0000-000065020000}"/>
    <hyperlink ref="G613" r:id="rId615" xr:uid="{00000000-0004-0000-0000-000066020000}"/>
    <hyperlink ref="E614" r:id="rId616" xr:uid="{00000000-0004-0000-0000-000067020000}"/>
    <hyperlink ref="G614" r:id="rId617" xr:uid="{00000000-0004-0000-0000-000068020000}"/>
    <hyperlink ref="E615" r:id="rId618" xr:uid="{00000000-0004-0000-0000-000069020000}"/>
    <hyperlink ref="G615" r:id="rId619" xr:uid="{00000000-0004-0000-0000-00006A020000}"/>
    <hyperlink ref="E616" r:id="rId620" xr:uid="{00000000-0004-0000-0000-00006B020000}"/>
    <hyperlink ref="G616" r:id="rId621" xr:uid="{00000000-0004-0000-0000-00006C020000}"/>
    <hyperlink ref="E617" r:id="rId622" xr:uid="{00000000-0004-0000-0000-00006D020000}"/>
    <hyperlink ref="G617" r:id="rId623" xr:uid="{00000000-0004-0000-0000-00006E020000}"/>
    <hyperlink ref="E618" r:id="rId624" xr:uid="{00000000-0004-0000-0000-00006F020000}"/>
    <hyperlink ref="G618" r:id="rId625" xr:uid="{00000000-0004-0000-0000-000070020000}"/>
    <hyperlink ref="E619" r:id="rId626" xr:uid="{00000000-0004-0000-0000-000071020000}"/>
    <hyperlink ref="G619" r:id="rId627" xr:uid="{00000000-0004-0000-0000-000072020000}"/>
    <hyperlink ref="E620" r:id="rId628" xr:uid="{00000000-0004-0000-0000-000073020000}"/>
    <hyperlink ref="G620" r:id="rId629" xr:uid="{00000000-0004-0000-0000-000074020000}"/>
    <hyperlink ref="E621" r:id="rId630" xr:uid="{00000000-0004-0000-0000-000075020000}"/>
    <hyperlink ref="G621" r:id="rId631" xr:uid="{00000000-0004-0000-0000-000076020000}"/>
    <hyperlink ref="E622" r:id="rId632" xr:uid="{00000000-0004-0000-0000-000077020000}"/>
    <hyperlink ref="G622" r:id="rId633" xr:uid="{00000000-0004-0000-0000-000078020000}"/>
    <hyperlink ref="E623" r:id="rId634" xr:uid="{00000000-0004-0000-0000-000079020000}"/>
    <hyperlink ref="G623" r:id="rId635" xr:uid="{00000000-0004-0000-0000-00007A020000}"/>
    <hyperlink ref="E624" r:id="rId636" xr:uid="{00000000-0004-0000-0000-00007B020000}"/>
    <hyperlink ref="G624" r:id="rId637" xr:uid="{00000000-0004-0000-0000-00007C020000}"/>
    <hyperlink ref="E625" r:id="rId638" xr:uid="{00000000-0004-0000-0000-00007D020000}"/>
    <hyperlink ref="G625" r:id="rId639" xr:uid="{00000000-0004-0000-0000-00007E020000}"/>
    <hyperlink ref="E626" r:id="rId640" xr:uid="{00000000-0004-0000-0000-00007F020000}"/>
    <hyperlink ref="G626" r:id="rId641" xr:uid="{00000000-0004-0000-0000-000080020000}"/>
    <hyperlink ref="E627" r:id="rId642" xr:uid="{00000000-0004-0000-0000-000081020000}"/>
    <hyperlink ref="G627" r:id="rId643" xr:uid="{00000000-0004-0000-0000-000082020000}"/>
    <hyperlink ref="E628" r:id="rId644" xr:uid="{00000000-0004-0000-0000-000083020000}"/>
    <hyperlink ref="G628" r:id="rId645" xr:uid="{00000000-0004-0000-0000-000084020000}"/>
    <hyperlink ref="E629" r:id="rId646" xr:uid="{00000000-0004-0000-0000-000085020000}"/>
    <hyperlink ref="G629" r:id="rId647" xr:uid="{00000000-0004-0000-0000-000086020000}"/>
    <hyperlink ref="E630" r:id="rId648" xr:uid="{00000000-0004-0000-0000-000087020000}"/>
    <hyperlink ref="G630" r:id="rId649" xr:uid="{00000000-0004-0000-0000-000088020000}"/>
    <hyperlink ref="E631" r:id="rId650" xr:uid="{00000000-0004-0000-0000-000089020000}"/>
    <hyperlink ref="G631" r:id="rId651" xr:uid="{00000000-0004-0000-0000-00008A020000}"/>
    <hyperlink ref="E632" r:id="rId652" xr:uid="{00000000-0004-0000-0000-00008B020000}"/>
    <hyperlink ref="G632" r:id="rId653" xr:uid="{00000000-0004-0000-0000-00008C020000}"/>
    <hyperlink ref="E633" r:id="rId654" xr:uid="{00000000-0004-0000-0000-00008D020000}"/>
    <hyperlink ref="G633" r:id="rId655" xr:uid="{00000000-0004-0000-0000-00008E020000}"/>
    <hyperlink ref="E634" r:id="rId656" xr:uid="{00000000-0004-0000-0000-00008F020000}"/>
    <hyperlink ref="G634" r:id="rId657" xr:uid="{00000000-0004-0000-0000-000090020000}"/>
    <hyperlink ref="E635" r:id="rId658" xr:uid="{00000000-0004-0000-0000-000091020000}"/>
    <hyperlink ref="G635" r:id="rId659" xr:uid="{00000000-0004-0000-0000-000092020000}"/>
    <hyperlink ref="E636" r:id="rId660" xr:uid="{00000000-0004-0000-0000-000093020000}"/>
    <hyperlink ref="G636" r:id="rId661" xr:uid="{00000000-0004-0000-0000-000094020000}"/>
    <hyperlink ref="E637" r:id="rId662" xr:uid="{00000000-0004-0000-0000-000095020000}"/>
    <hyperlink ref="G637" r:id="rId663" xr:uid="{00000000-0004-0000-0000-000096020000}"/>
    <hyperlink ref="E638" r:id="rId664" xr:uid="{00000000-0004-0000-0000-000097020000}"/>
    <hyperlink ref="G638" r:id="rId665" xr:uid="{00000000-0004-0000-0000-000098020000}"/>
    <hyperlink ref="E639" r:id="rId666" xr:uid="{00000000-0004-0000-0000-000099020000}"/>
    <hyperlink ref="G639" r:id="rId667" xr:uid="{00000000-0004-0000-0000-00009A020000}"/>
    <hyperlink ref="E640" r:id="rId668" xr:uid="{00000000-0004-0000-0000-00009B020000}"/>
    <hyperlink ref="G640" r:id="rId669" xr:uid="{00000000-0004-0000-0000-00009C020000}"/>
    <hyperlink ref="E641" r:id="rId670" xr:uid="{00000000-0004-0000-0000-00009D020000}"/>
    <hyperlink ref="G641" r:id="rId671" xr:uid="{00000000-0004-0000-0000-00009E020000}"/>
    <hyperlink ref="E642" r:id="rId672" xr:uid="{00000000-0004-0000-0000-00009F020000}"/>
    <hyperlink ref="G642" r:id="rId673" xr:uid="{00000000-0004-0000-0000-0000A0020000}"/>
    <hyperlink ref="E643" r:id="rId674" xr:uid="{00000000-0004-0000-0000-0000A1020000}"/>
    <hyperlink ref="G643" r:id="rId675" xr:uid="{00000000-0004-0000-0000-0000A2020000}"/>
    <hyperlink ref="E644" r:id="rId676" xr:uid="{00000000-0004-0000-0000-0000A3020000}"/>
    <hyperlink ref="G644" r:id="rId677" xr:uid="{00000000-0004-0000-0000-0000A4020000}"/>
    <hyperlink ref="E645" r:id="rId678" xr:uid="{00000000-0004-0000-0000-0000A5020000}"/>
    <hyperlink ref="G645" r:id="rId679" xr:uid="{00000000-0004-0000-0000-0000A6020000}"/>
    <hyperlink ref="E646" r:id="rId680" xr:uid="{00000000-0004-0000-0000-0000A7020000}"/>
    <hyperlink ref="G646" r:id="rId681" xr:uid="{00000000-0004-0000-0000-0000A8020000}"/>
    <hyperlink ref="E647" r:id="rId682" xr:uid="{00000000-0004-0000-0000-0000A9020000}"/>
    <hyperlink ref="G647" r:id="rId683" xr:uid="{00000000-0004-0000-0000-0000AA020000}"/>
    <hyperlink ref="E648" r:id="rId684" xr:uid="{00000000-0004-0000-0000-0000AB020000}"/>
    <hyperlink ref="G648" r:id="rId685" xr:uid="{00000000-0004-0000-0000-0000AC020000}"/>
    <hyperlink ref="E649" r:id="rId686" xr:uid="{00000000-0004-0000-0000-0000AD020000}"/>
    <hyperlink ref="G649" r:id="rId687" xr:uid="{00000000-0004-0000-0000-0000AE020000}"/>
    <hyperlink ref="E650" r:id="rId688" xr:uid="{00000000-0004-0000-0000-0000AF020000}"/>
    <hyperlink ref="G650" r:id="rId689" xr:uid="{00000000-0004-0000-0000-0000B0020000}"/>
    <hyperlink ref="E651" r:id="rId690" xr:uid="{00000000-0004-0000-0000-0000B1020000}"/>
    <hyperlink ref="G651" r:id="rId691" xr:uid="{00000000-0004-0000-0000-0000B2020000}"/>
    <hyperlink ref="E652" r:id="rId692" xr:uid="{00000000-0004-0000-0000-0000B3020000}"/>
    <hyperlink ref="G652" r:id="rId693" xr:uid="{00000000-0004-0000-0000-0000B4020000}"/>
    <hyperlink ref="E653" r:id="rId694" xr:uid="{00000000-0004-0000-0000-0000B5020000}"/>
    <hyperlink ref="G653" r:id="rId695" xr:uid="{00000000-0004-0000-0000-0000B6020000}"/>
    <hyperlink ref="E654" r:id="rId696" xr:uid="{00000000-0004-0000-0000-0000B7020000}"/>
    <hyperlink ref="G654" r:id="rId697" xr:uid="{00000000-0004-0000-0000-0000B8020000}"/>
    <hyperlink ref="E655" r:id="rId698" xr:uid="{00000000-0004-0000-0000-0000B9020000}"/>
    <hyperlink ref="G655" r:id="rId699" xr:uid="{00000000-0004-0000-0000-0000BA020000}"/>
    <hyperlink ref="E656" r:id="rId700" xr:uid="{00000000-0004-0000-0000-0000BB020000}"/>
    <hyperlink ref="G656" r:id="rId701" xr:uid="{00000000-0004-0000-0000-0000BC020000}"/>
    <hyperlink ref="E657" r:id="rId702" xr:uid="{00000000-0004-0000-0000-0000BD020000}"/>
    <hyperlink ref="G657" r:id="rId703" xr:uid="{00000000-0004-0000-0000-0000BE020000}"/>
    <hyperlink ref="E658" r:id="rId704" xr:uid="{00000000-0004-0000-0000-0000BF020000}"/>
    <hyperlink ref="G658" r:id="rId705" xr:uid="{00000000-0004-0000-0000-0000C0020000}"/>
    <hyperlink ref="E659" r:id="rId706" xr:uid="{00000000-0004-0000-0000-0000C1020000}"/>
    <hyperlink ref="G659" r:id="rId707" xr:uid="{00000000-0004-0000-0000-0000C2020000}"/>
    <hyperlink ref="E660" r:id="rId708" xr:uid="{00000000-0004-0000-0000-0000C3020000}"/>
    <hyperlink ref="G660" r:id="rId709" xr:uid="{00000000-0004-0000-0000-0000C4020000}"/>
    <hyperlink ref="E661" r:id="rId710" xr:uid="{00000000-0004-0000-0000-0000C5020000}"/>
    <hyperlink ref="G661" r:id="rId711" xr:uid="{00000000-0004-0000-0000-0000C6020000}"/>
    <hyperlink ref="E662" r:id="rId712" xr:uid="{00000000-0004-0000-0000-0000C7020000}"/>
    <hyperlink ref="G662" r:id="rId713" xr:uid="{00000000-0004-0000-0000-0000C8020000}"/>
    <hyperlink ref="E663" r:id="rId714" xr:uid="{00000000-0004-0000-0000-0000C9020000}"/>
    <hyperlink ref="G663" r:id="rId715" xr:uid="{00000000-0004-0000-0000-0000CA020000}"/>
    <hyperlink ref="E664" r:id="rId716" xr:uid="{00000000-0004-0000-0000-0000CB020000}"/>
    <hyperlink ref="G664" r:id="rId717" xr:uid="{00000000-0004-0000-0000-0000CC020000}"/>
    <hyperlink ref="E665" r:id="rId718" xr:uid="{00000000-0004-0000-0000-0000CD020000}"/>
    <hyperlink ref="G665" r:id="rId719" xr:uid="{00000000-0004-0000-0000-0000CE020000}"/>
    <hyperlink ref="E666" r:id="rId720" xr:uid="{00000000-0004-0000-0000-0000CF020000}"/>
    <hyperlink ref="G666" r:id="rId721" xr:uid="{00000000-0004-0000-0000-0000D0020000}"/>
    <hyperlink ref="E667" r:id="rId722" xr:uid="{00000000-0004-0000-0000-0000D1020000}"/>
    <hyperlink ref="G667" r:id="rId723" xr:uid="{00000000-0004-0000-0000-0000D2020000}"/>
    <hyperlink ref="E668" r:id="rId724" xr:uid="{00000000-0004-0000-0000-0000D3020000}"/>
    <hyperlink ref="G668" r:id="rId725" xr:uid="{00000000-0004-0000-0000-0000D4020000}"/>
    <hyperlink ref="E669" r:id="rId726" xr:uid="{00000000-0004-0000-0000-0000D5020000}"/>
    <hyperlink ref="G669" r:id="rId727" xr:uid="{00000000-0004-0000-0000-0000D6020000}"/>
    <hyperlink ref="E670" r:id="rId728" xr:uid="{00000000-0004-0000-0000-0000D7020000}"/>
    <hyperlink ref="G670" r:id="rId729" xr:uid="{00000000-0004-0000-0000-0000D8020000}"/>
    <hyperlink ref="E671" r:id="rId730" xr:uid="{00000000-0004-0000-0000-0000D9020000}"/>
    <hyperlink ref="G671" r:id="rId731" xr:uid="{00000000-0004-0000-0000-0000DA020000}"/>
    <hyperlink ref="E672" r:id="rId732" xr:uid="{00000000-0004-0000-0000-0000DB020000}"/>
    <hyperlink ref="G672" r:id="rId733" xr:uid="{00000000-0004-0000-0000-0000DC020000}"/>
    <hyperlink ref="E673" r:id="rId734" xr:uid="{00000000-0004-0000-0000-0000DD020000}"/>
    <hyperlink ref="G673" r:id="rId735" xr:uid="{00000000-0004-0000-0000-0000DE020000}"/>
    <hyperlink ref="E674" r:id="rId736" xr:uid="{00000000-0004-0000-0000-0000DF020000}"/>
    <hyperlink ref="G674" r:id="rId737" xr:uid="{00000000-0004-0000-0000-0000E0020000}"/>
    <hyperlink ref="E675" r:id="rId738" xr:uid="{00000000-0004-0000-0000-0000E1020000}"/>
    <hyperlink ref="G675" r:id="rId739" xr:uid="{00000000-0004-0000-0000-0000E2020000}"/>
    <hyperlink ref="E676" r:id="rId740" xr:uid="{00000000-0004-0000-0000-0000E3020000}"/>
    <hyperlink ref="G676" r:id="rId741" xr:uid="{00000000-0004-0000-0000-0000E4020000}"/>
    <hyperlink ref="E677" r:id="rId742" xr:uid="{00000000-0004-0000-0000-0000E5020000}"/>
    <hyperlink ref="G677" r:id="rId743" xr:uid="{00000000-0004-0000-0000-0000E6020000}"/>
    <hyperlink ref="E678" r:id="rId744" xr:uid="{00000000-0004-0000-0000-0000E7020000}"/>
    <hyperlink ref="G678" r:id="rId745" xr:uid="{00000000-0004-0000-0000-0000E8020000}"/>
    <hyperlink ref="E679" r:id="rId746" xr:uid="{00000000-0004-0000-0000-0000E9020000}"/>
    <hyperlink ref="G679" r:id="rId747" xr:uid="{00000000-0004-0000-0000-0000EA020000}"/>
    <hyperlink ref="E680" r:id="rId748" xr:uid="{00000000-0004-0000-0000-0000EB020000}"/>
    <hyperlink ref="G680" r:id="rId749" xr:uid="{00000000-0004-0000-0000-0000EC020000}"/>
    <hyperlink ref="E681" r:id="rId750" xr:uid="{00000000-0004-0000-0000-0000ED020000}"/>
    <hyperlink ref="G681" r:id="rId751" xr:uid="{00000000-0004-0000-0000-0000EE020000}"/>
    <hyperlink ref="E682" r:id="rId752" xr:uid="{00000000-0004-0000-0000-0000EF020000}"/>
    <hyperlink ref="G682" r:id="rId753" xr:uid="{00000000-0004-0000-0000-0000F0020000}"/>
    <hyperlink ref="E683" r:id="rId754" xr:uid="{00000000-0004-0000-0000-0000F1020000}"/>
    <hyperlink ref="G683" r:id="rId755" xr:uid="{00000000-0004-0000-0000-0000F2020000}"/>
    <hyperlink ref="E684" r:id="rId756" xr:uid="{00000000-0004-0000-0000-0000F3020000}"/>
    <hyperlink ref="G684" r:id="rId757" xr:uid="{00000000-0004-0000-0000-0000F4020000}"/>
    <hyperlink ref="E685" r:id="rId758" xr:uid="{00000000-0004-0000-0000-0000F5020000}"/>
    <hyperlink ref="G685" r:id="rId759" xr:uid="{00000000-0004-0000-0000-0000F6020000}"/>
    <hyperlink ref="E686" r:id="rId760" xr:uid="{00000000-0004-0000-0000-0000F7020000}"/>
    <hyperlink ref="G686" r:id="rId761" xr:uid="{00000000-0004-0000-0000-0000F8020000}"/>
    <hyperlink ref="E687" r:id="rId762" xr:uid="{00000000-0004-0000-0000-0000F9020000}"/>
    <hyperlink ref="G687" r:id="rId763" xr:uid="{00000000-0004-0000-0000-0000FA020000}"/>
    <hyperlink ref="E688" r:id="rId764" xr:uid="{00000000-0004-0000-0000-0000FB020000}"/>
    <hyperlink ref="G688" r:id="rId765" xr:uid="{00000000-0004-0000-0000-0000FC020000}"/>
    <hyperlink ref="E689" r:id="rId766" xr:uid="{00000000-0004-0000-0000-0000FD020000}"/>
    <hyperlink ref="G689" r:id="rId767" xr:uid="{00000000-0004-0000-0000-0000FE020000}"/>
    <hyperlink ref="E690" r:id="rId768" xr:uid="{00000000-0004-0000-0000-0000FF020000}"/>
    <hyperlink ref="G690" r:id="rId769" xr:uid="{00000000-0004-0000-0000-000000030000}"/>
    <hyperlink ref="E691" r:id="rId770" xr:uid="{00000000-0004-0000-0000-000001030000}"/>
    <hyperlink ref="G691" r:id="rId771" xr:uid="{00000000-0004-0000-0000-000002030000}"/>
    <hyperlink ref="E692" r:id="rId772" xr:uid="{00000000-0004-0000-0000-000003030000}"/>
    <hyperlink ref="G692" r:id="rId773" xr:uid="{00000000-0004-0000-0000-000004030000}"/>
    <hyperlink ref="E693" r:id="rId774" xr:uid="{00000000-0004-0000-0000-000005030000}"/>
    <hyperlink ref="G693" r:id="rId775" xr:uid="{00000000-0004-0000-0000-000006030000}"/>
    <hyperlink ref="E694" r:id="rId776" xr:uid="{00000000-0004-0000-0000-000007030000}"/>
    <hyperlink ref="G694" r:id="rId777" xr:uid="{00000000-0004-0000-0000-000008030000}"/>
    <hyperlink ref="E695" r:id="rId778" xr:uid="{00000000-0004-0000-0000-000009030000}"/>
    <hyperlink ref="G695" r:id="rId779" xr:uid="{00000000-0004-0000-0000-00000A030000}"/>
    <hyperlink ref="E696" r:id="rId780" xr:uid="{00000000-0004-0000-0000-00000B030000}"/>
    <hyperlink ref="G696" r:id="rId781" xr:uid="{00000000-0004-0000-0000-00000C030000}"/>
    <hyperlink ref="E697" r:id="rId782" xr:uid="{00000000-0004-0000-0000-00000D030000}"/>
    <hyperlink ref="G697" r:id="rId783" xr:uid="{00000000-0004-0000-0000-00000E030000}"/>
    <hyperlink ref="E698" r:id="rId784" xr:uid="{00000000-0004-0000-0000-00000F030000}"/>
    <hyperlink ref="G698" r:id="rId785" xr:uid="{00000000-0004-0000-0000-000010030000}"/>
    <hyperlink ref="E699" r:id="rId786" xr:uid="{00000000-0004-0000-0000-000011030000}"/>
    <hyperlink ref="G699" r:id="rId787" xr:uid="{00000000-0004-0000-0000-000012030000}"/>
    <hyperlink ref="E700" r:id="rId788" xr:uid="{00000000-0004-0000-0000-000013030000}"/>
    <hyperlink ref="G700" r:id="rId789" xr:uid="{00000000-0004-0000-0000-000014030000}"/>
    <hyperlink ref="E701" r:id="rId790" xr:uid="{00000000-0004-0000-0000-000015030000}"/>
    <hyperlink ref="G701" r:id="rId791" xr:uid="{00000000-0004-0000-0000-000016030000}"/>
    <hyperlink ref="E702" r:id="rId792" xr:uid="{00000000-0004-0000-0000-000017030000}"/>
    <hyperlink ref="G702" r:id="rId793" xr:uid="{00000000-0004-0000-0000-000018030000}"/>
    <hyperlink ref="E703" r:id="rId794" xr:uid="{00000000-0004-0000-0000-000019030000}"/>
    <hyperlink ref="G703" r:id="rId795" xr:uid="{00000000-0004-0000-0000-00001A030000}"/>
    <hyperlink ref="E704" r:id="rId796" xr:uid="{00000000-0004-0000-0000-00001B030000}"/>
    <hyperlink ref="G704" r:id="rId797" xr:uid="{00000000-0004-0000-0000-00001C030000}"/>
    <hyperlink ref="E705" r:id="rId798" xr:uid="{00000000-0004-0000-0000-00001D030000}"/>
    <hyperlink ref="G705" r:id="rId799" xr:uid="{00000000-0004-0000-0000-00001E030000}"/>
    <hyperlink ref="E706" r:id="rId800" xr:uid="{00000000-0004-0000-0000-00001F030000}"/>
    <hyperlink ref="G706" r:id="rId801" xr:uid="{00000000-0004-0000-0000-000020030000}"/>
    <hyperlink ref="E707" r:id="rId802" xr:uid="{00000000-0004-0000-0000-000021030000}"/>
    <hyperlink ref="G707" r:id="rId803" xr:uid="{00000000-0004-0000-0000-000022030000}"/>
    <hyperlink ref="E708" r:id="rId804" xr:uid="{00000000-0004-0000-0000-000023030000}"/>
    <hyperlink ref="G708" r:id="rId805" xr:uid="{00000000-0004-0000-0000-000024030000}"/>
    <hyperlink ref="E709" r:id="rId806" xr:uid="{00000000-0004-0000-0000-000025030000}"/>
    <hyperlink ref="G709" r:id="rId807" xr:uid="{00000000-0004-0000-0000-000026030000}"/>
    <hyperlink ref="E710" r:id="rId808" xr:uid="{00000000-0004-0000-0000-000027030000}"/>
    <hyperlink ref="G710" r:id="rId809" xr:uid="{00000000-0004-0000-0000-000028030000}"/>
    <hyperlink ref="E711" r:id="rId810" xr:uid="{00000000-0004-0000-0000-000029030000}"/>
    <hyperlink ref="G711" r:id="rId811" xr:uid="{00000000-0004-0000-0000-00002A030000}"/>
    <hyperlink ref="E712" r:id="rId812" xr:uid="{00000000-0004-0000-0000-00002B030000}"/>
    <hyperlink ref="G712" r:id="rId813" xr:uid="{00000000-0004-0000-0000-00002C030000}"/>
    <hyperlink ref="E713" r:id="rId814" xr:uid="{00000000-0004-0000-0000-00002D030000}"/>
    <hyperlink ref="G713" r:id="rId815" xr:uid="{00000000-0004-0000-0000-00002E030000}"/>
    <hyperlink ref="E714" r:id="rId816" xr:uid="{00000000-0004-0000-0000-00002F030000}"/>
    <hyperlink ref="G714" r:id="rId817" xr:uid="{00000000-0004-0000-0000-000030030000}"/>
    <hyperlink ref="E715" r:id="rId818" xr:uid="{00000000-0004-0000-0000-000031030000}"/>
    <hyperlink ref="G715" r:id="rId819" xr:uid="{00000000-0004-0000-0000-000032030000}"/>
    <hyperlink ref="E716" r:id="rId820" xr:uid="{00000000-0004-0000-0000-000033030000}"/>
    <hyperlink ref="G716" r:id="rId821" xr:uid="{00000000-0004-0000-0000-000034030000}"/>
    <hyperlink ref="E717" r:id="rId822" xr:uid="{00000000-0004-0000-0000-000035030000}"/>
    <hyperlink ref="G717" r:id="rId823" xr:uid="{00000000-0004-0000-0000-000036030000}"/>
    <hyperlink ref="E718" r:id="rId824" xr:uid="{00000000-0004-0000-0000-000037030000}"/>
    <hyperlink ref="G718" r:id="rId825" xr:uid="{00000000-0004-0000-0000-000038030000}"/>
    <hyperlink ref="E719" r:id="rId826" xr:uid="{00000000-0004-0000-0000-000039030000}"/>
    <hyperlink ref="G719" r:id="rId827" xr:uid="{00000000-0004-0000-0000-00003A030000}"/>
    <hyperlink ref="E720" r:id="rId828" xr:uid="{00000000-0004-0000-0000-00003B030000}"/>
    <hyperlink ref="G720" r:id="rId829" xr:uid="{00000000-0004-0000-0000-00003C030000}"/>
    <hyperlink ref="E721" r:id="rId830" xr:uid="{00000000-0004-0000-0000-00003D030000}"/>
    <hyperlink ref="G721" r:id="rId831" xr:uid="{00000000-0004-0000-0000-00003E030000}"/>
    <hyperlink ref="E722" r:id="rId832" xr:uid="{00000000-0004-0000-0000-00003F030000}"/>
    <hyperlink ref="G722" r:id="rId833" xr:uid="{00000000-0004-0000-0000-000040030000}"/>
    <hyperlink ref="E723" r:id="rId834" xr:uid="{00000000-0004-0000-0000-000041030000}"/>
    <hyperlink ref="G723" r:id="rId835" xr:uid="{00000000-0004-0000-0000-000042030000}"/>
    <hyperlink ref="E724" r:id="rId836" xr:uid="{00000000-0004-0000-0000-000043030000}"/>
    <hyperlink ref="G724" r:id="rId837" xr:uid="{00000000-0004-0000-0000-000044030000}"/>
    <hyperlink ref="E725" r:id="rId838" xr:uid="{00000000-0004-0000-0000-000045030000}"/>
    <hyperlink ref="G725" r:id="rId839" xr:uid="{00000000-0004-0000-0000-000046030000}"/>
    <hyperlink ref="E726" r:id="rId840" xr:uid="{00000000-0004-0000-0000-000047030000}"/>
    <hyperlink ref="G726" r:id="rId841" xr:uid="{00000000-0004-0000-0000-000048030000}"/>
    <hyperlink ref="E727" r:id="rId842" xr:uid="{00000000-0004-0000-0000-000049030000}"/>
    <hyperlink ref="G727" r:id="rId843" xr:uid="{00000000-0004-0000-0000-00004A030000}"/>
    <hyperlink ref="E728" r:id="rId844" xr:uid="{00000000-0004-0000-0000-00004B030000}"/>
    <hyperlink ref="G728" r:id="rId845" xr:uid="{00000000-0004-0000-0000-00004C030000}"/>
    <hyperlink ref="E729" r:id="rId846" xr:uid="{00000000-0004-0000-0000-00004D030000}"/>
    <hyperlink ref="G729" r:id="rId847" xr:uid="{00000000-0004-0000-0000-00004E030000}"/>
    <hyperlink ref="E730" r:id="rId848" xr:uid="{00000000-0004-0000-0000-00004F030000}"/>
    <hyperlink ref="G730" r:id="rId849" xr:uid="{00000000-0004-0000-0000-000050030000}"/>
    <hyperlink ref="E731" r:id="rId850" xr:uid="{00000000-0004-0000-0000-000051030000}"/>
    <hyperlink ref="G731" r:id="rId851" xr:uid="{00000000-0004-0000-0000-000052030000}"/>
    <hyperlink ref="E732" r:id="rId852" xr:uid="{00000000-0004-0000-0000-000053030000}"/>
    <hyperlink ref="G732" r:id="rId853" xr:uid="{00000000-0004-0000-0000-000054030000}"/>
    <hyperlink ref="E733" r:id="rId854" xr:uid="{00000000-0004-0000-0000-000055030000}"/>
    <hyperlink ref="G733" r:id="rId855" xr:uid="{00000000-0004-0000-0000-000056030000}"/>
    <hyperlink ref="E734" r:id="rId856" xr:uid="{00000000-0004-0000-0000-000057030000}"/>
    <hyperlink ref="G734" r:id="rId857" xr:uid="{00000000-0004-0000-0000-000058030000}"/>
    <hyperlink ref="E735" r:id="rId858" xr:uid="{00000000-0004-0000-0000-000059030000}"/>
    <hyperlink ref="G735" r:id="rId859" xr:uid="{00000000-0004-0000-0000-00005A030000}"/>
    <hyperlink ref="E736" r:id="rId860" xr:uid="{00000000-0004-0000-0000-00005B030000}"/>
    <hyperlink ref="G736" r:id="rId861" xr:uid="{00000000-0004-0000-0000-00005C030000}"/>
    <hyperlink ref="E737" r:id="rId862" xr:uid="{00000000-0004-0000-0000-00005D030000}"/>
    <hyperlink ref="G737" r:id="rId863" xr:uid="{00000000-0004-0000-0000-00005E030000}"/>
    <hyperlink ref="E738" r:id="rId864" xr:uid="{00000000-0004-0000-0000-00005F030000}"/>
    <hyperlink ref="G738" r:id="rId865" xr:uid="{00000000-0004-0000-0000-000060030000}"/>
    <hyperlink ref="E739" r:id="rId866" xr:uid="{00000000-0004-0000-0000-000061030000}"/>
    <hyperlink ref="G739" r:id="rId867" xr:uid="{00000000-0004-0000-0000-000062030000}"/>
    <hyperlink ref="E740" r:id="rId868" xr:uid="{00000000-0004-0000-0000-000063030000}"/>
    <hyperlink ref="G740" r:id="rId869" xr:uid="{00000000-0004-0000-0000-000064030000}"/>
    <hyperlink ref="E741" r:id="rId870" xr:uid="{00000000-0004-0000-0000-000065030000}"/>
    <hyperlink ref="G741" r:id="rId871" xr:uid="{00000000-0004-0000-0000-000066030000}"/>
    <hyperlink ref="E742" r:id="rId872" xr:uid="{00000000-0004-0000-0000-000067030000}"/>
    <hyperlink ref="G742" r:id="rId873" xr:uid="{00000000-0004-0000-0000-000068030000}"/>
    <hyperlink ref="E743" r:id="rId874" xr:uid="{00000000-0004-0000-0000-000069030000}"/>
    <hyperlink ref="G743" r:id="rId875" xr:uid="{00000000-0004-0000-0000-00006A030000}"/>
    <hyperlink ref="E744" r:id="rId876" xr:uid="{00000000-0004-0000-0000-00006B030000}"/>
    <hyperlink ref="G744" r:id="rId877" xr:uid="{00000000-0004-0000-0000-00006C030000}"/>
    <hyperlink ref="E745" r:id="rId878" xr:uid="{00000000-0004-0000-0000-00006D030000}"/>
    <hyperlink ref="G745" r:id="rId879" xr:uid="{00000000-0004-0000-0000-00006E030000}"/>
    <hyperlink ref="E746" r:id="rId880" xr:uid="{00000000-0004-0000-0000-00006F030000}"/>
    <hyperlink ref="G746" r:id="rId881" xr:uid="{00000000-0004-0000-0000-000070030000}"/>
    <hyperlink ref="E747" r:id="rId882" xr:uid="{00000000-0004-0000-0000-000071030000}"/>
    <hyperlink ref="G747" r:id="rId883" xr:uid="{00000000-0004-0000-0000-000072030000}"/>
    <hyperlink ref="E748" r:id="rId884" xr:uid="{00000000-0004-0000-0000-000073030000}"/>
    <hyperlink ref="G748" r:id="rId885" xr:uid="{00000000-0004-0000-0000-000074030000}"/>
    <hyperlink ref="E749" r:id="rId886" xr:uid="{00000000-0004-0000-0000-000075030000}"/>
    <hyperlink ref="G749" r:id="rId887" xr:uid="{00000000-0004-0000-0000-000076030000}"/>
    <hyperlink ref="E750" r:id="rId888" xr:uid="{00000000-0004-0000-0000-000077030000}"/>
    <hyperlink ref="G750" r:id="rId889" xr:uid="{00000000-0004-0000-0000-000078030000}"/>
    <hyperlink ref="E751" r:id="rId890" xr:uid="{00000000-0004-0000-0000-000079030000}"/>
    <hyperlink ref="G751" r:id="rId891" xr:uid="{00000000-0004-0000-0000-00007A030000}"/>
    <hyperlink ref="E752" r:id="rId892" xr:uid="{00000000-0004-0000-0000-00007B030000}"/>
    <hyperlink ref="G752" r:id="rId893" xr:uid="{00000000-0004-0000-0000-00007C030000}"/>
    <hyperlink ref="E753" r:id="rId894" xr:uid="{00000000-0004-0000-0000-00007D030000}"/>
    <hyperlink ref="G753" r:id="rId895" xr:uid="{00000000-0004-0000-0000-00007E030000}"/>
    <hyperlink ref="E754" r:id="rId896" xr:uid="{00000000-0004-0000-0000-00007F030000}"/>
    <hyperlink ref="G754" r:id="rId897" xr:uid="{00000000-0004-0000-0000-000080030000}"/>
    <hyperlink ref="E755" r:id="rId898" xr:uid="{00000000-0004-0000-0000-000081030000}"/>
    <hyperlink ref="G755" r:id="rId899" xr:uid="{00000000-0004-0000-0000-000082030000}"/>
    <hyperlink ref="E756" r:id="rId900" xr:uid="{00000000-0004-0000-0000-000083030000}"/>
    <hyperlink ref="G756" r:id="rId901" xr:uid="{00000000-0004-0000-0000-000084030000}"/>
    <hyperlink ref="E757" r:id="rId902" xr:uid="{00000000-0004-0000-0000-000085030000}"/>
    <hyperlink ref="G757" r:id="rId903" xr:uid="{00000000-0004-0000-0000-000086030000}"/>
    <hyperlink ref="E758" r:id="rId904" xr:uid="{00000000-0004-0000-0000-000087030000}"/>
    <hyperlink ref="G758" r:id="rId905" xr:uid="{00000000-0004-0000-0000-000088030000}"/>
    <hyperlink ref="E759" r:id="rId906" xr:uid="{00000000-0004-0000-0000-000089030000}"/>
    <hyperlink ref="G759" r:id="rId907" xr:uid="{00000000-0004-0000-0000-00008A030000}"/>
    <hyperlink ref="E760" r:id="rId908" xr:uid="{00000000-0004-0000-0000-00008B030000}"/>
    <hyperlink ref="G760" r:id="rId909" xr:uid="{00000000-0004-0000-0000-00008C030000}"/>
    <hyperlink ref="E761" r:id="rId910" xr:uid="{00000000-0004-0000-0000-00008D030000}"/>
    <hyperlink ref="G761" r:id="rId911" xr:uid="{00000000-0004-0000-0000-00008E030000}"/>
    <hyperlink ref="E762" r:id="rId912" xr:uid="{00000000-0004-0000-0000-00008F030000}"/>
    <hyperlink ref="G762" r:id="rId913" xr:uid="{00000000-0004-0000-0000-000090030000}"/>
    <hyperlink ref="E763" r:id="rId914" xr:uid="{00000000-0004-0000-0000-000091030000}"/>
    <hyperlink ref="G763" r:id="rId915" xr:uid="{00000000-0004-0000-0000-000092030000}"/>
    <hyperlink ref="E764" r:id="rId916" xr:uid="{00000000-0004-0000-0000-000093030000}"/>
    <hyperlink ref="G764" r:id="rId917" xr:uid="{00000000-0004-0000-0000-000094030000}"/>
    <hyperlink ref="E765" r:id="rId918" xr:uid="{00000000-0004-0000-0000-000095030000}"/>
    <hyperlink ref="G765" r:id="rId919" xr:uid="{00000000-0004-0000-0000-000096030000}"/>
    <hyperlink ref="E766" r:id="rId920" xr:uid="{00000000-0004-0000-0000-000097030000}"/>
    <hyperlink ref="G766" r:id="rId921" xr:uid="{00000000-0004-0000-0000-000098030000}"/>
    <hyperlink ref="E767" r:id="rId922" xr:uid="{00000000-0004-0000-0000-000099030000}"/>
    <hyperlink ref="G767" r:id="rId923" xr:uid="{00000000-0004-0000-0000-00009A030000}"/>
    <hyperlink ref="E768" r:id="rId924" xr:uid="{00000000-0004-0000-0000-00009B030000}"/>
    <hyperlink ref="G768" r:id="rId925" xr:uid="{00000000-0004-0000-0000-00009C030000}"/>
    <hyperlink ref="E769" r:id="rId926" xr:uid="{00000000-0004-0000-0000-00009D030000}"/>
    <hyperlink ref="G769" r:id="rId927" xr:uid="{00000000-0004-0000-0000-00009E030000}"/>
    <hyperlink ref="E770" r:id="rId928" xr:uid="{00000000-0004-0000-0000-00009F030000}"/>
    <hyperlink ref="G770" r:id="rId929" xr:uid="{00000000-0004-0000-0000-0000A0030000}"/>
    <hyperlink ref="E771" r:id="rId930" xr:uid="{00000000-0004-0000-0000-0000A1030000}"/>
    <hyperlink ref="G771" r:id="rId931" xr:uid="{00000000-0004-0000-0000-0000A2030000}"/>
    <hyperlink ref="E772" r:id="rId932" xr:uid="{00000000-0004-0000-0000-0000A3030000}"/>
    <hyperlink ref="G772" r:id="rId933" xr:uid="{00000000-0004-0000-0000-0000A4030000}"/>
    <hyperlink ref="E773" r:id="rId934" xr:uid="{00000000-0004-0000-0000-0000A5030000}"/>
    <hyperlink ref="G773" r:id="rId935" xr:uid="{00000000-0004-0000-0000-0000A6030000}"/>
    <hyperlink ref="E774" r:id="rId936" xr:uid="{00000000-0004-0000-0000-0000A7030000}"/>
    <hyperlink ref="G774" r:id="rId937" xr:uid="{00000000-0004-0000-0000-0000A8030000}"/>
    <hyperlink ref="E775" r:id="rId938" xr:uid="{00000000-0004-0000-0000-0000A9030000}"/>
    <hyperlink ref="G775" r:id="rId939" xr:uid="{00000000-0004-0000-0000-0000AA030000}"/>
    <hyperlink ref="E776" r:id="rId940" xr:uid="{00000000-0004-0000-0000-0000AB030000}"/>
    <hyperlink ref="G776" r:id="rId941" xr:uid="{00000000-0004-0000-0000-0000AC030000}"/>
    <hyperlink ref="E777" r:id="rId942" xr:uid="{00000000-0004-0000-0000-0000AD030000}"/>
    <hyperlink ref="G777" r:id="rId943" xr:uid="{00000000-0004-0000-0000-0000AE030000}"/>
    <hyperlink ref="E778" r:id="rId944" xr:uid="{00000000-0004-0000-0000-0000AF030000}"/>
    <hyperlink ref="G778" r:id="rId945" xr:uid="{00000000-0004-0000-0000-0000B0030000}"/>
    <hyperlink ref="E779" r:id="rId946" xr:uid="{00000000-0004-0000-0000-0000B1030000}"/>
    <hyperlink ref="G779" r:id="rId947" xr:uid="{00000000-0004-0000-0000-0000B2030000}"/>
    <hyperlink ref="E780" r:id="rId948" xr:uid="{00000000-0004-0000-0000-0000B3030000}"/>
    <hyperlink ref="G780" r:id="rId949" xr:uid="{00000000-0004-0000-0000-0000B4030000}"/>
    <hyperlink ref="E781" r:id="rId950" xr:uid="{00000000-0004-0000-0000-0000B5030000}"/>
    <hyperlink ref="G781" r:id="rId951" xr:uid="{00000000-0004-0000-0000-0000B6030000}"/>
    <hyperlink ref="E782" r:id="rId952" xr:uid="{00000000-0004-0000-0000-0000B7030000}"/>
    <hyperlink ref="G782" r:id="rId953" xr:uid="{00000000-0004-0000-0000-0000B8030000}"/>
    <hyperlink ref="E783" r:id="rId954" xr:uid="{00000000-0004-0000-0000-0000B9030000}"/>
    <hyperlink ref="G783" r:id="rId955" xr:uid="{00000000-0004-0000-0000-0000BA030000}"/>
    <hyperlink ref="E784" r:id="rId956" xr:uid="{00000000-0004-0000-0000-0000BB030000}"/>
    <hyperlink ref="G784" r:id="rId957" xr:uid="{00000000-0004-0000-0000-0000BC030000}"/>
    <hyperlink ref="E785" r:id="rId958" xr:uid="{00000000-0004-0000-0000-0000BD030000}"/>
    <hyperlink ref="G785" r:id="rId959" xr:uid="{00000000-0004-0000-0000-0000BE030000}"/>
    <hyperlink ref="E786" r:id="rId960" xr:uid="{00000000-0004-0000-0000-0000BF030000}"/>
    <hyperlink ref="G786" r:id="rId961" xr:uid="{00000000-0004-0000-0000-0000C0030000}"/>
    <hyperlink ref="E787" r:id="rId962" xr:uid="{00000000-0004-0000-0000-0000C1030000}"/>
    <hyperlink ref="G787" r:id="rId963" xr:uid="{00000000-0004-0000-0000-0000C2030000}"/>
    <hyperlink ref="E788" r:id="rId964" xr:uid="{00000000-0004-0000-0000-0000C3030000}"/>
    <hyperlink ref="G788" r:id="rId965" xr:uid="{00000000-0004-0000-0000-0000C4030000}"/>
    <hyperlink ref="E789" r:id="rId966" xr:uid="{00000000-0004-0000-0000-0000C5030000}"/>
    <hyperlink ref="G789" r:id="rId967" xr:uid="{00000000-0004-0000-0000-0000C6030000}"/>
    <hyperlink ref="E790" r:id="rId968" xr:uid="{00000000-0004-0000-0000-0000C7030000}"/>
    <hyperlink ref="G790" r:id="rId969" xr:uid="{00000000-0004-0000-0000-0000C8030000}"/>
    <hyperlink ref="E791" r:id="rId970" xr:uid="{00000000-0004-0000-0000-0000C9030000}"/>
    <hyperlink ref="G791" r:id="rId971" xr:uid="{00000000-0004-0000-0000-0000CA030000}"/>
    <hyperlink ref="E792" r:id="rId972" xr:uid="{00000000-0004-0000-0000-0000CB030000}"/>
    <hyperlink ref="G792" r:id="rId973" xr:uid="{00000000-0004-0000-0000-0000CC030000}"/>
    <hyperlink ref="E793" r:id="rId974" xr:uid="{00000000-0004-0000-0000-0000CD030000}"/>
    <hyperlink ref="G793" r:id="rId975" xr:uid="{00000000-0004-0000-0000-0000CE030000}"/>
    <hyperlink ref="E794" r:id="rId976" xr:uid="{00000000-0004-0000-0000-0000CF030000}"/>
    <hyperlink ref="G794" r:id="rId977" xr:uid="{00000000-0004-0000-0000-0000D0030000}"/>
    <hyperlink ref="E795" r:id="rId978" xr:uid="{00000000-0004-0000-0000-0000D1030000}"/>
    <hyperlink ref="G795" r:id="rId979" xr:uid="{00000000-0004-0000-0000-0000D2030000}"/>
    <hyperlink ref="E796" r:id="rId980" xr:uid="{00000000-0004-0000-0000-0000D3030000}"/>
    <hyperlink ref="G796" r:id="rId981" xr:uid="{00000000-0004-0000-0000-0000D4030000}"/>
    <hyperlink ref="E797" r:id="rId982" xr:uid="{00000000-0004-0000-0000-0000D5030000}"/>
    <hyperlink ref="G797" r:id="rId983" xr:uid="{00000000-0004-0000-0000-0000D6030000}"/>
    <hyperlink ref="E798" r:id="rId984" xr:uid="{00000000-0004-0000-0000-0000D7030000}"/>
    <hyperlink ref="G798" r:id="rId985" xr:uid="{00000000-0004-0000-0000-0000D8030000}"/>
    <hyperlink ref="E799" r:id="rId986" xr:uid="{00000000-0004-0000-0000-0000D9030000}"/>
    <hyperlink ref="G799" r:id="rId987" xr:uid="{00000000-0004-0000-0000-0000DA030000}"/>
    <hyperlink ref="E800" r:id="rId988" xr:uid="{00000000-0004-0000-0000-0000DB030000}"/>
    <hyperlink ref="G800" r:id="rId989" xr:uid="{00000000-0004-0000-0000-0000DC030000}"/>
    <hyperlink ref="E801" r:id="rId990" xr:uid="{00000000-0004-0000-0000-0000DD030000}"/>
    <hyperlink ref="G801" r:id="rId991" xr:uid="{00000000-0004-0000-0000-0000DE030000}"/>
    <hyperlink ref="E802" r:id="rId992" xr:uid="{00000000-0004-0000-0000-0000DF030000}"/>
    <hyperlink ref="G802" r:id="rId993" xr:uid="{00000000-0004-0000-0000-0000E0030000}"/>
    <hyperlink ref="E803" r:id="rId994" xr:uid="{00000000-0004-0000-0000-0000E1030000}"/>
    <hyperlink ref="G803" r:id="rId995" xr:uid="{00000000-0004-0000-0000-0000E2030000}"/>
    <hyperlink ref="E804" r:id="rId996" xr:uid="{00000000-0004-0000-0000-0000E3030000}"/>
    <hyperlink ref="G804" r:id="rId997" xr:uid="{00000000-0004-0000-0000-0000E4030000}"/>
    <hyperlink ref="E805" r:id="rId998" xr:uid="{00000000-0004-0000-0000-0000E5030000}"/>
    <hyperlink ref="G805" r:id="rId999" xr:uid="{00000000-0004-0000-0000-0000E6030000}"/>
    <hyperlink ref="E806" r:id="rId1000" xr:uid="{00000000-0004-0000-0000-0000E7030000}"/>
    <hyperlink ref="G806" r:id="rId1001" xr:uid="{00000000-0004-0000-0000-0000E8030000}"/>
    <hyperlink ref="E807" r:id="rId1002" xr:uid="{00000000-0004-0000-0000-0000E9030000}"/>
    <hyperlink ref="G807" r:id="rId1003" xr:uid="{00000000-0004-0000-0000-0000EA030000}"/>
    <hyperlink ref="E808" r:id="rId1004" xr:uid="{00000000-0004-0000-0000-0000EB030000}"/>
    <hyperlink ref="G808" r:id="rId1005" xr:uid="{00000000-0004-0000-0000-0000EC030000}"/>
    <hyperlink ref="E809" r:id="rId1006" xr:uid="{00000000-0004-0000-0000-0000ED030000}"/>
    <hyperlink ref="G809" r:id="rId1007" xr:uid="{00000000-0004-0000-0000-0000EE030000}"/>
    <hyperlink ref="E810" r:id="rId1008" xr:uid="{00000000-0004-0000-0000-0000EF030000}"/>
    <hyperlink ref="G810" r:id="rId1009" xr:uid="{00000000-0004-0000-0000-0000F0030000}"/>
    <hyperlink ref="E811" r:id="rId1010" xr:uid="{00000000-0004-0000-0000-0000F1030000}"/>
    <hyperlink ref="G811" r:id="rId1011" xr:uid="{00000000-0004-0000-0000-0000F2030000}"/>
    <hyperlink ref="E812" r:id="rId1012" xr:uid="{00000000-0004-0000-0000-0000F3030000}"/>
    <hyperlink ref="G812" r:id="rId1013" xr:uid="{00000000-0004-0000-0000-0000F4030000}"/>
    <hyperlink ref="E813" r:id="rId1014" xr:uid="{00000000-0004-0000-0000-0000F5030000}"/>
    <hyperlink ref="G813" r:id="rId1015" xr:uid="{00000000-0004-0000-0000-0000F6030000}"/>
    <hyperlink ref="E814" r:id="rId1016" xr:uid="{00000000-0004-0000-0000-0000F7030000}"/>
    <hyperlink ref="G814" r:id="rId1017" xr:uid="{00000000-0004-0000-0000-0000F8030000}"/>
    <hyperlink ref="E815" r:id="rId1018" xr:uid="{00000000-0004-0000-0000-0000F9030000}"/>
    <hyperlink ref="G815" r:id="rId1019" xr:uid="{00000000-0004-0000-0000-0000FA030000}"/>
    <hyperlink ref="E816" r:id="rId1020" xr:uid="{00000000-0004-0000-0000-0000FB030000}"/>
    <hyperlink ref="G816" r:id="rId1021" xr:uid="{00000000-0004-0000-0000-0000FC030000}"/>
    <hyperlink ref="E817" r:id="rId1022" xr:uid="{00000000-0004-0000-0000-0000FD030000}"/>
    <hyperlink ref="G817" r:id="rId1023" xr:uid="{00000000-0004-0000-0000-0000FE030000}"/>
    <hyperlink ref="E818" r:id="rId1024" xr:uid="{00000000-0004-0000-0000-0000FF030000}"/>
    <hyperlink ref="G818" r:id="rId1025" xr:uid="{00000000-0004-0000-0000-000000040000}"/>
    <hyperlink ref="E819" r:id="rId1026" xr:uid="{00000000-0004-0000-0000-000001040000}"/>
    <hyperlink ref="G819" r:id="rId1027" xr:uid="{00000000-0004-0000-0000-000002040000}"/>
    <hyperlink ref="E820" r:id="rId1028" xr:uid="{00000000-0004-0000-0000-000003040000}"/>
    <hyperlink ref="G820" r:id="rId1029" xr:uid="{00000000-0004-0000-0000-000004040000}"/>
    <hyperlink ref="E821" r:id="rId1030" xr:uid="{00000000-0004-0000-0000-000005040000}"/>
    <hyperlink ref="G821" r:id="rId1031" xr:uid="{00000000-0004-0000-0000-000006040000}"/>
    <hyperlink ref="E822" r:id="rId1032" xr:uid="{00000000-0004-0000-0000-000007040000}"/>
    <hyperlink ref="G822" r:id="rId1033" xr:uid="{00000000-0004-0000-0000-000008040000}"/>
    <hyperlink ref="E823" r:id="rId1034" xr:uid="{00000000-0004-0000-0000-000009040000}"/>
    <hyperlink ref="G823" r:id="rId1035" xr:uid="{00000000-0004-0000-0000-00000A040000}"/>
    <hyperlink ref="E824" r:id="rId1036" xr:uid="{00000000-0004-0000-0000-00000B040000}"/>
    <hyperlink ref="G824" r:id="rId1037" xr:uid="{00000000-0004-0000-0000-00000C040000}"/>
    <hyperlink ref="E825" r:id="rId1038" xr:uid="{00000000-0004-0000-0000-00000D040000}"/>
    <hyperlink ref="G825" r:id="rId1039" xr:uid="{00000000-0004-0000-0000-00000E040000}"/>
    <hyperlink ref="E826" r:id="rId1040" xr:uid="{00000000-0004-0000-0000-00000F040000}"/>
    <hyperlink ref="G826" r:id="rId1041" xr:uid="{00000000-0004-0000-0000-000010040000}"/>
    <hyperlink ref="E827" r:id="rId1042" xr:uid="{00000000-0004-0000-0000-000011040000}"/>
    <hyperlink ref="G827" r:id="rId1043" xr:uid="{00000000-0004-0000-0000-000012040000}"/>
    <hyperlink ref="E828" r:id="rId1044" xr:uid="{00000000-0004-0000-0000-000013040000}"/>
    <hyperlink ref="G828" r:id="rId1045" xr:uid="{00000000-0004-0000-0000-000014040000}"/>
    <hyperlink ref="E829" r:id="rId1046" xr:uid="{00000000-0004-0000-0000-000015040000}"/>
    <hyperlink ref="G829" r:id="rId1047" xr:uid="{00000000-0004-0000-0000-000016040000}"/>
    <hyperlink ref="E830" r:id="rId1048" xr:uid="{00000000-0004-0000-0000-000017040000}"/>
    <hyperlink ref="G830" r:id="rId1049" xr:uid="{00000000-0004-0000-0000-000018040000}"/>
    <hyperlink ref="E831" r:id="rId1050" xr:uid="{00000000-0004-0000-0000-000019040000}"/>
    <hyperlink ref="G831" r:id="rId1051" xr:uid="{00000000-0004-0000-0000-00001A040000}"/>
    <hyperlink ref="E832" r:id="rId1052" xr:uid="{00000000-0004-0000-0000-00001B040000}"/>
    <hyperlink ref="G832" r:id="rId1053" xr:uid="{00000000-0004-0000-0000-00001C040000}"/>
    <hyperlink ref="E833" r:id="rId1054" xr:uid="{00000000-0004-0000-0000-00001D040000}"/>
    <hyperlink ref="G833" r:id="rId1055" xr:uid="{00000000-0004-0000-0000-00001E040000}"/>
    <hyperlink ref="E834" r:id="rId1056" xr:uid="{00000000-0004-0000-0000-00001F040000}"/>
    <hyperlink ref="G834" r:id="rId1057" xr:uid="{00000000-0004-0000-0000-000020040000}"/>
    <hyperlink ref="E835" r:id="rId1058" xr:uid="{00000000-0004-0000-0000-000021040000}"/>
    <hyperlink ref="G835" r:id="rId1059" xr:uid="{00000000-0004-0000-0000-000022040000}"/>
    <hyperlink ref="E836" r:id="rId1060" xr:uid="{00000000-0004-0000-0000-000023040000}"/>
    <hyperlink ref="G836" r:id="rId1061" xr:uid="{00000000-0004-0000-0000-000024040000}"/>
    <hyperlink ref="E837" r:id="rId1062" xr:uid="{00000000-0004-0000-0000-000025040000}"/>
    <hyperlink ref="G837" r:id="rId1063" xr:uid="{00000000-0004-0000-0000-000026040000}"/>
    <hyperlink ref="E838" r:id="rId1064" xr:uid="{00000000-0004-0000-0000-000027040000}"/>
    <hyperlink ref="G838" r:id="rId1065" xr:uid="{00000000-0004-0000-0000-000028040000}"/>
    <hyperlink ref="E839" r:id="rId1066" xr:uid="{00000000-0004-0000-0000-000029040000}"/>
    <hyperlink ref="G839" r:id="rId1067" xr:uid="{00000000-0004-0000-0000-00002A040000}"/>
    <hyperlink ref="E840" r:id="rId1068" xr:uid="{00000000-0004-0000-0000-00002B040000}"/>
    <hyperlink ref="G840" r:id="rId1069" xr:uid="{00000000-0004-0000-0000-00002C040000}"/>
    <hyperlink ref="E841" r:id="rId1070" xr:uid="{00000000-0004-0000-0000-00002D040000}"/>
    <hyperlink ref="G841" r:id="rId1071" xr:uid="{00000000-0004-0000-0000-00002E040000}"/>
    <hyperlink ref="E842" r:id="rId1072" xr:uid="{00000000-0004-0000-0000-00002F040000}"/>
    <hyperlink ref="G842" r:id="rId1073" xr:uid="{00000000-0004-0000-0000-000030040000}"/>
    <hyperlink ref="E843" r:id="rId1074" xr:uid="{00000000-0004-0000-0000-000031040000}"/>
    <hyperlink ref="G843" r:id="rId1075" xr:uid="{00000000-0004-0000-0000-000032040000}"/>
    <hyperlink ref="E844" r:id="rId1076" xr:uid="{00000000-0004-0000-0000-000033040000}"/>
    <hyperlink ref="G844" r:id="rId1077" xr:uid="{00000000-0004-0000-0000-000034040000}"/>
    <hyperlink ref="E845" r:id="rId1078" xr:uid="{00000000-0004-0000-0000-000035040000}"/>
    <hyperlink ref="G845" r:id="rId1079" xr:uid="{00000000-0004-0000-0000-000036040000}"/>
    <hyperlink ref="E846" r:id="rId1080" xr:uid="{00000000-0004-0000-0000-000037040000}"/>
    <hyperlink ref="G846" r:id="rId1081" xr:uid="{00000000-0004-0000-0000-000038040000}"/>
    <hyperlink ref="E847" r:id="rId1082" xr:uid="{00000000-0004-0000-0000-000039040000}"/>
    <hyperlink ref="G847" r:id="rId1083" xr:uid="{00000000-0004-0000-0000-00003A040000}"/>
    <hyperlink ref="E848" r:id="rId1084" xr:uid="{00000000-0004-0000-0000-00003B040000}"/>
    <hyperlink ref="G848" r:id="rId1085" xr:uid="{00000000-0004-0000-0000-00003C040000}"/>
    <hyperlink ref="E849" r:id="rId1086" xr:uid="{00000000-0004-0000-0000-00003D040000}"/>
    <hyperlink ref="G849" r:id="rId1087" xr:uid="{00000000-0004-0000-0000-00003E040000}"/>
    <hyperlink ref="E850" r:id="rId1088" xr:uid="{00000000-0004-0000-0000-00003F040000}"/>
    <hyperlink ref="G850" r:id="rId1089" xr:uid="{00000000-0004-0000-0000-000040040000}"/>
    <hyperlink ref="E851" r:id="rId1090" xr:uid="{00000000-0004-0000-0000-000041040000}"/>
    <hyperlink ref="G851" r:id="rId1091" xr:uid="{00000000-0004-0000-0000-000042040000}"/>
    <hyperlink ref="E852" r:id="rId1092" xr:uid="{00000000-0004-0000-0000-000043040000}"/>
    <hyperlink ref="G852" r:id="rId1093" xr:uid="{00000000-0004-0000-0000-000044040000}"/>
    <hyperlink ref="E853" r:id="rId1094" xr:uid="{00000000-0004-0000-0000-000045040000}"/>
    <hyperlink ref="G853" r:id="rId1095" xr:uid="{00000000-0004-0000-0000-000046040000}"/>
    <hyperlink ref="E854" r:id="rId1096" xr:uid="{00000000-0004-0000-0000-000047040000}"/>
    <hyperlink ref="G854" r:id="rId1097" xr:uid="{00000000-0004-0000-0000-000048040000}"/>
    <hyperlink ref="E855" r:id="rId1098" xr:uid="{00000000-0004-0000-0000-000049040000}"/>
    <hyperlink ref="G855" r:id="rId1099" xr:uid="{00000000-0004-0000-0000-00004A040000}"/>
    <hyperlink ref="E856" r:id="rId1100" xr:uid="{00000000-0004-0000-0000-00004B040000}"/>
    <hyperlink ref="G856" r:id="rId1101" xr:uid="{00000000-0004-0000-0000-00004C040000}"/>
    <hyperlink ref="E857" r:id="rId1102" xr:uid="{00000000-0004-0000-0000-00004D040000}"/>
    <hyperlink ref="G857" r:id="rId1103" xr:uid="{00000000-0004-0000-0000-00004E040000}"/>
    <hyperlink ref="E858" r:id="rId1104" xr:uid="{00000000-0004-0000-0000-00004F040000}"/>
    <hyperlink ref="G858" r:id="rId1105" xr:uid="{00000000-0004-0000-0000-000050040000}"/>
    <hyperlink ref="E859" r:id="rId1106" xr:uid="{00000000-0004-0000-0000-000051040000}"/>
    <hyperlink ref="G859" r:id="rId1107" xr:uid="{00000000-0004-0000-0000-000052040000}"/>
    <hyperlink ref="E860" r:id="rId1108" xr:uid="{00000000-0004-0000-0000-000053040000}"/>
    <hyperlink ref="G860" r:id="rId1109" xr:uid="{00000000-0004-0000-0000-000054040000}"/>
    <hyperlink ref="E861" r:id="rId1110" xr:uid="{00000000-0004-0000-0000-000055040000}"/>
    <hyperlink ref="G861" r:id="rId1111" xr:uid="{00000000-0004-0000-0000-000056040000}"/>
    <hyperlink ref="E862" r:id="rId1112" xr:uid="{00000000-0004-0000-0000-000057040000}"/>
    <hyperlink ref="G862" r:id="rId1113" xr:uid="{00000000-0004-0000-0000-000058040000}"/>
    <hyperlink ref="E863" r:id="rId1114" xr:uid="{00000000-0004-0000-0000-000059040000}"/>
    <hyperlink ref="G863" r:id="rId1115" xr:uid="{00000000-0004-0000-0000-00005A040000}"/>
    <hyperlink ref="E864" r:id="rId1116" xr:uid="{00000000-0004-0000-0000-00005B040000}"/>
    <hyperlink ref="G864" r:id="rId1117" xr:uid="{00000000-0004-0000-0000-00005C040000}"/>
    <hyperlink ref="E865" r:id="rId1118" xr:uid="{00000000-0004-0000-0000-00005D040000}"/>
    <hyperlink ref="G865" r:id="rId1119" xr:uid="{00000000-0004-0000-0000-00005E040000}"/>
    <hyperlink ref="E866" r:id="rId1120" xr:uid="{00000000-0004-0000-0000-00005F040000}"/>
    <hyperlink ref="G866" r:id="rId1121" xr:uid="{00000000-0004-0000-0000-000060040000}"/>
    <hyperlink ref="E867" r:id="rId1122" xr:uid="{00000000-0004-0000-0000-000061040000}"/>
    <hyperlink ref="G867" r:id="rId1123" xr:uid="{00000000-0004-0000-0000-000062040000}"/>
    <hyperlink ref="E868" r:id="rId1124" xr:uid="{00000000-0004-0000-0000-000063040000}"/>
    <hyperlink ref="G868" r:id="rId1125" xr:uid="{00000000-0004-0000-0000-000064040000}"/>
    <hyperlink ref="E869" r:id="rId1126" xr:uid="{00000000-0004-0000-0000-000065040000}"/>
    <hyperlink ref="G869" r:id="rId1127" xr:uid="{00000000-0004-0000-0000-000066040000}"/>
    <hyperlink ref="E870" r:id="rId1128" xr:uid="{00000000-0004-0000-0000-000067040000}"/>
    <hyperlink ref="G870" r:id="rId1129" xr:uid="{00000000-0004-0000-0000-000068040000}"/>
    <hyperlink ref="E871" r:id="rId1130" xr:uid="{00000000-0004-0000-0000-000069040000}"/>
    <hyperlink ref="G871" r:id="rId1131" xr:uid="{00000000-0004-0000-0000-00006A040000}"/>
    <hyperlink ref="E872" r:id="rId1132" xr:uid="{00000000-0004-0000-0000-00006B040000}"/>
    <hyperlink ref="G872" r:id="rId1133" xr:uid="{00000000-0004-0000-0000-00006C040000}"/>
    <hyperlink ref="E873" r:id="rId1134" xr:uid="{00000000-0004-0000-0000-00006D040000}"/>
    <hyperlink ref="G873" r:id="rId1135" xr:uid="{00000000-0004-0000-0000-00006E040000}"/>
    <hyperlink ref="E874" r:id="rId1136" xr:uid="{00000000-0004-0000-0000-00006F040000}"/>
    <hyperlink ref="G874" r:id="rId1137" xr:uid="{00000000-0004-0000-0000-000070040000}"/>
    <hyperlink ref="E875" r:id="rId1138" xr:uid="{00000000-0004-0000-0000-000071040000}"/>
    <hyperlink ref="G875" r:id="rId1139" xr:uid="{00000000-0004-0000-0000-000072040000}"/>
    <hyperlink ref="E876" r:id="rId1140" xr:uid="{00000000-0004-0000-0000-000073040000}"/>
    <hyperlink ref="G876" r:id="rId1141" xr:uid="{00000000-0004-0000-0000-000074040000}"/>
    <hyperlink ref="E877" r:id="rId1142" xr:uid="{00000000-0004-0000-0000-000075040000}"/>
    <hyperlink ref="G877" r:id="rId1143" xr:uid="{00000000-0004-0000-0000-000076040000}"/>
    <hyperlink ref="E878" r:id="rId1144" xr:uid="{00000000-0004-0000-0000-000077040000}"/>
    <hyperlink ref="G878" r:id="rId1145" xr:uid="{00000000-0004-0000-0000-000078040000}"/>
    <hyperlink ref="E879" r:id="rId1146" xr:uid="{00000000-0004-0000-0000-000079040000}"/>
    <hyperlink ref="G879" r:id="rId1147" xr:uid="{00000000-0004-0000-0000-00007A040000}"/>
    <hyperlink ref="E880" r:id="rId1148" xr:uid="{00000000-0004-0000-0000-00007B040000}"/>
    <hyperlink ref="G880" r:id="rId1149" xr:uid="{00000000-0004-0000-0000-00007C040000}"/>
    <hyperlink ref="E881" r:id="rId1150" xr:uid="{00000000-0004-0000-0000-00007D040000}"/>
    <hyperlink ref="G881" r:id="rId1151" xr:uid="{00000000-0004-0000-0000-00007E040000}"/>
    <hyperlink ref="E882" r:id="rId1152" xr:uid="{00000000-0004-0000-0000-00007F040000}"/>
    <hyperlink ref="G882" r:id="rId1153" xr:uid="{00000000-0004-0000-0000-000080040000}"/>
    <hyperlink ref="E883" r:id="rId1154" xr:uid="{00000000-0004-0000-0000-000081040000}"/>
    <hyperlink ref="G883" r:id="rId1155" xr:uid="{00000000-0004-0000-0000-000082040000}"/>
    <hyperlink ref="E884" r:id="rId1156" xr:uid="{00000000-0004-0000-0000-000083040000}"/>
    <hyperlink ref="G884" r:id="rId1157" xr:uid="{00000000-0004-0000-0000-000084040000}"/>
    <hyperlink ref="E885" r:id="rId1158" xr:uid="{00000000-0004-0000-0000-000085040000}"/>
    <hyperlink ref="G885" r:id="rId1159" xr:uid="{00000000-0004-0000-0000-000086040000}"/>
    <hyperlink ref="E886" r:id="rId1160" xr:uid="{00000000-0004-0000-0000-000087040000}"/>
    <hyperlink ref="G886" r:id="rId1161" xr:uid="{00000000-0004-0000-0000-000088040000}"/>
    <hyperlink ref="E887" r:id="rId1162" xr:uid="{00000000-0004-0000-0000-000089040000}"/>
    <hyperlink ref="G887" r:id="rId1163" xr:uid="{00000000-0004-0000-0000-00008A040000}"/>
    <hyperlink ref="E888" r:id="rId1164" xr:uid="{00000000-0004-0000-0000-00008B040000}"/>
    <hyperlink ref="G888" r:id="rId1165" xr:uid="{00000000-0004-0000-0000-00008C040000}"/>
    <hyperlink ref="E889" r:id="rId1166" xr:uid="{00000000-0004-0000-0000-00008D040000}"/>
    <hyperlink ref="G889" r:id="rId1167" xr:uid="{00000000-0004-0000-0000-00008E040000}"/>
    <hyperlink ref="E890" r:id="rId1168" xr:uid="{00000000-0004-0000-0000-00008F040000}"/>
    <hyperlink ref="G890" r:id="rId1169" xr:uid="{00000000-0004-0000-0000-000090040000}"/>
    <hyperlink ref="E891" r:id="rId1170" xr:uid="{00000000-0004-0000-0000-000091040000}"/>
    <hyperlink ref="G891" r:id="rId1171" xr:uid="{00000000-0004-0000-0000-000092040000}"/>
    <hyperlink ref="E892" r:id="rId1172" xr:uid="{00000000-0004-0000-0000-000093040000}"/>
    <hyperlink ref="G892" r:id="rId1173" xr:uid="{00000000-0004-0000-0000-000094040000}"/>
    <hyperlink ref="E893" r:id="rId1174" xr:uid="{00000000-0004-0000-0000-000095040000}"/>
    <hyperlink ref="G893" r:id="rId1175" xr:uid="{00000000-0004-0000-0000-000096040000}"/>
    <hyperlink ref="E894" r:id="rId1176" xr:uid="{00000000-0004-0000-0000-000097040000}"/>
    <hyperlink ref="G894" r:id="rId1177" xr:uid="{00000000-0004-0000-0000-000098040000}"/>
    <hyperlink ref="E895" r:id="rId1178" xr:uid="{00000000-0004-0000-0000-000099040000}"/>
    <hyperlink ref="G895" r:id="rId1179" xr:uid="{00000000-0004-0000-0000-00009A040000}"/>
    <hyperlink ref="E896" r:id="rId1180" xr:uid="{00000000-0004-0000-0000-00009B040000}"/>
    <hyperlink ref="G896" r:id="rId1181" xr:uid="{00000000-0004-0000-0000-00009C040000}"/>
    <hyperlink ref="E897" r:id="rId1182" xr:uid="{00000000-0004-0000-0000-00009D040000}"/>
    <hyperlink ref="G897" r:id="rId1183" xr:uid="{00000000-0004-0000-0000-00009E040000}"/>
    <hyperlink ref="E898" r:id="rId1184" xr:uid="{00000000-0004-0000-0000-00009F040000}"/>
    <hyperlink ref="G898" r:id="rId1185" xr:uid="{00000000-0004-0000-0000-0000A0040000}"/>
    <hyperlink ref="E899" r:id="rId1186" xr:uid="{00000000-0004-0000-0000-0000A1040000}"/>
    <hyperlink ref="G899" r:id="rId1187" xr:uid="{00000000-0004-0000-0000-0000A2040000}"/>
    <hyperlink ref="E900" r:id="rId1188" xr:uid="{00000000-0004-0000-0000-0000A3040000}"/>
    <hyperlink ref="G900" r:id="rId1189" xr:uid="{00000000-0004-0000-0000-0000A4040000}"/>
    <hyperlink ref="E901" r:id="rId1190" xr:uid="{00000000-0004-0000-0000-0000A5040000}"/>
    <hyperlink ref="G901" r:id="rId1191" xr:uid="{00000000-0004-0000-0000-0000A6040000}"/>
    <hyperlink ref="E902" r:id="rId1192" xr:uid="{00000000-0004-0000-0000-0000A7040000}"/>
    <hyperlink ref="G902" r:id="rId1193" xr:uid="{00000000-0004-0000-0000-0000A8040000}"/>
    <hyperlink ref="E903" r:id="rId1194" xr:uid="{00000000-0004-0000-0000-0000A9040000}"/>
    <hyperlink ref="G903" r:id="rId1195" xr:uid="{00000000-0004-0000-0000-0000AA040000}"/>
    <hyperlink ref="E904" r:id="rId1196" xr:uid="{00000000-0004-0000-0000-0000AB040000}"/>
    <hyperlink ref="G904" r:id="rId1197" xr:uid="{00000000-0004-0000-0000-0000AC040000}"/>
    <hyperlink ref="E905" r:id="rId1198" xr:uid="{00000000-0004-0000-0000-0000AD040000}"/>
    <hyperlink ref="G905" r:id="rId1199" xr:uid="{00000000-0004-0000-0000-0000AE040000}"/>
    <hyperlink ref="E906" r:id="rId1200" xr:uid="{00000000-0004-0000-0000-0000AF040000}"/>
    <hyperlink ref="G906" r:id="rId1201" xr:uid="{00000000-0004-0000-0000-0000B0040000}"/>
    <hyperlink ref="E907" r:id="rId1202" xr:uid="{00000000-0004-0000-0000-0000B1040000}"/>
    <hyperlink ref="G907" r:id="rId1203" xr:uid="{00000000-0004-0000-0000-0000B2040000}"/>
    <hyperlink ref="E908" r:id="rId1204" xr:uid="{00000000-0004-0000-0000-0000B3040000}"/>
    <hyperlink ref="G908" r:id="rId1205" xr:uid="{00000000-0004-0000-0000-0000B4040000}"/>
    <hyperlink ref="E909" r:id="rId1206" xr:uid="{00000000-0004-0000-0000-0000B5040000}"/>
    <hyperlink ref="G909" r:id="rId1207" xr:uid="{00000000-0004-0000-0000-0000B6040000}"/>
    <hyperlink ref="E910" r:id="rId1208" xr:uid="{00000000-0004-0000-0000-0000B7040000}"/>
    <hyperlink ref="G910" r:id="rId1209" xr:uid="{00000000-0004-0000-0000-0000B8040000}"/>
    <hyperlink ref="E911" r:id="rId1210" xr:uid="{00000000-0004-0000-0000-0000B9040000}"/>
    <hyperlink ref="G911" r:id="rId1211" xr:uid="{00000000-0004-0000-0000-0000BA040000}"/>
    <hyperlink ref="E912" r:id="rId1212" xr:uid="{00000000-0004-0000-0000-0000BB040000}"/>
    <hyperlink ref="G912" r:id="rId1213" xr:uid="{00000000-0004-0000-0000-0000BC040000}"/>
    <hyperlink ref="E913" r:id="rId1214" xr:uid="{00000000-0004-0000-0000-0000BD040000}"/>
    <hyperlink ref="G913" r:id="rId1215" xr:uid="{00000000-0004-0000-0000-0000BE040000}"/>
    <hyperlink ref="E914" r:id="rId1216" xr:uid="{00000000-0004-0000-0000-0000BF040000}"/>
    <hyperlink ref="G914" r:id="rId1217" xr:uid="{00000000-0004-0000-0000-0000C0040000}"/>
    <hyperlink ref="E915" r:id="rId1218" xr:uid="{00000000-0004-0000-0000-0000C1040000}"/>
    <hyperlink ref="G915" r:id="rId1219" xr:uid="{00000000-0004-0000-0000-0000C2040000}"/>
    <hyperlink ref="E916" r:id="rId1220" xr:uid="{00000000-0004-0000-0000-0000C3040000}"/>
    <hyperlink ref="G916" r:id="rId1221" xr:uid="{00000000-0004-0000-0000-0000C4040000}"/>
    <hyperlink ref="E917" r:id="rId1222" xr:uid="{00000000-0004-0000-0000-0000C5040000}"/>
    <hyperlink ref="G917" r:id="rId1223" xr:uid="{00000000-0004-0000-0000-0000C6040000}"/>
    <hyperlink ref="E918" r:id="rId1224" xr:uid="{00000000-0004-0000-0000-0000C7040000}"/>
    <hyperlink ref="G918" r:id="rId1225" xr:uid="{00000000-0004-0000-0000-0000C8040000}"/>
    <hyperlink ref="E919" r:id="rId1226" xr:uid="{00000000-0004-0000-0000-0000C9040000}"/>
    <hyperlink ref="G919" r:id="rId1227" xr:uid="{00000000-0004-0000-0000-0000CA040000}"/>
    <hyperlink ref="E920" r:id="rId1228" xr:uid="{00000000-0004-0000-0000-0000CB040000}"/>
    <hyperlink ref="G920" r:id="rId1229" xr:uid="{00000000-0004-0000-0000-0000CC040000}"/>
    <hyperlink ref="E921" r:id="rId1230" xr:uid="{00000000-0004-0000-0000-0000CD040000}"/>
    <hyperlink ref="G921" r:id="rId1231" xr:uid="{00000000-0004-0000-0000-0000CE040000}"/>
    <hyperlink ref="E922" r:id="rId1232" xr:uid="{00000000-0004-0000-0000-0000CF040000}"/>
    <hyperlink ref="G922" r:id="rId1233" xr:uid="{00000000-0004-0000-0000-0000D0040000}"/>
    <hyperlink ref="E923" r:id="rId1234" xr:uid="{00000000-0004-0000-0000-0000D1040000}"/>
    <hyperlink ref="G923" r:id="rId1235" xr:uid="{00000000-0004-0000-0000-0000D2040000}"/>
    <hyperlink ref="E924" r:id="rId1236" xr:uid="{00000000-0004-0000-0000-0000D3040000}"/>
    <hyperlink ref="G924" r:id="rId1237" xr:uid="{00000000-0004-0000-0000-0000D4040000}"/>
    <hyperlink ref="E925" r:id="rId1238" xr:uid="{00000000-0004-0000-0000-0000D5040000}"/>
    <hyperlink ref="G925" r:id="rId1239" xr:uid="{00000000-0004-0000-0000-0000D6040000}"/>
    <hyperlink ref="E926" r:id="rId1240" xr:uid="{00000000-0004-0000-0000-0000D7040000}"/>
    <hyperlink ref="G926" r:id="rId1241" xr:uid="{00000000-0004-0000-0000-0000D8040000}"/>
    <hyperlink ref="E927" r:id="rId1242" xr:uid="{00000000-0004-0000-0000-0000D9040000}"/>
    <hyperlink ref="G927" r:id="rId1243" xr:uid="{00000000-0004-0000-0000-0000DA040000}"/>
    <hyperlink ref="E928" r:id="rId1244" xr:uid="{00000000-0004-0000-0000-0000DB040000}"/>
    <hyperlink ref="G928" r:id="rId1245" xr:uid="{00000000-0004-0000-0000-0000DC040000}"/>
    <hyperlink ref="E929" r:id="rId1246" xr:uid="{00000000-0004-0000-0000-0000DD040000}"/>
    <hyperlink ref="G929" r:id="rId1247" xr:uid="{00000000-0004-0000-0000-0000DE040000}"/>
    <hyperlink ref="E930" r:id="rId1248" xr:uid="{00000000-0004-0000-0000-0000DF040000}"/>
    <hyperlink ref="G930" r:id="rId1249" xr:uid="{00000000-0004-0000-0000-0000E0040000}"/>
    <hyperlink ref="E931" r:id="rId1250" xr:uid="{00000000-0004-0000-0000-0000E1040000}"/>
    <hyperlink ref="G931" r:id="rId1251" xr:uid="{00000000-0004-0000-0000-0000E2040000}"/>
    <hyperlink ref="E932" r:id="rId1252" xr:uid="{00000000-0004-0000-0000-0000E3040000}"/>
    <hyperlink ref="G932" r:id="rId1253" xr:uid="{00000000-0004-0000-0000-0000E4040000}"/>
    <hyperlink ref="E933" r:id="rId1254" xr:uid="{00000000-0004-0000-0000-0000E5040000}"/>
    <hyperlink ref="G933" r:id="rId1255" xr:uid="{00000000-0004-0000-0000-0000E6040000}"/>
    <hyperlink ref="E934" r:id="rId1256" xr:uid="{00000000-0004-0000-0000-0000E7040000}"/>
    <hyperlink ref="G934" r:id="rId1257" xr:uid="{00000000-0004-0000-0000-0000E8040000}"/>
    <hyperlink ref="E935" r:id="rId1258" xr:uid="{00000000-0004-0000-0000-0000E9040000}"/>
    <hyperlink ref="G935" r:id="rId1259" xr:uid="{00000000-0004-0000-0000-0000EA040000}"/>
    <hyperlink ref="E936" r:id="rId1260" xr:uid="{00000000-0004-0000-0000-0000EB040000}"/>
    <hyperlink ref="G936" r:id="rId1261" xr:uid="{00000000-0004-0000-0000-0000EC040000}"/>
    <hyperlink ref="E937" r:id="rId1262" xr:uid="{00000000-0004-0000-0000-0000ED040000}"/>
    <hyperlink ref="G937" r:id="rId1263" xr:uid="{00000000-0004-0000-0000-0000EE040000}"/>
    <hyperlink ref="E938" r:id="rId1264" xr:uid="{00000000-0004-0000-0000-0000EF040000}"/>
    <hyperlink ref="G938" r:id="rId1265" xr:uid="{00000000-0004-0000-0000-0000F0040000}"/>
    <hyperlink ref="E939" r:id="rId1266" xr:uid="{00000000-0004-0000-0000-0000F1040000}"/>
    <hyperlink ref="G939" r:id="rId1267" xr:uid="{00000000-0004-0000-0000-0000F2040000}"/>
    <hyperlink ref="E940" r:id="rId1268" xr:uid="{00000000-0004-0000-0000-0000F3040000}"/>
    <hyperlink ref="G940" r:id="rId1269" xr:uid="{00000000-0004-0000-0000-0000F4040000}"/>
    <hyperlink ref="E941" r:id="rId1270" xr:uid="{00000000-0004-0000-0000-0000F5040000}"/>
    <hyperlink ref="G941" r:id="rId1271" xr:uid="{00000000-0004-0000-0000-0000F6040000}"/>
    <hyperlink ref="E942" r:id="rId1272" xr:uid="{00000000-0004-0000-0000-0000F7040000}"/>
    <hyperlink ref="G942" r:id="rId1273" xr:uid="{00000000-0004-0000-0000-0000F8040000}"/>
    <hyperlink ref="E943" r:id="rId1274" xr:uid="{00000000-0004-0000-0000-0000F9040000}"/>
    <hyperlink ref="G943" r:id="rId1275" xr:uid="{00000000-0004-0000-0000-0000FA040000}"/>
    <hyperlink ref="E944" r:id="rId1276" xr:uid="{00000000-0004-0000-0000-0000FB040000}"/>
    <hyperlink ref="G944" r:id="rId1277" xr:uid="{00000000-0004-0000-0000-0000FC040000}"/>
    <hyperlink ref="E945" r:id="rId1278" xr:uid="{00000000-0004-0000-0000-0000FD040000}"/>
    <hyperlink ref="G945" r:id="rId1279" xr:uid="{00000000-0004-0000-0000-0000FE040000}"/>
    <hyperlink ref="E946" r:id="rId1280" xr:uid="{00000000-0004-0000-0000-0000FF040000}"/>
    <hyperlink ref="G946" r:id="rId1281" xr:uid="{00000000-0004-0000-0000-000000050000}"/>
    <hyperlink ref="E947" r:id="rId1282" xr:uid="{00000000-0004-0000-0000-000001050000}"/>
    <hyperlink ref="G947" r:id="rId1283" xr:uid="{00000000-0004-0000-0000-000002050000}"/>
    <hyperlink ref="E948" r:id="rId1284" xr:uid="{00000000-0004-0000-0000-000003050000}"/>
    <hyperlink ref="G948" r:id="rId1285" xr:uid="{00000000-0004-0000-0000-000004050000}"/>
    <hyperlink ref="E949" r:id="rId1286" xr:uid="{00000000-0004-0000-0000-000005050000}"/>
    <hyperlink ref="G949" r:id="rId1287" xr:uid="{00000000-0004-0000-0000-000006050000}"/>
    <hyperlink ref="E950" r:id="rId1288" xr:uid="{00000000-0004-0000-0000-000007050000}"/>
    <hyperlink ref="G950" r:id="rId1289" xr:uid="{00000000-0004-0000-0000-000008050000}"/>
    <hyperlink ref="E951" r:id="rId1290" xr:uid="{00000000-0004-0000-0000-000009050000}"/>
    <hyperlink ref="G951" r:id="rId1291" xr:uid="{00000000-0004-0000-0000-00000A050000}"/>
    <hyperlink ref="E952" r:id="rId1292" xr:uid="{00000000-0004-0000-0000-00000B050000}"/>
    <hyperlink ref="G952" r:id="rId1293" xr:uid="{00000000-0004-0000-0000-00000C050000}"/>
    <hyperlink ref="E953" r:id="rId1294" xr:uid="{00000000-0004-0000-0000-00000D050000}"/>
    <hyperlink ref="G953" r:id="rId1295" xr:uid="{00000000-0004-0000-0000-00000E050000}"/>
    <hyperlink ref="E954" r:id="rId1296" xr:uid="{00000000-0004-0000-0000-00000F050000}"/>
    <hyperlink ref="G954" r:id="rId1297" xr:uid="{00000000-0004-0000-0000-000010050000}"/>
    <hyperlink ref="E955" r:id="rId1298" xr:uid="{00000000-0004-0000-0000-000011050000}"/>
    <hyperlink ref="G955" r:id="rId1299" xr:uid="{00000000-0004-0000-0000-000012050000}"/>
    <hyperlink ref="E956" r:id="rId1300" xr:uid="{00000000-0004-0000-0000-000013050000}"/>
    <hyperlink ref="G956" r:id="rId1301" xr:uid="{00000000-0004-0000-0000-000014050000}"/>
    <hyperlink ref="E957" r:id="rId1302" xr:uid="{00000000-0004-0000-0000-000015050000}"/>
    <hyperlink ref="G957" r:id="rId1303" xr:uid="{00000000-0004-0000-0000-000016050000}"/>
    <hyperlink ref="E958" r:id="rId1304" xr:uid="{00000000-0004-0000-0000-000017050000}"/>
    <hyperlink ref="G958" r:id="rId1305" xr:uid="{00000000-0004-0000-0000-000018050000}"/>
    <hyperlink ref="E959" r:id="rId1306" xr:uid="{00000000-0004-0000-0000-000019050000}"/>
    <hyperlink ref="G959" r:id="rId1307" xr:uid="{00000000-0004-0000-0000-00001A050000}"/>
    <hyperlink ref="E960" r:id="rId1308" xr:uid="{00000000-0004-0000-0000-00001B050000}"/>
    <hyperlink ref="G960" r:id="rId1309" xr:uid="{00000000-0004-0000-0000-00001C050000}"/>
    <hyperlink ref="E961" r:id="rId1310" xr:uid="{00000000-0004-0000-0000-00001D050000}"/>
    <hyperlink ref="G961" r:id="rId1311" xr:uid="{00000000-0004-0000-0000-00001E050000}"/>
    <hyperlink ref="E962" r:id="rId1312" xr:uid="{00000000-0004-0000-0000-00001F050000}"/>
    <hyperlink ref="G962" r:id="rId1313" xr:uid="{00000000-0004-0000-0000-000020050000}"/>
    <hyperlink ref="E963" r:id="rId1314" xr:uid="{00000000-0004-0000-0000-000021050000}"/>
    <hyperlink ref="G963" r:id="rId1315" xr:uid="{00000000-0004-0000-0000-000022050000}"/>
    <hyperlink ref="E964" r:id="rId1316" xr:uid="{00000000-0004-0000-0000-000023050000}"/>
    <hyperlink ref="G964" r:id="rId1317" xr:uid="{00000000-0004-0000-0000-000024050000}"/>
    <hyperlink ref="E965" r:id="rId1318" xr:uid="{00000000-0004-0000-0000-000025050000}"/>
    <hyperlink ref="G965" r:id="rId1319" xr:uid="{00000000-0004-0000-0000-000026050000}"/>
    <hyperlink ref="E966" r:id="rId1320" xr:uid="{00000000-0004-0000-0000-000027050000}"/>
    <hyperlink ref="G966" r:id="rId1321" xr:uid="{00000000-0004-0000-0000-000028050000}"/>
    <hyperlink ref="E967" r:id="rId1322" xr:uid="{00000000-0004-0000-0000-000029050000}"/>
    <hyperlink ref="G967" r:id="rId1323" xr:uid="{00000000-0004-0000-0000-00002A050000}"/>
    <hyperlink ref="E968" r:id="rId1324" xr:uid="{00000000-0004-0000-0000-00002B050000}"/>
    <hyperlink ref="G968" r:id="rId1325" xr:uid="{00000000-0004-0000-0000-00002C050000}"/>
    <hyperlink ref="E969" r:id="rId1326" xr:uid="{00000000-0004-0000-0000-00002D050000}"/>
    <hyperlink ref="G969" r:id="rId1327" xr:uid="{00000000-0004-0000-0000-00002E050000}"/>
    <hyperlink ref="E970" r:id="rId1328" xr:uid="{00000000-0004-0000-0000-00002F050000}"/>
    <hyperlink ref="G970" r:id="rId1329" xr:uid="{00000000-0004-0000-0000-000030050000}"/>
    <hyperlink ref="E971" r:id="rId1330" xr:uid="{00000000-0004-0000-0000-000031050000}"/>
    <hyperlink ref="G971" r:id="rId1331" xr:uid="{00000000-0004-0000-0000-000032050000}"/>
    <hyperlink ref="E972" r:id="rId1332" xr:uid="{00000000-0004-0000-0000-000033050000}"/>
    <hyperlink ref="G972" r:id="rId1333" xr:uid="{00000000-0004-0000-0000-000034050000}"/>
    <hyperlink ref="E973" r:id="rId1334" xr:uid="{00000000-0004-0000-0000-000035050000}"/>
    <hyperlink ref="G973" r:id="rId1335" xr:uid="{00000000-0004-0000-0000-000036050000}"/>
    <hyperlink ref="E974" r:id="rId1336" xr:uid="{00000000-0004-0000-0000-000037050000}"/>
    <hyperlink ref="G974" r:id="rId1337" xr:uid="{00000000-0004-0000-0000-000038050000}"/>
    <hyperlink ref="E975" r:id="rId1338" xr:uid="{00000000-0004-0000-0000-000039050000}"/>
    <hyperlink ref="G975" r:id="rId1339" xr:uid="{00000000-0004-0000-0000-00003A050000}"/>
    <hyperlink ref="E976" r:id="rId1340" xr:uid="{00000000-0004-0000-0000-00003B050000}"/>
    <hyperlink ref="G976" r:id="rId1341" xr:uid="{00000000-0004-0000-0000-00003C050000}"/>
    <hyperlink ref="E977" r:id="rId1342" xr:uid="{00000000-0004-0000-0000-00003D050000}"/>
    <hyperlink ref="G977" r:id="rId1343" xr:uid="{00000000-0004-0000-0000-00003E050000}"/>
    <hyperlink ref="E978" r:id="rId1344" xr:uid="{00000000-0004-0000-0000-00003F050000}"/>
    <hyperlink ref="G978" r:id="rId1345" xr:uid="{00000000-0004-0000-0000-000040050000}"/>
    <hyperlink ref="E979" r:id="rId1346" xr:uid="{00000000-0004-0000-0000-000041050000}"/>
    <hyperlink ref="G979" r:id="rId1347" xr:uid="{00000000-0004-0000-0000-000042050000}"/>
    <hyperlink ref="E980" r:id="rId1348" xr:uid="{00000000-0004-0000-0000-000043050000}"/>
    <hyperlink ref="G980" r:id="rId1349" xr:uid="{00000000-0004-0000-0000-000044050000}"/>
    <hyperlink ref="E981" r:id="rId1350" xr:uid="{00000000-0004-0000-0000-000045050000}"/>
    <hyperlink ref="G981" r:id="rId1351" xr:uid="{00000000-0004-0000-0000-000046050000}"/>
    <hyperlink ref="E982" r:id="rId1352" xr:uid="{00000000-0004-0000-0000-000047050000}"/>
    <hyperlink ref="G982" r:id="rId1353" xr:uid="{00000000-0004-0000-0000-000048050000}"/>
    <hyperlink ref="E983" r:id="rId1354" xr:uid="{00000000-0004-0000-0000-000049050000}"/>
    <hyperlink ref="G983" r:id="rId1355" xr:uid="{00000000-0004-0000-0000-00004A050000}"/>
    <hyperlink ref="E984" r:id="rId1356" xr:uid="{00000000-0004-0000-0000-00004B050000}"/>
    <hyperlink ref="G984" r:id="rId1357" xr:uid="{00000000-0004-0000-0000-00004C050000}"/>
    <hyperlink ref="E985" r:id="rId1358" xr:uid="{00000000-0004-0000-0000-00004D050000}"/>
    <hyperlink ref="G985" r:id="rId1359" xr:uid="{00000000-0004-0000-0000-00004E050000}"/>
    <hyperlink ref="E986" r:id="rId1360" xr:uid="{00000000-0004-0000-0000-00004F050000}"/>
    <hyperlink ref="G986" r:id="rId1361" xr:uid="{00000000-0004-0000-0000-000050050000}"/>
    <hyperlink ref="E987" r:id="rId1362" xr:uid="{00000000-0004-0000-0000-000051050000}"/>
    <hyperlink ref="G987" r:id="rId1363" xr:uid="{00000000-0004-0000-0000-000052050000}"/>
    <hyperlink ref="E988" r:id="rId1364" xr:uid="{00000000-0004-0000-0000-000053050000}"/>
    <hyperlink ref="G988" r:id="rId1365" xr:uid="{00000000-0004-0000-0000-000054050000}"/>
    <hyperlink ref="E989" r:id="rId1366" xr:uid="{00000000-0004-0000-0000-000055050000}"/>
    <hyperlink ref="G989" r:id="rId1367" xr:uid="{00000000-0004-0000-0000-000056050000}"/>
    <hyperlink ref="E990" r:id="rId1368" xr:uid="{00000000-0004-0000-0000-000057050000}"/>
    <hyperlink ref="G990" r:id="rId1369" xr:uid="{00000000-0004-0000-0000-000058050000}"/>
    <hyperlink ref="E991" r:id="rId1370" xr:uid="{00000000-0004-0000-0000-000059050000}"/>
    <hyperlink ref="G991" r:id="rId1371" xr:uid="{00000000-0004-0000-0000-00005A050000}"/>
    <hyperlink ref="E992" r:id="rId1372" xr:uid="{00000000-0004-0000-0000-00005B050000}"/>
    <hyperlink ref="G992" r:id="rId1373" xr:uid="{00000000-0004-0000-0000-00005C050000}"/>
    <hyperlink ref="E993" r:id="rId1374" xr:uid="{00000000-0004-0000-0000-00005D050000}"/>
    <hyperlink ref="G993" r:id="rId1375" xr:uid="{00000000-0004-0000-0000-00005E050000}"/>
    <hyperlink ref="E994" r:id="rId1376" xr:uid="{00000000-0004-0000-0000-00005F050000}"/>
    <hyperlink ref="G994" r:id="rId1377" xr:uid="{00000000-0004-0000-0000-000060050000}"/>
    <hyperlink ref="E995" r:id="rId1378" xr:uid="{00000000-0004-0000-0000-000061050000}"/>
    <hyperlink ref="G995" r:id="rId1379" xr:uid="{00000000-0004-0000-0000-000062050000}"/>
    <hyperlink ref="E996" r:id="rId1380" xr:uid="{00000000-0004-0000-0000-000063050000}"/>
    <hyperlink ref="G996" r:id="rId1381" xr:uid="{00000000-0004-0000-0000-000064050000}"/>
    <hyperlink ref="E997" r:id="rId1382" xr:uid="{00000000-0004-0000-0000-000065050000}"/>
    <hyperlink ref="G997" r:id="rId1383" xr:uid="{00000000-0004-0000-0000-000066050000}"/>
    <hyperlink ref="E998" r:id="rId1384" xr:uid="{00000000-0004-0000-0000-000067050000}"/>
    <hyperlink ref="G998" r:id="rId1385" xr:uid="{00000000-0004-0000-0000-000068050000}"/>
    <hyperlink ref="E999" r:id="rId1386" xr:uid="{00000000-0004-0000-0000-000069050000}"/>
    <hyperlink ref="G999" r:id="rId1387" xr:uid="{00000000-0004-0000-0000-00006A050000}"/>
    <hyperlink ref="E1000" r:id="rId1388" xr:uid="{00000000-0004-0000-0000-00006B050000}"/>
    <hyperlink ref="G1000" r:id="rId1389" xr:uid="{00000000-0004-0000-0000-00006C050000}"/>
    <hyperlink ref="E1001" r:id="rId1390" xr:uid="{00000000-0004-0000-0000-00006D050000}"/>
    <hyperlink ref="G1001" r:id="rId1391" xr:uid="{00000000-0004-0000-0000-00006E050000}"/>
    <hyperlink ref="E1002" r:id="rId1392" xr:uid="{00000000-0004-0000-0000-00006F050000}"/>
    <hyperlink ref="G1002" r:id="rId1393" xr:uid="{00000000-0004-0000-0000-000070050000}"/>
    <hyperlink ref="E1003" r:id="rId1394" xr:uid="{00000000-0004-0000-0000-000071050000}"/>
    <hyperlink ref="G1003" r:id="rId1395" xr:uid="{00000000-0004-0000-0000-000072050000}"/>
    <hyperlink ref="E1004" r:id="rId1396" xr:uid="{00000000-0004-0000-0000-000073050000}"/>
    <hyperlink ref="G1004" r:id="rId1397" xr:uid="{00000000-0004-0000-0000-000074050000}"/>
    <hyperlink ref="E1005" r:id="rId1398" xr:uid="{00000000-0004-0000-0000-000075050000}"/>
    <hyperlink ref="G1005" r:id="rId1399" xr:uid="{00000000-0004-0000-0000-000076050000}"/>
    <hyperlink ref="E1006" r:id="rId1400" xr:uid="{00000000-0004-0000-0000-000077050000}"/>
    <hyperlink ref="G1006" r:id="rId1401" xr:uid="{00000000-0004-0000-0000-000078050000}"/>
    <hyperlink ref="E1007" r:id="rId1402" xr:uid="{00000000-0004-0000-0000-000079050000}"/>
    <hyperlink ref="G1007" r:id="rId1403" xr:uid="{00000000-0004-0000-0000-00007A050000}"/>
    <hyperlink ref="E1008" r:id="rId1404" xr:uid="{00000000-0004-0000-0000-00007B050000}"/>
    <hyperlink ref="G1008" r:id="rId1405" xr:uid="{00000000-0004-0000-0000-00007C050000}"/>
    <hyperlink ref="E1009" r:id="rId1406" xr:uid="{00000000-0004-0000-0000-00007D050000}"/>
    <hyperlink ref="G1009" r:id="rId1407" xr:uid="{00000000-0004-0000-0000-00007E050000}"/>
    <hyperlink ref="E1010" r:id="rId1408" xr:uid="{00000000-0004-0000-0000-00007F050000}"/>
    <hyperlink ref="G1010" r:id="rId1409" xr:uid="{00000000-0004-0000-0000-000080050000}"/>
    <hyperlink ref="E1011" r:id="rId1410" xr:uid="{00000000-0004-0000-0000-000081050000}"/>
    <hyperlink ref="G1011" r:id="rId1411" xr:uid="{00000000-0004-0000-0000-000082050000}"/>
    <hyperlink ref="E1012" r:id="rId1412" xr:uid="{00000000-0004-0000-0000-000083050000}"/>
    <hyperlink ref="G1012" r:id="rId1413" xr:uid="{00000000-0004-0000-0000-000084050000}"/>
    <hyperlink ref="E1013" r:id="rId1414" xr:uid="{00000000-0004-0000-0000-000085050000}"/>
    <hyperlink ref="G1013" r:id="rId1415" xr:uid="{00000000-0004-0000-0000-000086050000}"/>
    <hyperlink ref="E1014" r:id="rId1416" xr:uid="{00000000-0004-0000-0000-000087050000}"/>
    <hyperlink ref="G1014" r:id="rId1417" xr:uid="{00000000-0004-0000-0000-000088050000}"/>
    <hyperlink ref="E1015" r:id="rId1418" xr:uid="{00000000-0004-0000-0000-000089050000}"/>
    <hyperlink ref="G1015" r:id="rId1419" xr:uid="{00000000-0004-0000-0000-00008A050000}"/>
    <hyperlink ref="E1016" r:id="rId1420" xr:uid="{00000000-0004-0000-0000-00008B050000}"/>
    <hyperlink ref="G1016" r:id="rId1421" xr:uid="{00000000-0004-0000-0000-00008C050000}"/>
    <hyperlink ref="E1017" r:id="rId1422" xr:uid="{00000000-0004-0000-0000-00008D050000}"/>
    <hyperlink ref="G1017" r:id="rId1423" xr:uid="{00000000-0004-0000-0000-00008E050000}"/>
    <hyperlink ref="E1018" r:id="rId1424" xr:uid="{00000000-0004-0000-0000-00008F050000}"/>
    <hyperlink ref="G1018" r:id="rId1425" xr:uid="{00000000-0004-0000-0000-000090050000}"/>
    <hyperlink ref="E1019" r:id="rId1426" xr:uid="{00000000-0004-0000-0000-000091050000}"/>
    <hyperlink ref="G1019" r:id="rId1427" xr:uid="{00000000-0004-0000-0000-000092050000}"/>
    <hyperlink ref="E1020" r:id="rId1428" xr:uid="{00000000-0004-0000-0000-000093050000}"/>
    <hyperlink ref="G1020" r:id="rId1429" xr:uid="{00000000-0004-0000-0000-000094050000}"/>
    <hyperlink ref="E1021" r:id="rId1430" xr:uid="{00000000-0004-0000-0000-000095050000}"/>
    <hyperlink ref="G1021" r:id="rId1431" xr:uid="{00000000-0004-0000-0000-000096050000}"/>
    <hyperlink ref="E1022" r:id="rId1432" xr:uid="{00000000-0004-0000-0000-000097050000}"/>
    <hyperlink ref="G1022" r:id="rId1433" xr:uid="{00000000-0004-0000-0000-000098050000}"/>
    <hyperlink ref="E1023" r:id="rId1434" xr:uid="{00000000-0004-0000-0000-000099050000}"/>
    <hyperlink ref="G1023" r:id="rId1435" xr:uid="{00000000-0004-0000-0000-00009A050000}"/>
    <hyperlink ref="E1024" r:id="rId1436" xr:uid="{00000000-0004-0000-0000-00009B050000}"/>
    <hyperlink ref="G1024" r:id="rId1437" xr:uid="{00000000-0004-0000-0000-00009C050000}"/>
    <hyperlink ref="E1025" r:id="rId1438" xr:uid="{00000000-0004-0000-0000-00009D050000}"/>
    <hyperlink ref="G1025" r:id="rId1439" xr:uid="{00000000-0004-0000-0000-00009E050000}"/>
    <hyperlink ref="E1026" r:id="rId1440" xr:uid="{00000000-0004-0000-0000-00009F050000}"/>
    <hyperlink ref="G1026" r:id="rId1441" xr:uid="{00000000-0004-0000-0000-0000A0050000}"/>
    <hyperlink ref="E1027" r:id="rId1442" xr:uid="{00000000-0004-0000-0000-0000A1050000}"/>
    <hyperlink ref="G1027" r:id="rId1443" xr:uid="{00000000-0004-0000-0000-0000A2050000}"/>
    <hyperlink ref="E1028" r:id="rId1444" xr:uid="{00000000-0004-0000-0000-0000A3050000}"/>
    <hyperlink ref="G1028" r:id="rId1445" xr:uid="{00000000-0004-0000-0000-0000A4050000}"/>
    <hyperlink ref="E1029" r:id="rId1446" xr:uid="{00000000-0004-0000-0000-0000A5050000}"/>
    <hyperlink ref="G1029" r:id="rId1447" xr:uid="{00000000-0004-0000-0000-0000A6050000}"/>
    <hyperlink ref="E1030" r:id="rId1448" xr:uid="{00000000-0004-0000-0000-0000A7050000}"/>
    <hyperlink ref="G1030" r:id="rId1449" xr:uid="{00000000-0004-0000-0000-0000A8050000}"/>
    <hyperlink ref="E1031" r:id="rId1450" xr:uid="{00000000-0004-0000-0000-0000A9050000}"/>
    <hyperlink ref="G1031" r:id="rId1451" xr:uid="{00000000-0004-0000-0000-0000AA050000}"/>
    <hyperlink ref="E1032" r:id="rId1452" xr:uid="{00000000-0004-0000-0000-0000AB050000}"/>
    <hyperlink ref="G1032" r:id="rId1453" xr:uid="{00000000-0004-0000-0000-0000AC050000}"/>
    <hyperlink ref="E1033" r:id="rId1454" xr:uid="{00000000-0004-0000-0000-0000AD050000}"/>
    <hyperlink ref="G1033" r:id="rId1455" xr:uid="{00000000-0004-0000-0000-0000AE050000}"/>
    <hyperlink ref="E1034" r:id="rId1456" xr:uid="{00000000-0004-0000-0000-0000AF050000}"/>
    <hyperlink ref="G1034" r:id="rId1457" xr:uid="{00000000-0004-0000-0000-0000B0050000}"/>
    <hyperlink ref="E1035" r:id="rId1458" xr:uid="{00000000-0004-0000-0000-0000B1050000}"/>
    <hyperlink ref="G1035" r:id="rId1459" xr:uid="{00000000-0004-0000-0000-0000B2050000}"/>
    <hyperlink ref="E1036" r:id="rId1460" xr:uid="{00000000-0004-0000-0000-0000B3050000}"/>
    <hyperlink ref="G1036" r:id="rId1461" xr:uid="{00000000-0004-0000-0000-0000B4050000}"/>
    <hyperlink ref="E1037" r:id="rId1462" xr:uid="{00000000-0004-0000-0000-0000B5050000}"/>
    <hyperlink ref="G1037" r:id="rId1463" xr:uid="{00000000-0004-0000-0000-0000B6050000}"/>
    <hyperlink ref="E1038" r:id="rId1464" xr:uid="{00000000-0004-0000-0000-0000B7050000}"/>
    <hyperlink ref="G1038" r:id="rId1465" xr:uid="{00000000-0004-0000-0000-0000B8050000}"/>
    <hyperlink ref="E1039" r:id="rId1466" xr:uid="{00000000-0004-0000-0000-0000B9050000}"/>
    <hyperlink ref="G1039" r:id="rId1467" xr:uid="{00000000-0004-0000-0000-0000BA050000}"/>
    <hyperlink ref="E1040" r:id="rId1468" xr:uid="{00000000-0004-0000-0000-0000BB050000}"/>
    <hyperlink ref="G1040" r:id="rId1469" xr:uid="{00000000-0004-0000-0000-0000BC050000}"/>
    <hyperlink ref="E1041" r:id="rId1470" xr:uid="{00000000-0004-0000-0000-0000BD050000}"/>
    <hyperlink ref="G1041" r:id="rId1471" xr:uid="{00000000-0004-0000-0000-0000BE050000}"/>
    <hyperlink ref="E1042" r:id="rId1472" xr:uid="{00000000-0004-0000-0000-0000BF050000}"/>
    <hyperlink ref="G1042" r:id="rId1473" xr:uid="{00000000-0004-0000-0000-0000C0050000}"/>
    <hyperlink ref="E1043" r:id="rId1474" xr:uid="{00000000-0004-0000-0000-0000C1050000}"/>
    <hyperlink ref="G1043" r:id="rId1475" xr:uid="{00000000-0004-0000-0000-0000C2050000}"/>
    <hyperlink ref="E1044" r:id="rId1476" xr:uid="{00000000-0004-0000-0000-0000C3050000}"/>
    <hyperlink ref="G1044" r:id="rId1477" xr:uid="{00000000-0004-0000-0000-0000C4050000}"/>
    <hyperlink ref="E1045" r:id="rId1478" xr:uid="{00000000-0004-0000-0000-0000C5050000}"/>
    <hyperlink ref="G1045" r:id="rId1479" xr:uid="{00000000-0004-0000-0000-0000C6050000}"/>
    <hyperlink ref="E1046" r:id="rId1480" xr:uid="{00000000-0004-0000-0000-0000C7050000}"/>
    <hyperlink ref="G1046" r:id="rId1481" xr:uid="{00000000-0004-0000-0000-0000C8050000}"/>
    <hyperlink ref="E1047" r:id="rId1482" xr:uid="{00000000-0004-0000-0000-0000C9050000}"/>
    <hyperlink ref="G1047" r:id="rId1483" xr:uid="{00000000-0004-0000-0000-0000CA050000}"/>
    <hyperlink ref="E1048" r:id="rId1484" xr:uid="{00000000-0004-0000-0000-0000CB050000}"/>
    <hyperlink ref="G1048" r:id="rId1485" xr:uid="{00000000-0004-0000-0000-0000CC050000}"/>
    <hyperlink ref="E1049" r:id="rId1486" xr:uid="{00000000-0004-0000-0000-0000CD050000}"/>
    <hyperlink ref="G1049" r:id="rId1487" xr:uid="{00000000-0004-0000-0000-0000CE050000}"/>
    <hyperlink ref="E1050" r:id="rId1488" xr:uid="{00000000-0004-0000-0000-0000CF050000}"/>
    <hyperlink ref="G1050" r:id="rId1489" xr:uid="{00000000-0004-0000-0000-0000D0050000}"/>
    <hyperlink ref="E1051" r:id="rId1490" xr:uid="{00000000-0004-0000-0000-0000D1050000}"/>
    <hyperlink ref="G1051" r:id="rId1491" xr:uid="{00000000-0004-0000-0000-0000D2050000}"/>
    <hyperlink ref="E1052" r:id="rId1492" xr:uid="{00000000-0004-0000-0000-0000D3050000}"/>
    <hyperlink ref="G1052" r:id="rId1493" xr:uid="{00000000-0004-0000-0000-0000D4050000}"/>
    <hyperlink ref="E1053" r:id="rId1494" xr:uid="{00000000-0004-0000-0000-0000D5050000}"/>
    <hyperlink ref="G1053" r:id="rId1495" xr:uid="{00000000-0004-0000-0000-0000D6050000}"/>
    <hyperlink ref="E1054" r:id="rId1496" xr:uid="{00000000-0004-0000-0000-0000D7050000}"/>
    <hyperlink ref="G1054" r:id="rId1497" xr:uid="{00000000-0004-0000-0000-0000D8050000}"/>
    <hyperlink ref="E1055" r:id="rId1498" xr:uid="{00000000-0004-0000-0000-0000D9050000}"/>
    <hyperlink ref="G1055" r:id="rId1499" xr:uid="{00000000-0004-0000-0000-0000DA050000}"/>
    <hyperlink ref="E1056" r:id="rId1500" xr:uid="{00000000-0004-0000-0000-0000DB050000}"/>
    <hyperlink ref="G1056" r:id="rId1501" xr:uid="{00000000-0004-0000-0000-0000DC050000}"/>
    <hyperlink ref="E1057" r:id="rId1502" xr:uid="{00000000-0004-0000-0000-0000DD050000}"/>
    <hyperlink ref="G1057" r:id="rId1503" xr:uid="{00000000-0004-0000-0000-0000DE050000}"/>
    <hyperlink ref="E1058" r:id="rId1504" xr:uid="{00000000-0004-0000-0000-0000DF050000}"/>
    <hyperlink ref="G1058" r:id="rId1505" xr:uid="{00000000-0004-0000-0000-0000E0050000}"/>
    <hyperlink ref="E1059" r:id="rId1506" xr:uid="{00000000-0004-0000-0000-0000E1050000}"/>
    <hyperlink ref="G1059" r:id="rId1507" xr:uid="{00000000-0004-0000-0000-0000E2050000}"/>
    <hyperlink ref="E1060" r:id="rId1508" xr:uid="{00000000-0004-0000-0000-0000E3050000}"/>
    <hyperlink ref="G1060" r:id="rId1509" xr:uid="{00000000-0004-0000-0000-0000E4050000}"/>
    <hyperlink ref="E1061" r:id="rId1510" xr:uid="{00000000-0004-0000-0000-0000E5050000}"/>
    <hyperlink ref="G1061" r:id="rId1511" xr:uid="{00000000-0004-0000-0000-0000E6050000}"/>
    <hyperlink ref="E1062" r:id="rId1512" xr:uid="{00000000-0004-0000-0000-0000E7050000}"/>
    <hyperlink ref="G1062" r:id="rId1513" xr:uid="{00000000-0004-0000-0000-0000E8050000}"/>
    <hyperlink ref="E1063" r:id="rId1514" xr:uid="{00000000-0004-0000-0000-0000E9050000}"/>
    <hyperlink ref="G1063" r:id="rId1515" xr:uid="{00000000-0004-0000-0000-0000EA050000}"/>
    <hyperlink ref="E1064" r:id="rId1516" xr:uid="{00000000-0004-0000-0000-0000EB050000}"/>
    <hyperlink ref="G1064" r:id="rId1517" xr:uid="{00000000-0004-0000-0000-0000EC050000}"/>
    <hyperlink ref="E1065" r:id="rId1518" xr:uid="{00000000-0004-0000-0000-0000ED050000}"/>
    <hyperlink ref="G1065" r:id="rId1519" xr:uid="{00000000-0004-0000-0000-0000EE050000}"/>
    <hyperlink ref="E1066" r:id="rId1520" xr:uid="{00000000-0004-0000-0000-0000EF050000}"/>
    <hyperlink ref="G1066" r:id="rId1521" xr:uid="{00000000-0004-0000-0000-0000F0050000}"/>
    <hyperlink ref="E1067" r:id="rId1522" xr:uid="{00000000-0004-0000-0000-0000F1050000}"/>
    <hyperlink ref="G1067" r:id="rId1523" xr:uid="{00000000-0004-0000-0000-0000F2050000}"/>
    <hyperlink ref="E1068" r:id="rId1524" xr:uid="{00000000-0004-0000-0000-0000F3050000}"/>
    <hyperlink ref="G1068" r:id="rId1525" xr:uid="{00000000-0004-0000-0000-0000F4050000}"/>
    <hyperlink ref="E1069" r:id="rId1526" xr:uid="{00000000-0004-0000-0000-0000F5050000}"/>
    <hyperlink ref="G1069" r:id="rId1527" xr:uid="{00000000-0004-0000-0000-0000F6050000}"/>
    <hyperlink ref="E1070" r:id="rId1528" xr:uid="{00000000-0004-0000-0000-0000F7050000}"/>
    <hyperlink ref="G1070" r:id="rId1529" xr:uid="{00000000-0004-0000-0000-0000F8050000}"/>
    <hyperlink ref="E1071" r:id="rId1530" xr:uid="{00000000-0004-0000-0000-0000F9050000}"/>
    <hyperlink ref="G1071" r:id="rId1531" xr:uid="{00000000-0004-0000-0000-0000FA050000}"/>
    <hyperlink ref="E1072" r:id="rId1532" xr:uid="{00000000-0004-0000-0000-0000FB050000}"/>
    <hyperlink ref="G1072" r:id="rId1533" xr:uid="{00000000-0004-0000-0000-0000FC050000}"/>
    <hyperlink ref="E1073" r:id="rId1534" xr:uid="{00000000-0004-0000-0000-0000FD050000}"/>
    <hyperlink ref="G1073" r:id="rId1535" xr:uid="{00000000-0004-0000-0000-0000FE050000}"/>
    <hyperlink ref="E1074" r:id="rId1536" xr:uid="{00000000-0004-0000-0000-0000FF050000}"/>
    <hyperlink ref="G1074" r:id="rId1537" xr:uid="{00000000-0004-0000-0000-000000060000}"/>
    <hyperlink ref="E1075" r:id="rId1538" xr:uid="{00000000-0004-0000-0000-000001060000}"/>
    <hyperlink ref="G1075" r:id="rId1539" xr:uid="{00000000-0004-0000-0000-000002060000}"/>
    <hyperlink ref="E1076" r:id="rId1540" xr:uid="{00000000-0004-0000-0000-000003060000}"/>
    <hyperlink ref="G1076" r:id="rId1541" xr:uid="{00000000-0004-0000-0000-000004060000}"/>
    <hyperlink ref="E1077" r:id="rId1542" xr:uid="{00000000-0004-0000-0000-000005060000}"/>
    <hyperlink ref="G1077" r:id="rId1543" xr:uid="{00000000-0004-0000-0000-000006060000}"/>
    <hyperlink ref="E1078" r:id="rId1544" xr:uid="{00000000-0004-0000-0000-000007060000}"/>
    <hyperlink ref="G1078" r:id="rId1545" xr:uid="{00000000-0004-0000-0000-000008060000}"/>
    <hyperlink ref="E1079" r:id="rId1546" xr:uid="{00000000-0004-0000-0000-000009060000}"/>
    <hyperlink ref="G1079" r:id="rId1547" xr:uid="{00000000-0004-0000-0000-00000A060000}"/>
    <hyperlink ref="E1080" r:id="rId1548" xr:uid="{00000000-0004-0000-0000-00000B060000}"/>
    <hyperlink ref="G1080" r:id="rId1549" xr:uid="{00000000-0004-0000-0000-00000C060000}"/>
    <hyperlink ref="E1081" r:id="rId1550" xr:uid="{00000000-0004-0000-0000-00000D060000}"/>
    <hyperlink ref="G1081" r:id="rId1551" xr:uid="{00000000-0004-0000-0000-00000E060000}"/>
    <hyperlink ref="E1082" r:id="rId1552" xr:uid="{00000000-0004-0000-0000-00000F060000}"/>
    <hyperlink ref="G1082" r:id="rId1553" xr:uid="{00000000-0004-0000-0000-000010060000}"/>
    <hyperlink ref="E1083" r:id="rId1554" xr:uid="{00000000-0004-0000-0000-000011060000}"/>
    <hyperlink ref="G1083" r:id="rId1555" xr:uid="{00000000-0004-0000-0000-000012060000}"/>
    <hyperlink ref="E1084" r:id="rId1556" xr:uid="{00000000-0004-0000-0000-000013060000}"/>
    <hyperlink ref="G1084" r:id="rId1557" xr:uid="{00000000-0004-0000-0000-000014060000}"/>
    <hyperlink ref="E1085" r:id="rId1558" xr:uid="{00000000-0004-0000-0000-000015060000}"/>
    <hyperlink ref="G1085" r:id="rId1559" xr:uid="{00000000-0004-0000-0000-000016060000}"/>
    <hyperlink ref="E1086" r:id="rId1560" xr:uid="{00000000-0004-0000-0000-000017060000}"/>
    <hyperlink ref="G1086" r:id="rId1561" xr:uid="{00000000-0004-0000-0000-000018060000}"/>
    <hyperlink ref="E1087" r:id="rId1562" xr:uid="{00000000-0004-0000-0000-000019060000}"/>
    <hyperlink ref="G1087" r:id="rId1563" xr:uid="{00000000-0004-0000-0000-00001A060000}"/>
    <hyperlink ref="E1088" r:id="rId1564" xr:uid="{00000000-0004-0000-0000-00001B060000}"/>
    <hyperlink ref="G1088" r:id="rId1565" xr:uid="{00000000-0004-0000-0000-00001C060000}"/>
    <hyperlink ref="E1089" r:id="rId1566" xr:uid="{00000000-0004-0000-0000-00001D060000}"/>
    <hyperlink ref="G1089" r:id="rId1567" xr:uid="{00000000-0004-0000-0000-00001E060000}"/>
    <hyperlink ref="E1090" r:id="rId1568" xr:uid="{00000000-0004-0000-0000-00001F060000}"/>
    <hyperlink ref="G1090" r:id="rId1569" xr:uid="{00000000-0004-0000-0000-000020060000}"/>
    <hyperlink ref="E1091" r:id="rId1570" xr:uid="{00000000-0004-0000-0000-000021060000}"/>
    <hyperlink ref="G1091" r:id="rId1571" xr:uid="{00000000-0004-0000-0000-000022060000}"/>
    <hyperlink ref="E1092" r:id="rId1572" xr:uid="{00000000-0004-0000-0000-000023060000}"/>
    <hyperlink ref="G1092" r:id="rId1573" xr:uid="{00000000-0004-0000-0000-000024060000}"/>
    <hyperlink ref="E1093" r:id="rId1574" xr:uid="{00000000-0004-0000-0000-000025060000}"/>
    <hyperlink ref="G1093" r:id="rId1575" xr:uid="{00000000-0004-0000-0000-000026060000}"/>
    <hyperlink ref="E1094" r:id="rId1576" xr:uid="{00000000-0004-0000-0000-000027060000}"/>
    <hyperlink ref="G1094" r:id="rId1577" xr:uid="{00000000-0004-0000-0000-000028060000}"/>
    <hyperlink ref="E1095" r:id="rId1578" xr:uid="{00000000-0004-0000-0000-000029060000}"/>
    <hyperlink ref="G1095" r:id="rId1579" xr:uid="{00000000-0004-0000-0000-00002A060000}"/>
    <hyperlink ref="E1096" r:id="rId1580" xr:uid="{00000000-0004-0000-0000-00002B060000}"/>
    <hyperlink ref="G1096" r:id="rId1581" xr:uid="{00000000-0004-0000-0000-00002C060000}"/>
    <hyperlink ref="E1097" r:id="rId1582" xr:uid="{00000000-0004-0000-0000-00002D060000}"/>
    <hyperlink ref="G1097" r:id="rId1583" xr:uid="{00000000-0004-0000-0000-00002E060000}"/>
    <hyperlink ref="E1098" r:id="rId1584" xr:uid="{00000000-0004-0000-0000-00002F060000}"/>
    <hyperlink ref="G1098" r:id="rId1585" xr:uid="{00000000-0004-0000-0000-000030060000}"/>
    <hyperlink ref="E1099" r:id="rId1586" xr:uid="{00000000-0004-0000-0000-000031060000}"/>
    <hyperlink ref="G1099" r:id="rId1587" xr:uid="{00000000-0004-0000-0000-000032060000}"/>
    <hyperlink ref="E1100" r:id="rId1588" xr:uid="{00000000-0004-0000-0000-000033060000}"/>
    <hyperlink ref="G1100" r:id="rId1589" xr:uid="{00000000-0004-0000-0000-000034060000}"/>
    <hyperlink ref="E1101" r:id="rId1590" xr:uid="{00000000-0004-0000-0000-000035060000}"/>
    <hyperlink ref="G1101" r:id="rId1591" xr:uid="{00000000-0004-0000-0000-000036060000}"/>
    <hyperlink ref="E1102" r:id="rId1592" xr:uid="{00000000-0004-0000-0000-000037060000}"/>
    <hyperlink ref="G1102" r:id="rId1593" xr:uid="{00000000-0004-0000-0000-000038060000}"/>
    <hyperlink ref="E1103" r:id="rId1594" xr:uid="{00000000-0004-0000-0000-000039060000}"/>
    <hyperlink ref="G1103" r:id="rId1595" xr:uid="{00000000-0004-0000-0000-00003A060000}"/>
    <hyperlink ref="E1104" r:id="rId1596" xr:uid="{00000000-0004-0000-0000-00003B060000}"/>
    <hyperlink ref="G1104" r:id="rId1597" xr:uid="{00000000-0004-0000-0000-00003C060000}"/>
    <hyperlink ref="E1105" r:id="rId1598" xr:uid="{00000000-0004-0000-0000-00003D060000}"/>
    <hyperlink ref="G1105" r:id="rId1599" xr:uid="{00000000-0004-0000-0000-00003E060000}"/>
    <hyperlink ref="E1106" r:id="rId1600" xr:uid="{00000000-0004-0000-0000-00003F060000}"/>
    <hyperlink ref="G1106" r:id="rId1601" xr:uid="{00000000-0004-0000-0000-000040060000}"/>
    <hyperlink ref="E1107" r:id="rId1602" xr:uid="{00000000-0004-0000-0000-000041060000}"/>
    <hyperlink ref="G1107" r:id="rId1603" xr:uid="{00000000-0004-0000-0000-000042060000}"/>
    <hyperlink ref="E1108" r:id="rId1604" xr:uid="{00000000-0004-0000-0000-000043060000}"/>
    <hyperlink ref="G1108" r:id="rId1605" xr:uid="{00000000-0004-0000-0000-000044060000}"/>
    <hyperlink ref="E1109" r:id="rId1606" xr:uid="{00000000-0004-0000-0000-000045060000}"/>
    <hyperlink ref="G1109" r:id="rId1607" xr:uid="{00000000-0004-0000-0000-000046060000}"/>
    <hyperlink ref="E1110" r:id="rId1608" xr:uid="{00000000-0004-0000-0000-000047060000}"/>
    <hyperlink ref="G1110" r:id="rId1609" xr:uid="{00000000-0004-0000-0000-000048060000}"/>
    <hyperlink ref="E1111" r:id="rId1610" xr:uid="{00000000-0004-0000-0000-000049060000}"/>
    <hyperlink ref="G1111" r:id="rId1611" xr:uid="{00000000-0004-0000-0000-00004A060000}"/>
    <hyperlink ref="E1112" r:id="rId1612" xr:uid="{00000000-0004-0000-0000-00004B060000}"/>
    <hyperlink ref="G1112" r:id="rId1613" xr:uid="{00000000-0004-0000-0000-00004C060000}"/>
    <hyperlink ref="E1113" r:id="rId1614" xr:uid="{00000000-0004-0000-0000-00004D060000}"/>
    <hyperlink ref="G1113" r:id="rId1615" xr:uid="{00000000-0004-0000-0000-00004E060000}"/>
    <hyperlink ref="E1114" r:id="rId1616" xr:uid="{00000000-0004-0000-0000-00004F060000}"/>
    <hyperlink ref="G1114" r:id="rId1617" xr:uid="{00000000-0004-0000-0000-000050060000}"/>
    <hyperlink ref="E1115" r:id="rId1618" xr:uid="{00000000-0004-0000-0000-000051060000}"/>
    <hyperlink ref="G1115" r:id="rId1619" xr:uid="{00000000-0004-0000-0000-000052060000}"/>
    <hyperlink ref="E1116" r:id="rId1620" xr:uid="{00000000-0004-0000-0000-000053060000}"/>
    <hyperlink ref="G1116" r:id="rId1621" xr:uid="{00000000-0004-0000-0000-000054060000}"/>
    <hyperlink ref="E1117" r:id="rId1622" xr:uid="{00000000-0004-0000-0000-000055060000}"/>
    <hyperlink ref="G1117" r:id="rId1623" xr:uid="{00000000-0004-0000-0000-000056060000}"/>
    <hyperlink ref="E1118" r:id="rId1624" xr:uid="{00000000-0004-0000-0000-000057060000}"/>
    <hyperlink ref="G1118" r:id="rId1625" xr:uid="{00000000-0004-0000-0000-000058060000}"/>
    <hyperlink ref="E1119" r:id="rId1626" xr:uid="{00000000-0004-0000-0000-000059060000}"/>
    <hyperlink ref="G1119" r:id="rId1627" xr:uid="{00000000-0004-0000-0000-00005A060000}"/>
    <hyperlink ref="E1120" r:id="rId1628" xr:uid="{00000000-0004-0000-0000-00005B060000}"/>
    <hyperlink ref="G1120" r:id="rId1629" xr:uid="{00000000-0004-0000-0000-00005C060000}"/>
    <hyperlink ref="E1121" r:id="rId1630" xr:uid="{00000000-0004-0000-0000-00005D060000}"/>
    <hyperlink ref="G1121" r:id="rId1631" xr:uid="{00000000-0004-0000-0000-00005E060000}"/>
    <hyperlink ref="E1122" r:id="rId1632" xr:uid="{00000000-0004-0000-0000-00005F060000}"/>
    <hyperlink ref="G1122" r:id="rId1633" xr:uid="{00000000-0004-0000-0000-000060060000}"/>
    <hyperlink ref="E1123" r:id="rId1634" xr:uid="{00000000-0004-0000-0000-000061060000}"/>
    <hyperlink ref="G1123" r:id="rId1635" xr:uid="{00000000-0004-0000-0000-000062060000}"/>
    <hyperlink ref="E1124" r:id="rId1636" xr:uid="{00000000-0004-0000-0000-000063060000}"/>
    <hyperlink ref="G1124" r:id="rId1637" xr:uid="{00000000-0004-0000-0000-000064060000}"/>
    <hyperlink ref="E1125" r:id="rId1638" xr:uid="{00000000-0004-0000-0000-000065060000}"/>
    <hyperlink ref="G1125" r:id="rId1639" xr:uid="{00000000-0004-0000-0000-000066060000}"/>
    <hyperlink ref="E1126" r:id="rId1640" xr:uid="{00000000-0004-0000-0000-000067060000}"/>
    <hyperlink ref="G1126" r:id="rId1641" xr:uid="{00000000-0004-0000-0000-000068060000}"/>
    <hyperlink ref="E1127" r:id="rId1642" xr:uid="{00000000-0004-0000-0000-000069060000}"/>
    <hyperlink ref="G1127" r:id="rId1643" xr:uid="{00000000-0004-0000-0000-00006A060000}"/>
    <hyperlink ref="E1128" r:id="rId1644" xr:uid="{00000000-0004-0000-0000-00006B060000}"/>
    <hyperlink ref="G1128" r:id="rId1645" xr:uid="{00000000-0004-0000-0000-00006C060000}"/>
    <hyperlink ref="E1129" r:id="rId1646" xr:uid="{00000000-0004-0000-0000-00006D060000}"/>
    <hyperlink ref="G1129" r:id="rId1647" xr:uid="{00000000-0004-0000-0000-00006E060000}"/>
    <hyperlink ref="E1130" r:id="rId1648" xr:uid="{00000000-0004-0000-0000-00006F060000}"/>
    <hyperlink ref="G1130" r:id="rId1649" xr:uid="{00000000-0004-0000-0000-000070060000}"/>
    <hyperlink ref="E1131" r:id="rId1650" xr:uid="{00000000-0004-0000-0000-000071060000}"/>
    <hyperlink ref="G1131" r:id="rId1651" xr:uid="{00000000-0004-0000-0000-000072060000}"/>
    <hyperlink ref="E1132" r:id="rId1652" xr:uid="{00000000-0004-0000-0000-000073060000}"/>
    <hyperlink ref="G1132" r:id="rId1653" xr:uid="{00000000-0004-0000-0000-000074060000}"/>
    <hyperlink ref="E1133" r:id="rId1654" xr:uid="{00000000-0004-0000-0000-000075060000}"/>
    <hyperlink ref="G1133" r:id="rId1655" xr:uid="{00000000-0004-0000-0000-000076060000}"/>
    <hyperlink ref="E1134" r:id="rId1656" xr:uid="{00000000-0004-0000-0000-000077060000}"/>
    <hyperlink ref="G1134" r:id="rId1657" xr:uid="{00000000-0004-0000-0000-000078060000}"/>
    <hyperlink ref="E1135" r:id="rId1658" xr:uid="{00000000-0004-0000-0000-000079060000}"/>
    <hyperlink ref="G1135" r:id="rId1659" xr:uid="{00000000-0004-0000-0000-00007A060000}"/>
    <hyperlink ref="E1136" r:id="rId1660" xr:uid="{00000000-0004-0000-0000-00007B060000}"/>
    <hyperlink ref="G1136" r:id="rId1661" xr:uid="{00000000-0004-0000-0000-00007C060000}"/>
    <hyperlink ref="E1137" r:id="rId1662" xr:uid="{00000000-0004-0000-0000-00007D060000}"/>
    <hyperlink ref="G1137" r:id="rId1663" xr:uid="{00000000-0004-0000-0000-00007E060000}"/>
    <hyperlink ref="E1138" r:id="rId1664" xr:uid="{00000000-0004-0000-0000-00007F060000}"/>
    <hyperlink ref="G1138" r:id="rId1665" xr:uid="{00000000-0004-0000-0000-000080060000}"/>
    <hyperlink ref="E1139" r:id="rId1666" xr:uid="{00000000-0004-0000-0000-000081060000}"/>
    <hyperlink ref="G1139" r:id="rId1667" xr:uid="{00000000-0004-0000-0000-000082060000}"/>
    <hyperlink ref="E1140" r:id="rId1668" xr:uid="{00000000-0004-0000-0000-000083060000}"/>
    <hyperlink ref="G1140" r:id="rId1669" xr:uid="{00000000-0004-0000-0000-000084060000}"/>
    <hyperlink ref="E1141" r:id="rId1670" xr:uid="{00000000-0004-0000-0000-000085060000}"/>
    <hyperlink ref="G1141" r:id="rId1671" xr:uid="{00000000-0004-0000-0000-000086060000}"/>
    <hyperlink ref="E1142" r:id="rId1672" xr:uid="{00000000-0004-0000-0000-000087060000}"/>
    <hyperlink ref="G1142" r:id="rId1673" xr:uid="{00000000-0004-0000-0000-000088060000}"/>
    <hyperlink ref="E1143" r:id="rId1674" xr:uid="{00000000-0004-0000-0000-000089060000}"/>
    <hyperlink ref="G1143" r:id="rId1675" xr:uid="{00000000-0004-0000-0000-00008A060000}"/>
    <hyperlink ref="E1144" r:id="rId1676" xr:uid="{00000000-0004-0000-0000-00008B060000}"/>
    <hyperlink ref="G1144" r:id="rId1677" xr:uid="{00000000-0004-0000-0000-00008C060000}"/>
    <hyperlink ref="E1145" r:id="rId1678" xr:uid="{00000000-0004-0000-0000-00008D060000}"/>
    <hyperlink ref="G1145" r:id="rId1679" xr:uid="{00000000-0004-0000-0000-00008E060000}"/>
    <hyperlink ref="E1146" r:id="rId1680" xr:uid="{00000000-0004-0000-0000-00008F060000}"/>
    <hyperlink ref="G1146" r:id="rId1681" xr:uid="{00000000-0004-0000-0000-000090060000}"/>
    <hyperlink ref="E1147" r:id="rId1682" xr:uid="{00000000-0004-0000-0000-000091060000}"/>
    <hyperlink ref="G1147" r:id="rId1683" xr:uid="{00000000-0004-0000-0000-000092060000}"/>
    <hyperlink ref="E1148" r:id="rId1684" xr:uid="{00000000-0004-0000-0000-000093060000}"/>
    <hyperlink ref="G1148" r:id="rId1685" xr:uid="{00000000-0004-0000-0000-000094060000}"/>
    <hyperlink ref="E1149" r:id="rId1686" xr:uid="{00000000-0004-0000-0000-000095060000}"/>
    <hyperlink ref="G1149" r:id="rId1687" xr:uid="{00000000-0004-0000-0000-000096060000}"/>
    <hyperlink ref="E1150" r:id="rId1688" xr:uid="{00000000-0004-0000-0000-000097060000}"/>
    <hyperlink ref="G1150" r:id="rId1689" xr:uid="{00000000-0004-0000-0000-000098060000}"/>
    <hyperlink ref="G1151" r:id="rId1690" xr:uid="{00000000-0004-0000-0000-000099060000}"/>
    <hyperlink ref="E1152" r:id="rId1691" xr:uid="{00000000-0004-0000-0000-00009A060000}"/>
    <hyperlink ref="G1152" r:id="rId1692" xr:uid="{00000000-0004-0000-0000-00009B060000}"/>
    <hyperlink ref="E1153" r:id="rId1693" xr:uid="{00000000-0004-0000-0000-00009C060000}"/>
    <hyperlink ref="G1153" r:id="rId1694" xr:uid="{00000000-0004-0000-0000-00009D060000}"/>
    <hyperlink ref="E1154" r:id="rId1695" xr:uid="{00000000-0004-0000-0000-00009E060000}"/>
    <hyperlink ref="G1154" r:id="rId1696" xr:uid="{00000000-0004-0000-0000-00009F060000}"/>
    <hyperlink ref="E1155" r:id="rId1697" xr:uid="{00000000-0004-0000-0000-0000A0060000}"/>
    <hyperlink ref="G1155" r:id="rId1698" xr:uid="{00000000-0004-0000-0000-0000A1060000}"/>
    <hyperlink ref="E1156" r:id="rId1699" xr:uid="{00000000-0004-0000-0000-0000A2060000}"/>
    <hyperlink ref="G1156" r:id="rId1700" xr:uid="{00000000-0004-0000-0000-0000A3060000}"/>
    <hyperlink ref="E1157" r:id="rId1701" xr:uid="{00000000-0004-0000-0000-0000A4060000}"/>
    <hyperlink ref="G1157" r:id="rId1702" xr:uid="{00000000-0004-0000-0000-0000A5060000}"/>
    <hyperlink ref="G1158" r:id="rId1703" xr:uid="{00000000-0004-0000-0000-0000A6060000}"/>
    <hyperlink ref="G1159" r:id="rId1704" xr:uid="{00000000-0004-0000-0000-0000A7060000}"/>
    <hyperlink ref="E1160" r:id="rId1705" xr:uid="{00000000-0004-0000-0000-0000A8060000}"/>
    <hyperlink ref="G1160" r:id="rId1706" xr:uid="{00000000-0004-0000-0000-0000A9060000}"/>
    <hyperlink ref="G1161" r:id="rId1707" xr:uid="{00000000-0004-0000-0000-0000AA060000}"/>
    <hyperlink ref="E1162" r:id="rId1708" xr:uid="{00000000-0004-0000-0000-0000AB060000}"/>
    <hyperlink ref="G1162" r:id="rId1709" xr:uid="{00000000-0004-0000-0000-0000AC060000}"/>
    <hyperlink ref="E1163" r:id="rId1710" xr:uid="{00000000-0004-0000-0000-0000AD060000}"/>
    <hyperlink ref="G1163" r:id="rId1711" xr:uid="{00000000-0004-0000-0000-0000AE060000}"/>
    <hyperlink ref="E1164" r:id="rId1712" xr:uid="{00000000-0004-0000-0000-0000AF060000}"/>
    <hyperlink ref="G1164" r:id="rId1713" xr:uid="{00000000-0004-0000-0000-0000B0060000}"/>
    <hyperlink ref="E1165" r:id="rId1714" xr:uid="{00000000-0004-0000-0000-0000B1060000}"/>
    <hyperlink ref="G1165" r:id="rId1715" xr:uid="{00000000-0004-0000-0000-0000B2060000}"/>
    <hyperlink ref="E1166" r:id="rId1716" xr:uid="{00000000-0004-0000-0000-0000B3060000}"/>
    <hyperlink ref="G1166" r:id="rId1717" xr:uid="{00000000-0004-0000-0000-0000B4060000}"/>
    <hyperlink ref="E1167" r:id="rId1718" xr:uid="{00000000-0004-0000-0000-0000B5060000}"/>
    <hyperlink ref="G1167" r:id="rId1719" xr:uid="{00000000-0004-0000-0000-0000B6060000}"/>
    <hyperlink ref="E1168" r:id="rId1720" xr:uid="{00000000-0004-0000-0000-0000B7060000}"/>
    <hyperlink ref="G1168" r:id="rId1721" xr:uid="{00000000-0004-0000-0000-0000B8060000}"/>
    <hyperlink ref="E1169" r:id="rId1722" xr:uid="{00000000-0004-0000-0000-0000B9060000}"/>
    <hyperlink ref="G1169" r:id="rId1723" xr:uid="{00000000-0004-0000-0000-0000BA060000}"/>
    <hyperlink ref="E1170" r:id="rId1724" xr:uid="{00000000-0004-0000-0000-0000BB060000}"/>
    <hyperlink ref="G1170" r:id="rId1725" xr:uid="{00000000-0004-0000-0000-0000BC060000}"/>
    <hyperlink ref="E1171" r:id="rId1726" xr:uid="{00000000-0004-0000-0000-0000BD060000}"/>
    <hyperlink ref="G1171" r:id="rId1727" xr:uid="{00000000-0004-0000-0000-0000BE060000}"/>
    <hyperlink ref="E1172" r:id="rId1728" xr:uid="{00000000-0004-0000-0000-0000BF060000}"/>
    <hyperlink ref="G1172" r:id="rId1729" xr:uid="{00000000-0004-0000-0000-0000C0060000}"/>
    <hyperlink ref="E1173" r:id="rId1730" xr:uid="{00000000-0004-0000-0000-0000C1060000}"/>
    <hyperlink ref="G1173" r:id="rId1731" xr:uid="{00000000-0004-0000-0000-0000C2060000}"/>
    <hyperlink ref="E1174" r:id="rId1732" xr:uid="{00000000-0004-0000-0000-0000C3060000}"/>
    <hyperlink ref="G1174" r:id="rId1733" xr:uid="{00000000-0004-0000-0000-0000C4060000}"/>
    <hyperlink ref="E1175" r:id="rId1734" xr:uid="{00000000-0004-0000-0000-0000C5060000}"/>
    <hyperlink ref="G1175" r:id="rId1735" xr:uid="{00000000-0004-0000-0000-0000C6060000}"/>
    <hyperlink ref="E1176" r:id="rId1736" xr:uid="{00000000-0004-0000-0000-0000C7060000}"/>
    <hyperlink ref="G1176" r:id="rId1737" xr:uid="{00000000-0004-0000-0000-0000C8060000}"/>
    <hyperlink ref="G1177" r:id="rId1738" xr:uid="{00000000-0004-0000-0000-0000C9060000}"/>
    <hyperlink ref="E1178" r:id="rId1739" xr:uid="{00000000-0004-0000-0000-0000CA060000}"/>
    <hyperlink ref="G1178" r:id="rId1740" xr:uid="{00000000-0004-0000-0000-0000CB060000}"/>
    <hyperlink ref="E1179" r:id="rId1741" xr:uid="{00000000-0004-0000-0000-0000CC060000}"/>
    <hyperlink ref="G1179" r:id="rId1742" xr:uid="{00000000-0004-0000-0000-0000CD060000}"/>
    <hyperlink ref="E1180" r:id="rId1743" xr:uid="{00000000-0004-0000-0000-0000CE060000}"/>
    <hyperlink ref="G1180" r:id="rId1744" xr:uid="{00000000-0004-0000-0000-0000CF060000}"/>
    <hyperlink ref="E1181" r:id="rId1745" xr:uid="{00000000-0004-0000-0000-0000D0060000}"/>
    <hyperlink ref="G1181" r:id="rId1746" xr:uid="{00000000-0004-0000-0000-0000D1060000}"/>
    <hyperlink ref="E1182" r:id="rId1747" xr:uid="{00000000-0004-0000-0000-0000D2060000}"/>
    <hyperlink ref="G1182" r:id="rId1748" xr:uid="{00000000-0004-0000-0000-0000D3060000}"/>
    <hyperlink ref="E1183" r:id="rId1749" xr:uid="{00000000-0004-0000-0000-0000D4060000}"/>
    <hyperlink ref="G1183" r:id="rId1750" xr:uid="{00000000-0004-0000-0000-0000D5060000}"/>
    <hyperlink ref="E1184" r:id="rId1751" xr:uid="{00000000-0004-0000-0000-0000D6060000}"/>
    <hyperlink ref="G1184" r:id="rId1752" xr:uid="{00000000-0004-0000-0000-0000D7060000}"/>
    <hyperlink ref="E1185" r:id="rId1753" xr:uid="{00000000-0004-0000-0000-0000D8060000}"/>
    <hyperlink ref="G1185" r:id="rId1754" xr:uid="{00000000-0004-0000-0000-0000D9060000}"/>
    <hyperlink ref="E1186" r:id="rId1755" xr:uid="{00000000-0004-0000-0000-0000DA060000}"/>
    <hyperlink ref="G1186" r:id="rId1756" xr:uid="{00000000-0004-0000-0000-0000DB060000}"/>
    <hyperlink ref="E1187" r:id="rId1757" xr:uid="{00000000-0004-0000-0000-0000DC060000}"/>
    <hyperlink ref="G1187" r:id="rId1758" xr:uid="{00000000-0004-0000-0000-0000DD060000}"/>
    <hyperlink ref="E1188" r:id="rId1759" xr:uid="{00000000-0004-0000-0000-0000DE060000}"/>
    <hyperlink ref="G1188" r:id="rId1760" xr:uid="{00000000-0004-0000-0000-0000DF060000}"/>
    <hyperlink ref="E1189" r:id="rId1761" xr:uid="{00000000-0004-0000-0000-0000E0060000}"/>
    <hyperlink ref="G1189" r:id="rId1762" xr:uid="{00000000-0004-0000-0000-0000E1060000}"/>
    <hyperlink ref="E1190" r:id="rId1763" xr:uid="{00000000-0004-0000-0000-0000E2060000}"/>
    <hyperlink ref="G1190" r:id="rId1764" xr:uid="{00000000-0004-0000-0000-0000E3060000}"/>
    <hyperlink ref="E1191" r:id="rId1765" xr:uid="{00000000-0004-0000-0000-0000E4060000}"/>
    <hyperlink ref="G1191" r:id="rId1766" xr:uid="{00000000-0004-0000-0000-0000E5060000}"/>
    <hyperlink ref="E1192" r:id="rId1767" xr:uid="{00000000-0004-0000-0000-0000E6060000}"/>
    <hyperlink ref="G1192" r:id="rId1768" xr:uid="{00000000-0004-0000-0000-0000E7060000}"/>
    <hyperlink ref="E1193" r:id="rId1769" xr:uid="{00000000-0004-0000-0000-0000E8060000}"/>
    <hyperlink ref="G1193" r:id="rId1770" xr:uid="{00000000-0004-0000-0000-0000E9060000}"/>
    <hyperlink ref="E1194" r:id="rId1771" xr:uid="{00000000-0004-0000-0000-0000EA060000}"/>
    <hyperlink ref="G1194" r:id="rId1772" xr:uid="{00000000-0004-0000-0000-0000EB060000}"/>
    <hyperlink ref="E1195" r:id="rId1773" xr:uid="{00000000-0004-0000-0000-0000EC060000}"/>
    <hyperlink ref="G1195" r:id="rId1774" xr:uid="{00000000-0004-0000-0000-0000ED060000}"/>
    <hyperlink ref="E1196" r:id="rId1775" xr:uid="{00000000-0004-0000-0000-0000EE060000}"/>
    <hyperlink ref="G1196" r:id="rId1776" xr:uid="{00000000-0004-0000-0000-0000EF060000}"/>
    <hyperlink ref="E1197" r:id="rId1777" xr:uid="{00000000-0004-0000-0000-0000F0060000}"/>
    <hyperlink ref="G1197" r:id="rId1778" xr:uid="{00000000-0004-0000-0000-0000F1060000}"/>
    <hyperlink ref="E1198" r:id="rId1779" xr:uid="{00000000-0004-0000-0000-0000F2060000}"/>
    <hyperlink ref="G1198" r:id="rId1780" xr:uid="{00000000-0004-0000-0000-0000F3060000}"/>
    <hyperlink ref="E1199" r:id="rId1781" xr:uid="{00000000-0004-0000-0000-0000F4060000}"/>
    <hyperlink ref="G1199" r:id="rId1782" xr:uid="{00000000-0004-0000-0000-0000F5060000}"/>
    <hyperlink ref="E1200" r:id="rId1783" xr:uid="{00000000-0004-0000-0000-0000F6060000}"/>
    <hyperlink ref="G1200" r:id="rId1784" xr:uid="{00000000-0004-0000-0000-0000F7060000}"/>
    <hyperlink ref="E1201" r:id="rId1785" xr:uid="{00000000-0004-0000-0000-0000F8060000}"/>
    <hyperlink ref="G1201" r:id="rId1786" xr:uid="{00000000-0004-0000-0000-0000F9060000}"/>
    <hyperlink ref="E1202" r:id="rId1787" xr:uid="{00000000-0004-0000-0000-0000FA060000}"/>
    <hyperlink ref="G1202" r:id="rId1788" xr:uid="{00000000-0004-0000-0000-0000FB060000}"/>
    <hyperlink ref="E1203" r:id="rId1789" xr:uid="{00000000-0004-0000-0000-0000FC060000}"/>
    <hyperlink ref="G1203" r:id="rId1790" xr:uid="{00000000-0004-0000-0000-0000FD060000}"/>
    <hyperlink ref="E1204" r:id="rId1791" xr:uid="{00000000-0004-0000-0000-0000FE060000}"/>
    <hyperlink ref="G1204" r:id="rId1792" xr:uid="{00000000-0004-0000-0000-0000FF060000}"/>
    <hyperlink ref="E1205" r:id="rId1793" xr:uid="{00000000-0004-0000-0000-000000070000}"/>
    <hyperlink ref="G1205" r:id="rId1794" xr:uid="{00000000-0004-0000-0000-000001070000}"/>
    <hyperlink ref="E1206" r:id="rId1795" xr:uid="{00000000-0004-0000-0000-000002070000}"/>
    <hyperlink ref="G1206" r:id="rId1796" xr:uid="{00000000-0004-0000-0000-000003070000}"/>
    <hyperlink ref="E1207" r:id="rId1797" xr:uid="{00000000-0004-0000-0000-000004070000}"/>
    <hyperlink ref="G1207" r:id="rId1798" xr:uid="{00000000-0004-0000-0000-000005070000}"/>
    <hyperlink ref="E1208" r:id="rId1799" xr:uid="{00000000-0004-0000-0000-000006070000}"/>
    <hyperlink ref="G1208" r:id="rId1800" xr:uid="{00000000-0004-0000-0000-000007070000}"/>
    <hyperlink ref="E1209" r:id="rId1801" xr:uid="{00000000-0004-0000-0000-000008070000}"/>
    <hyperlink ref="G1209" r:id="rId1802" xr:uid="{00000000-0004-0000-0000-000009070000}"/>
    <hyperlink ref="E1210" r:id="rId1803" xr:uid="{00000000-0004-0000-0000-00000A070000}"/>
    <hyperlink ref="G1210" r:id="rId1804" xr:uid="{00000000-0004-0000-0000-00000B070000}"/>
    <hyperlink ref="E1211" r:id="rId1805" xr:uid="{00000000-0004-0000-0000-00000C070000}"/>
    <hyperlink ref="G1211" r:id="rId1806" xr:uid="{00000000-0004-0000-0000-00000D070000}"/>
    <hyperlink ref="E1212" r:id="rId1807" xr:uid="{00000000-0004-0000-0000-00000E070000}"/>
    <hyperlink ref="G1212" r:id="rId1808" xr:uid="{00000000-0004-0000-0000-00000F070000}"/>
    <hyperlink ref="E1213" r:id="rId1809" xr:uid="{00000000-0004-0000-0000-000010070000}"/>
    <hyperlink ref="G1213" r:id="rId1810" xr:uid="{00000000-0004-0000-0000-000011070000}"/>
    <hyperlink ref="E1214" r:id="rId1811" xr:uid="{00000000-0004-0000-0000-000012070000}"/>
    <hyperlink ref="G1214" r:id="rId1812" xr:uid="{00000000-0004-0000-0000-000013070000}"/>
    <hyperlink ref="E1215" r:id="rId1813" xr:uid="{00000000-0004-0000-0000-000014070000}"/>
    <hyperlink ref="G1215" r:id="rId1814" xr:uid="{00000000-0004-0000-0000-000015070000}"/>
    <hyperlink ref="E1216" r:id="rId1815" xr:uid="{00000000-0004-0000-0000-000016070000}"/>
    <hyperlink ref="G1216" r:id="rId1816" xr:uid="{00000000-0004-0000-0000-000017070000}"/>
    <hyperlink ref="E1217" r:id="rId1817" xr:uid="{00000000-0004-0000-0000-000018070000}"/>
    <hyperlink ref="G1217" r:id="rId1818" xr:uid="{00000000-0004-0000-0000-000019070000}"/>
    <hyperlink ref="E1218" r:id="rId1819" xr:uid="{00000000-0004-0000-0000-00001A070000}"/>
    <hyperlink ref="G1218" r:id="rId1820" xr:uid="{00000000-0004-0000-0000-00001B070000}"/>
    <hyperlink ref="E1219" r:id="rId1821" xr:uid="{00000000-0004-0000-0000-00001C070000}"/>
    <hyperlink ref="G1219" r:id="rId1822" xr:uid="{00000000-0004-0000-0000-00001D070000}"/>
    <hyperlink ref="E1220" r:id="rId1823" xr:uid="{00000000-0004-0000-0000-00001E070000}"/>
    <hyperlink ref="G1220" r:id="rId1824" xr:uid="{00000000-0004-0000-0000-00001F070000}"/>
    <hyperlink ref="E1221" r:id="rId1825" xr:uid="{00000000-0004-0000-0000-000020070000}"/>
    <hyperlink ref="G1221" r:id="rId1826" xr:uid="{00000000-0004-0000-0000-000021070000}"/>
    <hyperlink ref="E1222" r:id="rId1827" xr:uid="{00000000-0004-0000-0000-000022070000}"/>
    <hyperlink ref="G1222" r:id="rId1828" xr:uid="{00000000-0004-0000-0000-000023070000}"/>
    <hyperlink ref="E1223" r:id="rId1829" xr:uid="{00000000-0004-0000-0000-000024070000}"/>
    <hyperlink ref="G1223" r:id="rId1830" xr:uid="{00000000-0004-0000-0000-000025070000}"/>
    <hyperlink ref="E1224" r:id="rId1831" xr:uid="{00000000-0004-0000-0000-000026070000}"/>
    <hyperlink ref="G1224" r:id="rId1832" xr:uid="{00000000-0004-0000-0000-000027070000}"/>
    <hyperlink ref="E1225" r:id="rId1833" xr:uid="{00000000-0004-0000-0000-000028070000}"/>
    <hyperlink ref="G1225" r:id="rId1834" xr:uid="{00000000-0004-0000-0000-000029070000}"/>
    <hyperlink ref="E1226" r:id="rId1835" xr:uid="{00000000-0004-0000-0000-00002A070000}"/>
    <hyperlink ref="G1226" r:id="rId1836" xr:uid="{00000000-0004-0000-0000-00002B070000}"/>
    <hyperlink ref="E1227" r:id="rId1837" xr:uid="{00000000-0004-0000-0000-00002C070000}"/>
    <hyperlink ref="G1227" r:id="rId1838" xr:uid="{00000000-0004-0000-0000-00002D070000}"/>
    <hyperlink ref="E1228" r:id="rId1839" xr:uid="{00000000-0004-0000-0000-00002E070000}"/>
    <hyperlink ref="G1228" r:id="rId1840" xr:uid="{00000000-0004-0000-0000-00002F070000}"/>
    <hyperlink ref="E1229" r:id="rId1841" xr:uid="{00000000-0004-0000-0000-000030070000}"/>
    <hyperlink ref="G1229" r:id="rId1842" xr:uid="{00000000-0004-0000-0000-000031070000}"/>
    <hyperlink ref="E1230" r:id="rId1843" xr:uid="{00000000-0004-0000-0000-000032070000}"/>
    <hyperlink ref="G1230" r:id="rId1844" xr:uid="{00000000-0004-0000-0000-000033070000}"/>
    <hyperlink ref="E1231" r:id="rId1845" xr:uid="{00000000-0004-0000-0000-000034070000}"/>
    <hyperlink ref="G1231" r:id="rId1846" xr:uid="{00000000-0004-0000-0000-000035070000}"/>
    <hyperlink ref="E1232" r:id="rId1847" xr:uid="{00000000-0004-0000-0000-000036070000}"/>
    <hyperlink ref="G1232" r:id="rId1848" xr:uid="{00000000-0004-0000-0000-000037070000}"/>
    <hyperlink ref="E1233" r:id="rId1849" xr:uid="{00000000-0004-0000-0000-000038070000}"/>
    <hyperlink ref="G1233" r:id="rId1850" xr:uid="{00000000-0004-0000-0000-000039070000}"/>
    <hyperlink ref="E1234" r:id="rId1851" xr:uid="{00000000-0004-0000-0000-00003A070000}"/>
    <hyperlink ref="G1234" r:id="rId1852" xr:uid="{00000000-0004-0000-0000-00003B070000}"/>
    <hyperlink ref="E1235" r:id="rId1853" xr:uid="{00000000-0004-0000-0000-00003C070000}"/>
    <hyperlink ref="G1235" r:id="rId1854" xr:uid="{00000000-0004-0000-0000-00003D070000}"/>
    <hyperlink ref="E1236" r:id="rId1855" xr:uid="{00000000-0004-0000-0000-00003E070000}"/>
    <hyperlink ref="G1236" r:id="rId1856" xr:uid="{00000000-0004-0000-0000-00003F070000}"/>
    <hyperlink ref="E1237" r:id="rId1857" xr:uid="{00000000-0004-0000-0000-000040070000}"/>
    <hyperlink ref="G1237" r:id="rId1858" xr:uid="{00000000-0004-0000-0000-000041070000}"/>
    <hyperlink ref="E1238" r:id="rId1859" xr:uid="{00000000-0004-0000-0000-000042070000}"/>
    <hyperlink ref="G1238" r:id="rId1860" xr:uid="{00000000-0004-0000-0000-000043070000}"/>
    <hyperlink ref="E1239" r:id="rId1861" xr:uid="{00000000-0004-0000-0000-000044070000}"/>
    <hyperlink ref="G1239" r:id="rId1862" xr:uid="{00000000-0004-0000-0000-000045070000}"/>
    <hyperlink ref="E1240" r:id="rId1863" xr:uid="{00000000-0004-0000-0000-000046070000}"/>
    <hyperlink ref="G1240" r:id="rId1864" xr:uid="{00000000-0004-0000-0000-000047070000}"/>
    <hyperlink ref="E1241" r:id="rId1865" xr:uid="{00000000-0004-0000-0000-000048070000}"/>
    <hyperlink ref="G1241" r:id="rId1866" xr:uid="{00000000-0004-0000-0000-000049070000}"/>
    <hyperlink ref="E1242" r:id="rId1867" xr:uid="{00000000-0004-0000-0000-00004A070000}"/>
    <hyperlink ref="G1242" r:id="rId1868" xr:uid="{00000000-0004-0000-0000-00004B070000}"/>
    <hyperlink ref="E1243" r:id="rId1869" xr:uid="{00000000-0004-0000-0000-00004C070000}"/>
    <hyperlink ref="G1243" r:id="rId1870" xr:uid="{00000000-0004-0000-0000-00004D070000}"/>
    <hyperlink ref="E1244" r:id="rId1871" xr:uid="{00000000-0004-0000-0000-00004E070000}"/>
    <hyperlink ref="G1244" r:id="rId1872" xr:uid="{00000000-0004-0000-0000-00004F070000}"/>
    <hyperlink ref="E1245" r:id="rId1873" xr:uid="{00000000-0004-0000-0000-000050070000}"/>
    <hyperlink ref="G1245" r:id="rId1874" xr:uid="{00000000-0004-0000-0000-000051070000}"/>
    <hyperlink ref="E1246" r:id="rId1875" xr:uid="{00000000-0004-0000-0000-000052070000}"/>
    <hyperlink ref="G1246" r:id="rId1876" xr:uid="{00000000-0004-0000-0000-000053070000}"/>
    <hyperlink ref="E1247" r:id="rId1877" xr:uid="{00000000-0004-0000-0000-000054070000}"/>
    <hyperlink ref="G1247" r:id="rId1878" xr:uid="{00000000-0004-0000-0000-000055070000}"/>
    <hyperlink ref="E1248" r:id="rId1879" xr:uid="{00000000-0004-0000-0000-000056070000}"/>
    <hyperlink ref="G1248" r:id="rId1880" xr:uid="{00000000-0004-0000-0000-000057070000}"/>
    <hyperlink ref="E1249" r:id="rId1881" xr:uid="{00000000-0004-0000-0000-000058070000}"/>
    <hyperlink ref="G1249" r:id="rId1882" xr:uid="{00000000-0004-0000-0000-000059070000}"/>
    <hyperlink ref="E1250" r:id="rId1883" xr:uid="{00000000-0004-0000-0000-00005A070000}"/>
    <hyperlink ref="G1250" r:id="rId1884" xr:uid="{00000000-0004-0000-0000-00005B070000}"/>
    <hyperlink ref="E1251" r:id="rId1885" xr:uid="{00000000-0004-0000-0000-00005C070000}"/>
    <hyperlink ref="G1251" r:id="rId1886" xr:uid="{00000000-0004-0000-0000-00005D070000}"/>
    <hyperlink ref="E1252" r:id="rId1887" xr:uid="{00000000-0004-0000-0000-00005E070000}"/>
    <hyperlink ref="G1252" r:id="rId1888" xr:uid="{00000000-0004-0000-0000-00005F070000}"/>
    <hyperlink ref="E1253" r:id="rId1889" xr:uid="{00000000-0004-0000-0000-000060070000}"/>
    <hyperlink ref="G1253" r:id="rId1890" xr:uid="{00000000-0004-0000-0000-000061070000}"/>
    <hyperlink ref="E1254" r:id="rId1891" xr:uid="{00000000-0004-0000-0000-000062070000}"/>
    <hyperlink ref="G1254" r:id="rId1892" xr:uid="{00000000-0004-0000-0000-000063070000}"/>
    <hyperlink ref="E1255" r:id="rId1893" xr:uid="{00000000-0004-0000-0000-000064070000}"/>
    <hyperlink ref="G1255" r:id="rId1894" xr:uid="{00000000-0004-0000-0000-000065070000}"/>
    <hyperlink ref="E1256" r:id="rId1895" xr:uid="{00000000-0004-0000-0000-000066070000}"/>
    <hyperlink ref="G1256" r:id="rId1896" xr:uid="{00000000-0004-0000-0000-000067070000}"/>
    <hyperlink ref="E1257" r:id="rId1897" xr:uid="{00000000-0004-0000-0000-000068070000}"/>
    <hyperlink ref="G1257" r:id="rId1898" xr:uid="{00000000-0004-0000-0000-000069070000}"/>
    <hyperlink ref="E1258" r:id="rId1899" xr:uid="{00000000-0004-0000-0000-00006A070000}"/>
    <hyperlink ref="G1258" r:id="rId1900" xr:uid="{00000000-0004-0000-0000-00006B070000}"/>
    <hyperlink ref="E1259" r:id="rId1901" xr:uid="{00000000-0004-0000-0000-00006C070000}"/>
    <hyperlink ref="G1259" r:id="rId1902" xr:uid="{00000000-0004-0000-0000-00006D070000}"/>
    <hyperlink ref="E1260" r:id="rId1903" xr:uid="{00000000-0004-0000-0000-00006E070000}"/>
    <hyperlink ref="G1260" r:id="rId1904" xr:uid="{00000000-0004-0000-0000-00006F070000}"/>
    <hyperlink ref="E1261" r:id="rId1905" xr:uid="{00000000-0004-0000-0000-000070070000}"/>
    <hyperlink ref="G1261" r:id="rId1906" xr:uid="{00000000-0004-0000-0000-000071070000}"/>
    <hyperlink ref="E1262" r:id="rId1907" xr:uid="{00000000-0004-0000-0000-000072070000}"/>
    <hyperlink ref="G1262" r:id="rId1908" xr:uid="{00000000-0004-0000-0000-000073070000}"/>
    <hyperlink ref="E1263" r:id="rId1909" xr:uid="{00000000-0004-0000-0000-000074070000}"/>
    <hyperlink ref="G1263" r:id="rId1910" xr:uid="{00000000-0004-0000-0000-000075070000}"/>
    <hyperlink ref="E1264" r:id="rId1911" xr:uid="{00000000-0004-0000-0000-000076070000}"/>
    <hyperlink ref="G1264" r:id="rId1912" xr:uid="{00000000-0004-0000-0000-000077070000}"/>
    <hyperlink ref="E1265" r:id="rId1913" xr:uid="{00000000-0004-0000-0000-000078070000}"/>
    <hyperlink ref="G1265" r:id="rId1914" xr:uid="{00000000-0004-0000-0000-000079070000}"/>
    <hyperlink ref="E1266" r:id="rId1915" xr:uid="{00000000-0004-0000-0000-00007A070000}"/>
    <hyperlink ref="G1266" r:id="rId1916" xr:uid="{00000000-0004-0000-0000-00007B070000}"/>
    <hyperlink ref="E1267" r:id="rId1917" xr:uid="{00000000-0004-0000-0000-00007C070000}"/>
    <hyperlink ref="G1267" r:id="rId1918" xr:uid="{00000000-0004-0000-0000-00007D070000}"/>
    <hyperlink ref="E1268" r:id="rId1919" xr:uid="{00000000-0004-0000-0000-00007E070000}"/>
    <hyperlink ref="G1268" r:id="rId1920" xr:uid="{00000000-0004-0000-0000-00007F070000}"/>
    <hyperlink ref="E1269" r:id="rId1921" xr:uid="{00000000-0004-0000-0000-000080070000}"/>
    <hyperlink ref="G1269" r:id="rId1922" xr:uid="{00000000-0004-0000-0000-000081070000}"/>
    <hyperlink ref="E1270" r:id="rId1923" xr:uid="{00000000-0004-0000-0000-000082070000}"/>
    <hyperlink ref="G1270" r:id="rId1924" xr:uid="{00000000-0004-0000-0000-000083070000}"/>
    <hyperlink ref="E1271" r:id="rId1925" xr:uid="{00000000-0004-0000-0000-000084070000}"/>
    <hyperlink ref="G1271" r:id="rId1926" xr:uid="{00000000-0004-0000-0000-000085070000}"/>
    <hyperlink ref="E1272" r:id="rId1927" xr:uid="{00000000-0004-0000-0000-000086070000}"/>
    <hyperlink ref="G1272" r:id="rId1928" xr:uid="{00000000-0004-0000-0000-000087070000}"/>
    <hyperlink ref="E1273" r:id="rId1929" xr:uid="{00000000-0004-0000-0000-000088070000}"/>
    <hyperlink ref="G1273" r:id="rId1930" xr:uid="{00000000-0004-0000-0000-000089070000}"/>
    <hyperlink ref="E1274" r:id="rId1931" xr:uid="{00000000-0004-0000-0000-00008A070000}"/>
    <hyperlink ref="G1274" r:id="rId1932" xr:uid="{00000000-0004-0000-0000-00008B070000}"/>
    <hyperlink ref="E1275" r:id="rId1933" xr:uid="{00000000-0004-0000-0000-00008C070000}"/>
    <hyperlink ref="G1275" r:id="rId1934" xr:uid="{00000000-0004-0000-0000-00008D070000}"/>
    <hyperlink ref="E1276" r:id="rId1935" xr:uid="{00000000-0004-0000-0000-00008E070000}"/>
    <hyperlink ref="G1276" r:id="rId1936" xr:uid="{00000000-0004-0000-0000-00008F070000}"/>
    <hyperlink ref="E1277" r:id="rId1937" xr:uid="{00000000-0004-0000-0000-000090070000}"/>
    <hyperlink ref="G1277" r:id="rId1938" xr:uid="{00000000-0004-0000-0000-000091070000}"/>
    <hyperlink ref="E1278" r:id="rId1939" xr:uid="{00000000-0004-0000-0000-000092070000}"/>
    <hyperlink ref="G1278" r:id="rId1940" xr:uid="{00000000-0004-0000-0000-000093070000}"/>
    <hyperlink ref="E1279" r:id="rId1941" xr:uid="{00000000-0004-0000-0000-000094070000}"/>
    <hyperlink ref="G1279" r:id="rId1942" xr:uid="{00000000-0004-0000-0000-000095070000}"/>
    <hyperlink ref="E1280" r:id="rId1943" xr:uid="{00000000-0004-0000-0000-000096070000}"/>
    <hyperlink ref="G1280" r:id="rId1944" xr:uid="{00000000-0004-0000-0000-000097070000}"/>
    <hyperlink ref="E1281" r:id="rId1945" xr:uid="{00000000-0004-0000-0000-000098070000}"/>
    <hyperlink ref="G1281" r:id="rId1946" xr:uid="{00000000-0004-0000-0000-000099070000}"/>
    <hyperlink ref="E1282" r:id="rId1947" xr:uid="{00000000-0004-0000-0000-00009A070000}"/>
    <hyperlink ref="G1282" r:id="rId1948" xr:uid="{00000000-0004-0000-0000-00009B070000}"/>
    <hyperlink ref="E1283" r:id="rId1949" xr:uid="{00000000-0004-0000-0000-00009C070000}"/>
    <hyperlink ref="G1283" r:id="rId1950" xr:uid="{00000000-0004-0000-0000-00009D070000}"/>
    <hyperlink ref="E1284" r:id="rId1951" xr:uid="{00000000-0004-0000-0000-00009E070000}"/>
    <hyperlink ref="G1284" r:id="rId1952" xr:uid="{00000000-0004-0000-0000-00009F070000}"/>
    <hyperlink ref="E1285" r:id="rId1953" xr:uid="{00000000-0004-0000-0000-0000A0070000}"/>
    <hyperlink ref="G1285" r:id="rId1954" xr:uid="{00000000-0004-0000-0000-0000A1070000}"/>
    <hyperlink ref="E1286" r:id="rId1955" xr:uid="{00000000-0004-0000-0000-0000A2070000}"/>
    <hyperlink ref="G1286" r:id="rId1956" xr:uid="{00000000-0004-0000-0000-0000A3070000}"/>
    <hyperlink ref="E1287" r:id="rId1957" xr:uid="{00000000-0004-0000-0000-0000A4070000}"/>
    <hyperlink ref="G1287" r:id="rId1958" xr:uid="{00000000-0004-0000-0000-0000A5070000}"/>
    <hyperlink ref="E1288" r:id="rId1959" xr:uid="{00000000-0004-0000-0000-0000A6070000}"/>
    <hyperlink ref="G1288" r:id="rId1960" xr:uid="{00000000-0004-0000-0000-0000A7070000}"/>
    <hyperlink ref="E1289" r:id="rId1961" xr:uid="{00000000-0004-0000-0000-0000A8070000}"/>
    <hyperlink ref="G1289" r:id="rId1962" xr:uid="{00000000-0004-0000-0000-0000A9070000}"/>
    <hyperlink ref="E1290" r:id="rId1963" xr:uid="{00000000-0004-0000-0000-0000AA070000}"/>
    <hyperlink ref="G1290" r:id="rId1964" xr:uid="{00000000-0004-0000-0000-0000AB070000}"/>
    <hyperlink ref="E1291" r:id="rId1965" xr:uid="{00000000-0004-0000-0000-0000AC070000}"/>
    <hyperlink ref="G1291" r:id="rId1966" xr:uid="{00000000-0004-0000-0000-0000AD070000}"/>
    <hyperlink ref="E1292" r:id="rId1967" xr:uid="{00000000-0004-0000-0000-0000AE070000}"/>
    <hyperlink ref="G1292" r:id="rId1968" xr:uid="{00000000-0004-0000-0000-0000AF070000}"/>
    <hyperlink ref="E1293" r:id="rId1969" xr:uid="{00000000-0004-0000-0000-0000B0070000}"/>
    <hyperlink ref="G1293" r:id="rId1970" xr:uid="{00000000-0004-0000-0000-0000B1070000}"/>
    <hyperlink ref="E1294" r:id="rId1971" xr:uid="{00000000-0004-0000-0000-0000B2070000}"/>
    <hyperlink ref="E1295" r:id="rId1972" xr:uid="{00000000-0004-0000-0000-0000B3070000}"/>
    <hyperlink ref="G1295" r:id="rId1973" xr:uid="{00000000-0004-0000-0000-0000B4070000}"/>
    <hyperlink ref="E1296" r:id="rId1974" xr:uid="{00000000-0004-0000-0000-0000B5070000}"/>
    <hyperlink ref="G1296" r:id="rId1975" xr:uid="{00000000-0004-0000-0000-0000B6070000}"/>
    <hyperlink ref="E1297" r:id="rId1976" xr:uid="{00000000-0004-0000-0000-0000B7070000}"/>
    <hyperlink ref="G1297" r:id="rId1977" xr:uid="{00000000-0004-0000-0000-0000B8070000}"/>
    <hyperlink ref="E1298" r:id="rId1978" xr:uid="{00000000-0004-0000-0000-0000B9070000}"/>
    <hyperlink ref="G1298" r:id="rId1979" xr:uid="{00000000-0004-0000-0000-0000BA070000}"/>
    <hyperlink ref="E1299" r:id="rId1980" xr:uid="{00000000-0004-0000-0000-0000BB070000}"/>
    <hyperlink ref="G1299" r:id="rId1981" xr:uid="{00000000-0004-0000-0000-0000BC070000}"/>
    <hyperlink ref="E1300" r:id="rId1982" xr:uid="{00000000-0004-0000-0000-0000BD070000}"/>
    <hyperlink ref="G1300" r:id="rId1983" xr:uid="{00000000-0004-0000-0000-0000BE070000}"/>
    <hyperlink ref="E1301" r:id="rId1984" xr:uid="{00000000-0004-0000-0000-0000BF070000}"/>
    <hyperlink ref="G1301" r:id="rId1985" xr:uid="{00000000-0004-0000-0000-0000C0070000}"/>
    <hyperlink ref="E1302" r:id="rId1986" xr:uid="{00000000-0004-0000-0000-0000C1070000}"/>
    <hyperlink ref="G1302" r:id="rId1987" xr:uid="{00000000-0004-0000-0000-0000C2070000}"/>
    <hyperlink ref="E1303" r:id="rId1988" xr:uid="{00000000-0004-0000-0000-0000C3070000}"/>
    <hyperlink ref="G1303" r:id="rId1989" xr:uid="{00000000-0004-0000-0000-0000C4070000}"/>
    <hyperlink ref="E1304" r:id="rId1990" xr:uid="{00000000-0004-0000-0000-0000C5070000}"/>
    <hyperlink ref="G1304" r:id="rId1991" xr:uid="{00000000-0004-0000-0000-0000C6070000}"/>
    <hyperlink ref="E1305" r:id="rId1992" xr:uid="{00000000-0004-0000-0000-0000C7070000}"/>
    <hyperlink ref="G1305" r:id="rId1993" xr:uid="{00000000-0004-0000-0000-0000C8070000}"/>
    <hyperlink ref="E1306" r:id="rId1994" xr:uid="{00000000-0004-0000-0000-0000C9070000}"/>
    <hyperlink ref="G1306" r:id="rId1995" xr:uid="{00000000-0004-0000-0000-0000CA070000}"/>
    <hyperlink ref="E1307" r:id="rId1996" xr:uid="{00000000-0004-0000-0000-0000CB070000}"/>
    <hyperlink ref="G1307" r:id="rId1997" xr:uid="{00000000-0004-0000-0000-0000CC070000}"/>
    <hyperlink ref="E1308" r:id="rId1998" xr:uid="{00000000-0004-0000-0000-0000CD070000}"/>
    <hyperlink ref="G1308" r:id="rId1999" xr:uid="{00000000-0004-0000-0000-0000CE070000}"/>
    <hyperlink ref="E1309" r:id="rId2000" xr:uid="{00000000-0004-0000-0000-0000CF070000}"/>
    <hyperlink ref="G1309" r:id="rId2001" xr:uid="{00000000-0004-0000-0000-0000D0070000}"/>
    <hyperlink ref="E1310" r:id="rId2002" xr:uid="{00000000-0004-0000-0000-0000D1070000}"/>
    <hyperlink ref="G1310" r:id="rId2003" xr:uid="{00000000-0004-0000-0000-0000D2070000}"/>
    <hyperlink ref="E1311" r:id="rId2004" xr:uid="{00000000-0004-0000-0000-0000D3070000}"/>
    <hyperlink ref="G1311" r:id="rId2005" xr:uid="{00000000-0004-0000-0000-0000D4070000}"/>
    <hyperlink ref="E1312" r:id="rId2006" xr:uid="{00000000-0004-0000-0000-0000D5070000}"/>
    <hyperlink ref="G1312" r:id="rId2007" xr:uid="{00000000-0004-0000-0000-0000D6070000}"/>
    <hyperlink ref="E1313" r:id="rId2008" xr:uid="{00000000-0004-0000-0000-0000D7070000}"/>
    <hyperlink ref="G1313" r:id="rId2009" xr:uid="{00000000-0004-0000-0000-0000D8070000}"/>
    <hyperlink ref="E1314" r:id="rId2010" xr:uid="{00000000-0004-0000-0000-0000D9070000}"/>
    <hyperlink ref="G1314" r:id="rId2011" xr:uid="{00000000-0004-0000-0000-0000DA070000}"/>
    <hyperlink ref="E1315" r:id="rId2012" xr:uid="{00000000-0004-0000-0000-0000DB070000}"/>
    <hyperlink ref="G1315" r:id="rId2013" xr:uid="{00000000-0004-0000-0000-0000DC070000}"/>
    <hyperlink ref="E1316" r:id="rId2014" xr:uid="{00000000-0004-0000-0000-0000DD070000}"/>
    <hyperlink ref="G1316" r:id="rId2015" xr:uid="{00000000-0004-0000-0000-0000DE070000}"/>
    <hyperlink ref="E1317" r:id="rId2016" xr:uid="{00000000-0004-0000-0000-0000DF070000}"/>
    <hyperlink ref="G1317" r:id="rId2017" xr:uid="{00000000-0004-0000-0000-0000E0070000}"/>
    <hyperlink ref="E1318" r:id="rId2018" xr:uid="{00000000-0004-0000-0000-0000E1070000}"/>
    <hyperlink ref="G1318" r:id="rId2019" xr:uid="{00000000-0004-0000-0000-0000E2070000}"/>
    <hyperlink ref="E1319" r:id="rId2020" xr:uid="{00000000-0004-0000-0000-0000E3070000}"/>
    <hyperlink ref="G1319" r:id="rId2021" xr:uid="{00000000-0004-0000-0000-0000E4070000}"/>
    <hyperlink ref="E1320" r:id="rId2022" xr:uid="{00000000-0004-0000-0000-0000E5070000}"/>
    <hyperlink ref="G1320" r:id="rId2023" xr:uid="{00000000-0004-0000-0000-0000E6070000}"/>
    <hyperlink ref="E1321" r:id="rId2024" xr:uid="{00000000-0004-0000-0000-0000E7070000}"/>
    <hyperlink ref="G1321" r:id="rId2025" xr:uid="{00000000-0004-0000-0000-0000E8070000}"/>
    <hyperlink ref="E1322" r:id="rId2026" xr:uid="{00000000-0004-0000-0000-0000E9070000}"/>
    <hyperlink ref="G1322" r:id="rId2027" xr:uid="{00000000-0004-0000-0000-0000EA070000}"/>
    <hyperlink ref="E1323" r:id="rId2028" xr:uid="{00000000-0004-0000-0000-0000EB070000}"/>
    <hyperlink ref="G1323" r:id="rId2029" xr:uid="{00000000-0004-0000-0000-0000EC070000}"/>
    <hyperlink ref="E1324" r:id="rId2030" xr:uid="{00000000-0004-0000-0000-0000ED070000}"/>
    <hyperlink ref="G1324" r:id="rId2031" xr:uid="{00000000-0004-0000-0000-0000EE070000}"/>
    <hyperlink ref="E1325" r:id="rId2032" xr:uid="{00000000-0004-0000-0000-0000EF070000}"/>
    <hyperlink ref="G1325" r:id="rId2033" xr:uid="{00000000-0004-0000-0000-0000F0070000}"/>
    <hyperlink ref="E1326" r:id="rId2034" xr:uid="{00000000-0004-0000-0000-0000F1070000}"/>
    <hyperlink ref="G1326" r:id="rId2035" xr:uid="{00000000-0004-0000-0000-0000F2070000}"/>
    <hyperlink ref="E1327" r:id="rId2036" xr:uid="{00000000-0004-0000-0000-0000F3070000}"/>
    <hyperlink ref="G1327" r:id="rId2037" xr:uid="{00000000-0004-0000-0000-0000F4070000}"/>
    <hyperlink ref="E1328" r:id="rId2038" xr:uid="{00000000-0004-0000-0000-0000F5070000}"/>
    <hyperlink ref="G1328" r:id="rId2039" xr:uid="{00000000-0004-0000-0000-0000F6070000}"/>
    <hyperlink ref="E1329" r:id="rId2040" xr:uid="{00000000-0004-0000-0000-0000F7070000}"/>
    <hyperlink ref="G1329" r:id="rId2041" xr:uid="{00000000-0004-0000-0000-0000F8070000}"/>
    <hyperlink ref="E1330" r:id="rId2042" xr:uid="{00000000-0004-0000-0000-0000F9070000}"/>
    <hyperlink ref="G1330" r:id="rId2043" xr:uid="{00000000-0004-0000-0000-0000FA070000}"/>
    <hyperlink ref="E1331" r:id="rId2044" xr:uid="{00000000-0004-0000-0000-0000FB070000}"/>
    <hyperlink ref="G1331" r:id="rId2045" xr:uid="{00000000-0004-0000-0000-0000FC070000}"/>
    <hyperlink ref="E1332" r:id="rId2046" xr:uid="{00000000-0004-0000-0000-0000FD070000}"/>
    <hyperlink ref="G1332" r:id="rId2047" xr:uid="{00000000-0004-0000-0000-0000FE070000}"/>
    <hyperlink ref="E1333" r:id="rId2048" xr:uid="{00000000-0004-0000-0000-0000FF070000}"/>
    <hyperlink ref="G1333" r:id="rId2049" xr:uid="{00000000-0004-0000-0000-000000080000}"/>
    <hyperlink ref="E1334" r:id="rId2050" xr:uid="{00000000-0004-0000-0000-000001080000}"/>
    <hyperlink ref="G1334" r:id="rId2051" xr:uid="{00000000-0004-0000-0000-000002080000}"/>
    <hyperlink ref="E1335" r:id="rId2052" xr:uid="{00000000-0004-0000-0000-000003080000}"/>
    <hyperlink ref="G1335" r:id="rId2053" xr:uid="{00000000-0004-0000-0000-000004080000}"/>
    <hyperlink ref="E1336" r:id="rId2054" xr:uid="{00000000-0004-0000-0000-000005080000}"/>
    <hyperlink ref="G1336" r:id="rId2055" xr:uid="{00000000-0004-0000-0000-000006080000}"/>
    <hyperlink ref="E1337" r:id="rId2056" xr:uid="{00000000-0004-0000-0000-000007080000}"/>
    <hyperlink ref="G1337" r:id="rId2057" xr:uid="{00000000-0004-0000-0000-000008080000}"/>
    <hyperlink ref="E1338" r:id="rId2058" xr:uid="{00000000-0004-0000-0000-000009080000}"/>
    <hyperlink ref="G1338" r:id="rId2059" xr:uid="{00000000-0004-0000-0000-00000A080000}"/>
    <hyperlink ref="E1339" r:id="rId2060" xr:uid="{00000000-0004-0000-0000-00000B080000}"/>
    <hyperlink ref="G1339" r:id="rId2061" xr:uid="{00000000-0004-0000-0000-00000C080000}"/>
    <hyperlink ref="E1340" r:id="rId2062" xr:uid="{00000000-0004-0000-0000-00000D080000}"/>
    <hyperlink ref="G1340" r:id="rId2063" xr:uid="{00000000-0004-0000-0000-00000E080000}"/>
    <hyperlink ref="E1341" r:id="rId2064" xr:uid="{00000000-0004-0000-0000-00000F080000}"/>
    <hyperlink ref="G1341" r:id="rId2065" xr:uid="{00000000-0004-0000-0000-000010080000}"/>
    <hyperlink ref="E1342" r:id="rId2066" xr:uid="{00000000-0004-0000-0000-000011080000}"/>
    <hyperlink ref="G1342" r:id="rId2067" xr:uid="{00000000-0004-0000-0000-000012080000}"/>
    <hyperlink ref="E1343" r:id="rId2068" xr:uid="{00000000-0004-0000-0000-000013080000}"/>
    <hyperlink ref="G1343" r:id="rId2069" xr:uid="{00000000-0004-0000-0000-000014080000}"/>
    <hyperlink ref="E1344" r:id="rId2070" xr:uid="{00000000-0004-0000-0000-000015080000}"/>
    <hyperlink ref="G1344" r:id="rId2071" xr:uid="{00000000-0004-0000-0000-000016080000}"/>
    <hyperlink ref="E1345" r:id="rId2072" xr:uid="{00000000-0004-0000-0000-000017080000}"/>
    <hyperlink ref="G1345" r:id="rId2073" xr:uid="{00000000-0004-0000-0000-000018080000}"/>
    <hyperlink ref="E1346" r:id="rId2074" xr:uid="{00000000-0004-0000-0000-000019080000}"/>
    <hyperlink ref="G1346" r:id="rId2075" xr:uid="{00000000-0004-0000-0000-00001A080000}"/>
    <hyperlink ref="E1347" r:id="rId2076" xr:uid="{00000000-0004-0000-0000-00001B080000}"/>
    <hyperlink ref="G1347" r:id="rId2077" xr:uid="{00000000-0004-0000-0000-00001C080000}"/>
    <hyperlink ref="E1348" r:id="rId2078" xr:uid="{00000000-0004-0000-0000-00001D080000}"/>
    <hyperlink ref="G1348" r:id="rId2079" xr:uid="{00000000-0004-0000-0000-00001E080000}"/>
    <hyperlink ref="E1349" r:id="rId2080" xr:uid="{00000000-0004-0000-0000-00001F080000}"/>
    <hyperlink ref="G1349" r:id="rId2081" xr:uid="{00000000-0004-0000-0000-000020080000}"/>
    <hyperlink ref="E1350" r:id="rId2082" xr:uid="{00000000-0004-0000-0000-000021080000}"/>
    <hyperlink ref="G1350" r:id="rId2083" xr:uid="{00000000-0004-0000-0000-000022080000}"/>
    <hyperlink ref="E1351" r:id="rId2084" xr:uid="{00000000-0004-0000-0000-000023080000}"/>
    <hyperlink ref="G1351" r:id="rId2085" xr:uid="{00000000-0004-0000-0000-000024080000}"/>
    <hyperlink ref="E1352" r:id="rId2086" xr:uid="{00000000-0004-0000-0000-000025080000}"/>
    <hyperlink ref="G1352" r:id="rId2087" xr:uid="{00000000-0004-0000-0000-000026080000}"/>
    <hyperlink ref="E1353" r:id="rId2088" xr:uid="{00000000-0004-0000-0000-000027080000}"/>
    <hyperlink ref="G1353" r:id="rId2089" xr:uid="{00000000-0004-0000-0000-000028080000}"/>
    <hyperlink ref="E1354" r:id="rId2090" xr:uid="{00000000-0004-0000-0000-000029080000}"/>
    <hyperlink ref="G1354" r:id="rId2091" xr:uid="{00000000-0004-0000-0000-00002A080000}"/>
    <hyperlink ref="E1355" r:id="rId2092" xr:uid="{00000000-0004-0000-0000-00002B080000}"/>
    <hyperlink ref="G1355" r:id="rId2093" xr:uid="{00000000-0004-0000-0000-00002C080000}"/>
    <hyperlink ref="E1356" r:id="rId2094" xr:uid="{00000000-0004-0000-0000-00002D080000}"/>
    <hyperlink ref="G1356" r:id="rId2095" xr:uid="{00000000-0004-0000-0000-00002E080000}"/>
    <hyperlink ref="E1357" r:id="rId2096" xr:uid="{00000000-0004-0000-0000-00002F080000}"/>
    <hyperlink ref="G1357" r:id="rId2097" xr:uid="{00000000-0004-0000-0000-000030080000}"/>
    <hyperlink ref="E1358" r:id="rId2098" xr:uid="{00000000-0004-0000-0000-000031080000}"/>
    <hyperlink ref="G1358" r:id="rId2099" xr:uid="{00000000-0004-0000-0000-000032080000}"/>
    <hyperlink ref="E1359" r:id="rId2100" xr:uid="{00000000-0004-0000-0000-000033080000}"/>
    <hyperlink ref="G1359" r:id="rId2101" xr:uid="{00000000-0004-0000-0000-000034080000}"/>
    <hyperlink ref="E1360" r:id="rId2102" xr:uid="{00000000-0004-0000-0000-000035080000}"/>
    <hyperlink ref="G1360" r:id="rId2103" xr:uid="{00000000-0004-0000-0000-000036080000}"/>
    <hyperlink ref="E1361" r:id="rId2104" xr:uid="{00000000-0004-0000-0000-000037080000}"/>
    <hyperlink ref="G1361" r:id="rId2105" xr:uid="{00000000-0004-0000-0000-000038080000}"/>
    <hyperlink ref="E1362" r:id="rId2106" xr:uid="{00000000-0004-0000-0000-000039080000}"/>
    <hyperlink ref="G1362" r:id="rId2107" xr:uid="{00000000-0004-0000-0000-00003A080000}"/>
    <hyperlink ref="E1363" r:id="rId2108" xr:uid="{00000000-0004-0000-0000-00003B080000}"/>
    <hyperlink ref="G1363" r:id="rId2109" xr:uid="{00000000-0004-0000-0000-00003C080000}"/>
    <hyperlink ref="E1364" r:id="rId2110" xr:uid="{00000000-0004-0000-0000-00003D080000}"/>
    <hyperlink ref="G1364" r:id="rId2111" xr:uid="{00000000-0004-0000-0000-00003E080000}"/>
    <hyperlink ref="E1365" r:id="rId2112" xr:uid="{00000000-0004-0000-0000-00003F080000}"/>
    <hyperlink ref="G1365" r:id="rId2113" xr:uid="{00000000-0004-0000-0000-000040080000}"/>
    <hyperlink ref="E1366" r:id="rId2114" xr:uid="{00000000-0004-0000-0000-000041080000}"/>
    <hyperlink ref="G1366" r:id="rId2115" xr:uid="{00000000-0004-0000-0000-000042080000}"/>
    <hyperlink ref="E1367" r:id="rId2116" xr:uid="{00000000-0004-0000-0000-000043080000}"/>
    <hyperlink ref="G1367" r:id="rId2117" xr:uid="{00000000-0004-0000-0000-000044080000}"/>
    <hyperlink ref="E1368" r:id="rId2118" xr:uid="{00000000-0004-0000-0000-000045080000}"/>
    <hyperlink ref="G1368" r:id="rId2119" xr:uid="{00000000-0004-0000-0000-000046080000}"/>
    <hyperlink ref="E1369" r:id="rId2120" xr:uid="{00000000-0004-0000-0000-000047080000}"/>
    <hyperlink ref="G1369" r:id="rId2121" xr:uid="{00000000-0004-0000-0000-000048080000}"/>
    <hyperlink ref="E1370" r:id="rId2122" xr:uid="{00000000-0004-0000-0000-000049080000}"/>
    <hyperlink ref="G1370" r:id="rId2123" xr:uid="{00000000-0004-0000-0000-00004A080000}"/>
    <hyperlink ref="E1371" r:id="rId2124" xr:uid="{00000000-0004-0000-0000-00004B080000}"/>
    <hyperlink ref="G1371" r:id="rId2125" xr:uid="{00000000-0004-0000-0000-00004C080000}"/>
    <hyperlink ref="E1372" r:id="rId2126" xr:uid="{00000000-0004-0000-0000-00004D080000}"/>
    <hyperlink ref="G1372" r:id="rId2127" xr:uid="{00000000-0004-0000-0000-00004E080000}"/>
    <hyperlink ref="E1373" r:id="rId2128" xr:uid="{00000000-0004-0000-0000-00004F080000}"/>
    <hyperlink ref="G1373" r:id="rId2129" xr:uid="{00000000-0004-0000-0000-000050080000}"/>
    <hyperlink ref="E1374" r:id="rId2130" xr:uid="{00000000-0004-0000-0000-000051080000}"/>
    <hyperlink ref="G1374" r:id="rId2131" xr:uid="{00000000-0004-0000-0000-000052080000}"/>
    <hyperlink ref="E1375" r:id="rId2132" xr:uid="{00000000-0004-0000-0000-000053080000}"/>
    <hyperlink ref="G1375" r:id="rId2133" xr:uid="{00000000-0004-0000-0000-000054080000}"/>
    <hyperlink ref="E1376" r:id="rId2134" xr:uid="{00000000-0004-0000-0000-000055080000}"/>
    <hyperlink ref="G1376" r:id="rId2135" xr:uid="{00000000-0004-0000-0000-000056080000}"/>
    <hyperlink ref="E1377" r:id="rId2136" xr:uid="{00000000-0004-0000-0000-000057080000}"/>
    <hyperlink ref="G1377" r:id="rId2137" xr:uid="{00000000-0004-0000-0000-000058080000}"/>
    <hyperlink ref="E1378" r:id="rId2138" xr:uid="{00000000-0004-0000-0000-000059080000}"/>
    <hyperlink ref="G1378" r:id="rId2139" xr:uid="{00000000-0004-0000-0000-00005A080000}"/>
    <hyperlink ref="E1379" r:id="rId2140" xr:uid="{00000000-0004-0000-0000-00005B080000}"/>
    <hyperlink ref="G1379" r:id="rId2141" xr:uid="{00000000-0004-0000-0000-00005C080000}"/>
    <hyperlink ref="E1380" r:id="rId2142" xr:uid="{00000000-0004-0000-0000-00005D080000}"/>
    <hyperlink ref="G1380" r:id="rId2143" xr:uid="{00000000-0004-0000-0000-00005E080000}"/>
    <hyperlink ref="E1381" r:id="rId2144" xr:uid="{00000000-0004-0000-0000-00005F080000}"/>
    <hyperlink ref="G1381" r:id="rId2145" xr:uid="{00000000-0004-0000-0000-000060080000}"/>
    <hyperlink ref="E1382" r:id="rId2146" xr:uid="{00000000-0004-0000-0000-000061080000}"/>
    <hyperlink ref="G1382" r:id="rId2147" xr:uid="{00000000-0004-0000-0000-000062080000}"/>
    <hyperlink ref="E1383" r:id="rId2148" xr:uid="{00000000-0004-0000-0000-000063080000}"/>
    <hyperlink ref="G1383" r:id="rId2149" xr:uid="{00000000-0004-0000-0000-000064080000}"/>
    <hyperlink ref="E1384" r:id="rId2150" xr:uid="{00000000-0004-0000-0000-000065080000}"/>
    <hyperlink ref="G1384" r:id="rId2151" xr:uid="{00000000-0004-0000-0000-000066080000}"/>
    <hyperlink ref="E1385" r:id="rId2152" xr:uid="{00000000-0004-0000-0000-000067080000}"/>
    <hyperlink ref="G1385" r:id="rId2153" xr:uid="{00000000-0004-0000-0000-000068080000}"/>
    <hyperlink ref="E1386" r:id="rId2154" xr:uid="{00000000-0004-0000-0000-000069080000}"/>
    <hyperlink ref="G1386" r:id="rId2155" xr:uid="{00000000-0004-0000-0000-00006A080000}"/>
    <hyperlink ref="E1387" r:id="rId2156" xr:uid="{00000000-0004-0000-0000-00006B080000}"/>
    <hyperlink ref="G1387" r:id="rId2157" xr:uid="{00000000-0004-0000-0000-00006C080000}"/>
    <hyperlink ref="E1388" r:id="rId2158" xr:uid="{00000000-0004-0000-0000-00006D080000}"/>
    <hyperlink ref="G1388" r:id="rId2159" xr:uid="{00000000-0004-0000-0000-00006E080000}"/>
    <hyperlink ref="E1389" r:id="rId2160" xr:uid="{00000000-0004-0000-0000-00006F080000}"/>
    <hyperlink ref="G1389" r:id="rId2161" xr:uid="{00000000-0004-0000-0000-000070080000}"/>
    <hyperlink ref="E1390" r:id="rId2162" xr:uid="{00000000-0004-0000-0000-000071080000}"/>
    <hyperlink ref="G1390" r:id="rId2163" xr:uid="{00000000-0004-0000-0000-000072080000}"/>
    <hyperlink ref="E1391" r:id="rId2164" xr:uid="{00000000-0004-0000-0000-000073080000}"/>
    <hyperlink ref="G1391" r:id="rId2165" xr:uid="{00000000-0004-0000-0000-000074080000}"/>
    <hyperlink ref="E1392" r:id="rId2166" xr:uid="{00000000-0004-0000-0000-000075080000}"/>
    <hyperlink ref="G1392" r:id="rId2167" xr:uid="{00000000-0004-0000-0000-000076080000}"/>
    <hyperlink ref="E1393" r:id="rId2168" xr:uid="{00000000-0004-0000-0000-000077080000}"/>
    <hyperlink ref="G1393" r:id="rId2169" xr:uid="{00000000-0004-0000-0000-000078080000}"/>
    <hyperlink ref="E1394" r:id="rId2170" xr:uid="{00000000-0004-0000-0000-000079080000}"/>
    <hyperlink ref="G1394" r:id="rId2171" xr:uid="{00000000-0004-0000-0000-00007A080000}"/>
    <hyperlink ref="E1395" r:id="rId2172" xr:uid="{00000000-0004-0000-0000-00007B080000}"/>
    <hyperlink ref="G1395" r:id="rId2173" xr:uid="{00000000-0004-0000-0000-00007C080000}"/>
    <hyperlink ref="E1396" r:id="rId2174" xr:uid="{00000000-0004-0000-0000-00007D080000}"/>
    <hyperlink ref="G1396" r:id="rId2175" xr:uid="{00000000-0004-0000-0000-00007E080000}"/>
    <hyperlink ref="E1397" r:id="rId2176" xr:uid="{00000000-0004-0000-0000-00007F080000}"/>
    <hyperlink ref="G1397" r:id="rId2177" xr:uid="{00000000-0004-0000-0000-000080080000}"/>
    <hyperlink ref="E1398" r:id="rId2178" xr:uid="{00000000-0004-0000-0000-000081080000}"/>
    <hyperlink ref="G1398" r:id="rId2179" xr:uid="{00000000-0004-0000-0000-000082080000}"/>
    <hyperlink ref="E1399" r:id="rId2180" xr:uid="{00000000-0004-0000-0000-000083080000}"/>
    <hyperlink ref="G1399" r:id="rId2181" xr:uid="{00000000-0004-0000-0000-000084080000}"/>
    <hyperlink ref="E1400" r:id="rId2182" xr:uid="{00000000-0004-0000-0000-000085080000}"/>
    <hyperlink ref="G1400" r:id="rId2183" xr:uid="{00000000-0004-0000-0000-000086080000}"/>
    <hyperlink ref="E1401" r:id="rId2184" xr:uid="{00000000-0004-0000-0000-000087080000}"/>
    <hyperlink ref="G1401" r:id="rId2185" xr:uid="{00000000-0004-0000-0000-000088080000}"/>
    <hyperlink ref="E1402" r:id="rId2186" xr:uid="{00000000-0004-0000-0000-000089080000}"/>
    <hyperlink ref="G1402" r:id="rId2187" xr:uid="{00000000-0004-0000-0000-00008A080000}"/>
    <hyperlink ref="E1403" r:id="rId2188" xr:uid="{00000000-0004-0000-0000-00008B080000}"/>
    <hyperlink ref="G1403" r:id="rId2189" xr:uid="{00000000-0004-0000-0000-00008C080000}"/>
    <hyperlink ref="E1404" r:id="rId2190" xr:uid="{00000000-0004-0000-0000-00008D080000}"/>
    <hyperlink ref="G1404" r:id="rId2191" xr:uid="{00000000-0004-0000-0000-00008E080000}"/>
    <hyperlink ref="E1405" r:id="rId2192" xr:uid="{00000000-0004-0000-0000-00008F080000}"/>
    <hyperlink ref="G1405" r:id="rId2193" xr:uid="{00000000-0004-0000-0000-000090080000}"/>
    <hyperlink ref="E1406" r:id="rId2194" xr:uid="{00000000-0004-0000-0000-000091080000}"/>
    <hyperlink ref="G1406" r:id="rId2195" xr:uid="{00000000-0004-0000-0000-000092080000}"/>
    <hyperlink ref="E1407" r:id="rId2196" xr:uid="{00000000-0004-0000-0000-000093080000}"/>
    <hyperlink ref="G1407" r:id="rId2197" xr:uid="{00000000-0004-0000-0000-000094080000}"/>
    <hyperlink ref="E1408" r:id="rId2198" xr:uid="{00000000-0004-0000-0000-000095080000}"/>
    <hyperlink ref="G1408" r:id="rId2199" xr:uid="{00000000-0004-0000-0000-000096080000}"/>
    <hyperlink ref="E1409" r:id="rId2200" xr:uid="{00000000-0004-0000-0000-000097080000}"/>
    <hyperlink ref="G1409" r:id="rId2201" xr:uid="{00000000-0004-0000-0000-000098080000}"/>
    <hyperlink ref="E1410" r:id="rId2202" xr:uid="{00000000-0004-0000-0000-000099080000}"/>
    <hyperlink ref="G1410" r:id="rId2203" xr:uid="{00000000-0004-0000-0000-00009A080000}"/>
    <hyperlink ref="E1411" r:id="rId2204" xr:uid="{00000000-0004-0000-0000-00009B080000}"/>
    <hyperlink ref="G1411" r:id="rId2205" xr:uid="{00000000-0004-0000-0000-00009C080000}"/>
    <hyperlink ref="E1412" r:id="rId2206" xr:uid="{00000000-0004-0000-0000-00009D080000}"/>
    <hyperlink ref="G1412" r:id="rId2207" xr:uid="{00000000-0004-0000-0000-00009E080000}"/>
    <hyperlink ref="E1413" r:id="rId2208" xr:uid="{00000000-0004-0000-0000-00009F080000}"/>
    <hyperlink ref="G1413" r:id="rId2209" xr:uid="{00000000-0004-0000-0000-0000A0080000}"/>
    <hyperlink ref="E1414" r:id="rId2210" xr:uid="{00000000-0004-0000-0000-0000A1080000}"/>
    <hyperlink ref="G1414" r:id="rId2211" xr:uid="{00000000-0004-0000-0000-0000A2080000}"/>
    <hyperlink ref="E1415" r:id="rId2212" xr:uid="{00000000-0004-0000-0000-0000A3080000}"/>
    <hyperlink ref="G1415" r:id="rId2213" xr:uid="{00000000-0004-0000-0000-0000A4080000}"/>
    <hyperlink ref="E1416" r:id="rId2214" xr:uid="{00000000-0004-0000-0000-0000A5080000}"/>
    <hyperlink ref="G1416" r:id="rId2215" xr:uid="{00000000-0004-0000-0000-0000A6080000}"/>
    <hyperlink ref="E1417" r:id="rId2216" xr:uid="{00000000-0004-0000-0000-0000A7080000}"/>
    <hyperlink ref="G1417" r:id="rId2217" xr:uid="{00000000-0004-0000-0000-0000A8080000}"/>
    <hyperlink ref="E1418" r:id="rId2218" xr:uid="{00000000-0004-0000-0000-0000A9080000}"/>
    <hyperlink ref="G1418" r:id="rId2219" xr:uid="{00000000-0004-0000-0000-0000AA080000}"/>
    <hyperlink ref="E1419" r:id="rId2220" xr:uid="{00000000-0004-0000-0000-0000AB080000}"/>
    <hyperlink ref="G1419" r:id="rId2221" xr:uid="{00000000-0004-0000-0000-0000AC080000}"/>
    <hyperlink ref="E1420" r:id="rId2222" xr:uid="{00000000-0004-0000-0000-0000AD080000}"/>
    <hyperlink ref="G1420" r:id="rId2223" xr:uid="{00000000-0004-0000-0000-0000AE080000}"/>
    <hyperlink ref="E1421" r:id="rId2224" xr:uid="{00000000-0004-0000-0000-0000AF080000}"/>
    <hyperlink ref="G1421" r:id="rId2225" xr:uid="{00000000-0004-0000-0000-0000B0080000}"/>
    <hyperlink ref="E1422" r:id="rId2226" xr:uid="{00000000-0004-0000-0000-0000B1080000}"/>
    <hyperlink ref="G1422" r:id="rId2227" xr:uid="{00000000-0004-0000-0000-0000B2080000}"/>
    <hyperlink ref="E1423" r:id="rId2228" xr:uid="{00000000-0004-0000-0000-0000B3080000}"/>
    <hyperlink ref="G1423" r:id="rId2229" xr:uid="{00000000-0004-0000-0000-0000B4080000}"/>
    <hyperlink ref="E1424" r:id="rId2230" xr:uid="{00000000-0004-0000-0000-0000B5080000}"/>
    <hyperlink ref="G1424" r:id="rId2231" xr:uid="{00000000-0004-0000-0000-0000B6080000}"/>
    <hyperlink ref="E1425" r:id="rId2232" xr:uid="{00000000-0004-0000-0000-0000B7080000}"/>
    <hyperlink ref="G1425" r:id="rId2233" xr:uid="{00000000-0004-0000-0000-0000B8080000}"/>
    <hyperlink ref="E1426" r:id="rId2234" xr:uid="{00000000-0004-0000-0000-0000B9080000}"/>
    <hyperlink ref="G1426" r:id="rId2235" xr:uid="{00000000-0004-0000-0000-0000BA080000}"/>
    <hyperlink ref="E1427" r:id="rId2236" xr:uid="{00000000-0004-0000-0000-0000BB080000}"/>
    <hyperlink ref="G1427" r:id="rId2237" xr:uid="{00000000-0004-0000-0000-0000BC080000}"/>
    <hyperlink ref="E1428" r:id="rId2238" xr:uid="{00000000-0004-0000-0000-0000BD080000}"/>
    <hyperlink ref="G1428" r:id="rId2239" xr:uid="{00000000-0004-0000-0000-0000BE080000}"/>
    <hyperlink ref="E1429" r:id="rId2240" xr:uid="{00000000-0004-0000-0000-0000BF080000}"/>
    <hyperlink ref="G1429" r:id="rId2241" xr:uid="{00000000-0004-0000-0000-0000C0080000}"/>
    <hyperlink ref="E1430" r:id="rId2242" xr:uid="{00000000-0004-0000-0000-0000C1080000}"/>
    <hyperlink ref="G1430" r:id="rId2243" xr:uid="{00000000-0004-0000-0000-0000C2080000}"/>
    <hyperlink ref="E1431" r:id="rId2244" xr:uid="{00000000-0004-0000-0000-0000C3080000}"/>
    <hyperlink ref="G1431" r:id="rId2245" xr:uid="{00000000-0004-0000-0000-0000C4080000}"/>
    <hyperlink ref="E1432" r:id="rId2246" xr:uid="{00000000-0004-0000-0000-0000C5080000}"/>
    <hyperlink ref="G1432" r:id="rId2247" xr:uid="{00000000-0004-0000-0000-0000C6080000}"/>
    <hyperlink ref="E1433" r:id="rId2248" xr:uid="{00000000-0004-0000-0000-0000C7080000}"/>
    <hyperlink ref="G1433" r:id="rId2249" xr:uid="{00000000-0004-0000-0000-0000C8080000}"/>
    <hyperlink ref="E1434" r:id="rId2250" xr:uid="{00000000-0004-0000-0000-0000C9080000}"/>
    <hyperlink ref="G1434" r:id="rId2251" xr:uid="{00000000-0004-0000-0000-0000CA080000}"/>
    <hyperlink ref="E1435" r:id="rId2252" xr:uid="{00000000-0004-0000-0000-0000CB080000}"/>
    <hyperlink ref="G1435" r:id="rId2253" xr:uid="{00000000-0004-0000-0000-0000CC080000}"/>
    <hyperlink ref="E1436" r:id="rId2254" xr:uid="{00000000-0004-0000-0000-0000CD080000}"/>
    <hyperlink ref="G1436" r:id="rId2255" xr:uid="{00000000-0004-0000-0000-0000CE080000}"/>
    <hyperlink ref="E1437" r:id="rId2256" xr:uid="{00000000-0004-0000-0000-0000CF080000}"/>
    <hyperlink ref="G1437" r:id="rId2257" xr:uid="{00000000-0004-0000-0000-0000D0080000}"/>
    <hyperlink ref="E1438" r:id="rId2258" xr:uid="{00000000-0004-0000-0000-0000D1080000}"/>
    <hyperlink ref="G1438" r:id="rId2259" xr:uid="{00000000-0004-0000-0000-0000D2080000}"/>
    <hyperlink ref="E1439" r:id="rId2260" xr:uid="{00000000-0004-0000-0000-0000D3080000}"/>
    <hyperlink ref="G1439" r:id="rId2261" xr:uid="{00000000-0004-0000-0000-0000D4080000}"/>
    <hyperlink ref="E1440" r:id="rId2262" xr:uid="{00000000-0004-0000-0000-0000D5080000}"/>
    <hyperlink ref="G1440" r:id="rId2263" xr:uid="{00000000-0004-0000-0000-0000D6080000}"/>
    <hyperlink ref="E1441" r:id="rId2264" xr:uid="{00000000-0004-0000-0000-0000D7080000}"/>
    <hyperlink ref="G1441" r:id="rId2265" xr:uid="{00000000-0004-0000-0000-0000D8080000}"/>
    <hyperlink ref="E1442" r:id="rId2266" xr:uid="{00000000-0004-0000-0000-0000D9080000}"/>
    <hyperlink ref="G1442" r:id="rId2267" xr:uid="{00000000-0004-0000-0000-0000DA080000}"/>
    <hyperlink ref="E1443" r:id="rId2268" xr:uid="{00000000-0004-0000-0000-0000DB080000}"/>
    <hyperlink ref="G1443" r:id="rId2269" xr:uid="{00000000-0004-0000-0000-0000DC080000}"/>
    <hyperlink ref="E1444" r:id="rId2270" xr:uid="{00000000-0004-0000-0000-0000DD080000}"/>
    <hyperlink ref="G1444" r:id="rId2271" xr:uid="{00000000-0004-0000-0000-0000DE080000}"/>
    <hyperlink ref="E1445" r:id="rId2272" xr:uid="{00000000-0004-0000-0000-0000DF080000}"/>
    <hyperlink ref="G1445" r:id="rId2273" xr:uid="{00000000-0004-0000-0000-0000E0080000}"/>
    <hyperlink ref="E1446" r:id="rId2274" xr:uid="{00000000-0004-0000-0000-0000E1080000}"/>
    <hyperlink ref="G1446" r:id="rId2275" xr:uid="{00000000-0004-0000-0000-0000E2080000}"/>
    <hyperlink ref="E1447" r:id="rId2276" xr:uid="{00000000-0004-0000-0000-0000E3080000}"/>
    <hyperlink ref="G1447" r:id="rId2277" xr:uid="{00000000-0004-0000-0000-0000E4080000}"/>
    <hyperlink ref="E1448" r:id="rId2278" xr:uid="{00000000-0004-0000-0000-0000E5080000}"/>
    <hyperlink ref="G1448" r:id="rId2279" xr:uid="{00000000-0004-0000-0000-0000E6080000}"/>
    <hyperlink ref="E1449" r:id="rId2280" xr:uid="{00000000-0004-0000-0000-0000E7080000}"/>
    <hyperlink ref="G1449" r:id="rId2281" xr:uid="{00000000-0004-0000-0000-0000E8080000}"/>
    <hyperlink ref="E1450" r:id="rId2282" xr:uid="{00000000-0004-0000-0000-0000E9080000}"/>
    <hyperlink ref="G1450" r:id="rId2283" xr:uid="{00000000-0004-0000-0000-0000EA080000}"/>
    <hyperlink ref="E1451" r:id="rId2284" xr:uid="{00000000-0004-0000-0000-0000EB080000}"/>
    <hyperlink ref="G1451" r:id="rId2285" xr:uid="{00000000-0004-0000-0000-0000EC080000}"/>
    <hyperlink ref="E1452" r:id="rId2286" xr:uid="{00000000-0004-0000-0000-0000ED080000}"/>
    <hyperlink ref="G1452" r:id="rId2287" xr:uid="{00000000-0004-0000-0000-0000EE080000}"/>
    <hyperlink ref="E1453" r:id="rId2288" xr:uid="{00000000-0004-0000-0000-0000EF080000}"/>
    <hyperlink ref="G1453" r:id="rId2289" xr:uid="{00000000-0004-0000-0000-0000F0080000}"/>
    <hyperlink ref="E1454" r:id="rId2290" xr:uid="{00000000-0004-0000-0000-0000F1080000}"/>
    <hyperlink ref="G1454" r:id="rId2291" xr:uid="{00000000-0004-0000-0000-0000F2080000}"/>
    <hyperlink ref="E1455" r:id="rId2292" xr:uid="{00000000-0004-0000-0000-0000F3080000}"/>
    <hyperlink ref="G1455" r:id="rId2293" xr:uid="{00000000-0004-0000-0000-0000F4080000}"/>
    <hyperlink ref="E1456" r:id="rId2294" xr:uid="{00000000-0004-0000-0000-0000F5080000}"/>
    <hyperlink ref="G1456" r:id="rId2295" xr:uid="{00000000-0004-0000-0000-0000F6080000}"/>
    <hyperlink ref="E1457" r:id="rId2296" xr:uid="{00000000-0004-0000-0000-0000F7080000}"/>
    <hyperlink ref="G1457" r:id="rId2297" xr:uid="{00000000-0004-0000-0000-0000F8080000}"/>
    <hyperlink ref="E1458" r:id="rId2298" xr:uid="{00000000-0004-0000-0000-0000F9080000}"/>
    <hyperlink ref="G1458" r:id="rId2299" xr:uid="{00000000-0004-0000-0000-0000FA080000}"/>
    <hyperlink ref="E1459" r:id="rId2300" xr:uid="{00000000-0004-0000-0000-0000FB080000}"/>
    <hyperlink ref="G1459" r:id="rId2301" xr:uid="{00000000-0004-0000-0000-0000FC080000}"/>
    <hyperlink ref="E1460" r:id="rId2302" xr:uid="{00000000-0004-0000-0000-0000FD080000}"/>
    <hyperlink ref="G1460" r:id="rId2303" xr:uid="{00000000-0004-0000-0000-0000FE080000}"/>
    <hyperlink ref="E1461" r:id="rId2304" xr:uid="{00000000-0004-0000-0000-0000FF080000}"/>
    <hyperlink ref="G1461" r:id="rId2305" xr:uid="{00000000-0004-0000-0000-000000090000}"/>
    <hyperlink ref="E1462" r:id="rId2306" xr:uid="{00000000-0004-0000-0000-000001090000}"/>
    <hyperlink ref="G1462" r:id="rId2307" xr:uid="{00000000-0004-0000-0000-000002090000}"/>
    <hyperlink ref="E1463" r:id="rId2308" xr:uid="{00000000-0004-0000-0000-000003090000}"/>
    <hyperlink ref="G1463" r:id="rId2309" xr:uid="{00000000-0004-0000-0000-000004090000}"/>
    <hyperlink ref="E1464" r:id="rId2310" xr:uid="{00000000-0004-0000-0000-000005090000}"/>
    <hyperlink ref="G1464" r:id="rId2311" xr:uid="{00000000-0004-0000-0000-000006090000}"/>
    <hyperlink ref="E1465" r:id="rId2312" xr:uid="{00000000-0004-0000-0000-000007090000}"/>
    <hyperlink ref="G1465" r:id="rId2313" xr:uid="{00000000-0004-0000-0000-000008090000}"/>
    <hyperlink ref="E1466" r:id="rId2314" xr:uid="{00000000-0004-0000-0000-000009090000}"/>
    <hyperlink ref="G1466" r:id="rId2315" xr:uid="{00000000-0004-0000-0000-00000A090000}"/>
    <hyperlink ref="E1467" r:id="rId2316" xr:uid="{00000000-0004-0000-0000-00000B090000}"/>
    <hyperlink ref="G1467" r:id="rId2317" xr:uid="{00000000-0004-0000-0000-00000C090000}"/>
    <hyperlink ref="E1468" r:id="rId2318" xr:uid="{00000000-0004-0000-0000-00000D090000}"/>
    <hyperlink ref="G1468" r:id="rId2319" xr:uid="{00000000-0004-0000-0000-00000E090000}"/>
    <hyperlink ref="E1469" r:id="rId2320" xr:uid="{00000000-0004-0000-0000-00000F090000}"/>
    <hyperlink ref="G1469" r:id="rId2321" xr:uid="{00000000-0004-0000-0000-000010090000}"/>
    <hyperlink ref="E1470" r:id="rId2322" xr:uid="{00000000-0004-0000-0000-000011090000}"/>
    <hyperlink ref="G1470" r:id="rId2323" xr:uid="{00000000-0004-0000-0000-000012090000}"/>
    <hyperlink ref="E1471" r:id="rId2324" xr:uid="{00000000-0004-0000-0000-000013090000}"/>
    <hyperlink ref="G1471" r:id="rId2325" xr:uid="{00000000-0004-0000-0000-000014090000}"/>
    <hyperlink ref="E1472" r:id="rId2326" xr:uid="{00000000-0004-0000-0000-000015090000}"/>
    <hyperlink ref="G1472" r:id="rId2327" xr:uid="{00000000-0004-0000-0000-000016090000}"/>
    <hyperlink ref="E1473" r:id="rId2328" xr:uid="{00000000-0004-0000-0000-000017090000}"/>
    <hyperlink ref="G1473" r:id="rId2329" xr:uid="{00000000-0004-0000-0000-000018090000}"/>
    <hyperlink ref="E1474" r:id="rId2330" xr:uid="{00000000-0004-0000-0000-000019090000}"/>
    <hyperlink ref="G1474" r:id="rId2331" xr:uid="{00000000-0004-0000-0000-00001A090000}"/>
    <hyperlink ref="E1475" r:id="rId2332" xr:uid="{00000000-0004-0000-0000-00001B090000}"/>
    <hyperlink ref="G1475" r:id="rId2333" xr:uid="{00000000-0004-0000-0000-00001C090000}"/>
    <hyperlink ref="E1476" r:id="rId2334" xr:uid="{00000000-0004-0000-0000-00001D090000}"/>
    <hyperlink ref="G1476" r:id="rId2335" xr:uid="{00000000-0004-0000-0000-00001E090000}"/>
    <hyperlink ref="E1477" r:id="rId2336" xr:uid="{00000000-0004-0000-0000-00001F090000}"/>
    <hyperlink ref="G1477" r:id="rId2337" xr:uid="{00000000-0004-0000-0000-000020090000}"/>
    <hyperlink ref="E1478" r:id="rId2338" xr:uid="{00000000-0004-0000-0000-000021090000}"/>
    <hyperlink ref="G1478" r:id="rId2339" xr:uid="{00000000-0004-0000-0000-000022090000}"/>
    <hyperlink ref="E1479" r:id="rId2340" xr:uid="{00000000-0004-0000-0000-000023090000}"/>
    <hyperlink ref="G1479" r:id="rId2341" xr:uid="{00000000-0004-0000-0000-000024090000}"/>
    <hyperlink ref="E1480" r:id="rId2342" xr:uid="{00000000-0004-0000-0000-000025090000}"/>
    <hyperlink ref="G1480" r:id="rId2343" xr:uid="{00000000-0004-0000-0000-000026090000}"/>
    <hyperlink ref="E1481" r:id="rId2344" xr:uid="{00000000-0004-0000-0000-000027090000}"/>
    <hyperlink ref="G1481" r:id="rId2345" xr:uid="{00000000-0004-0000-0000-000028090000}"/>
    <hyperlink ref="E1482" r:id="rId2346" xr:uid="{00000000-0004-0000-0000-000029090000}"/>
    <hyperlink ref="G1482" r:id="rId2347" xr:uid="{00000000-0004-0000-0000-00002A090000}"/>
    <hyperlink ref="E1483" r:id="rId2348" xr:uid="{00000000-0004-0000-0000-00002B090000}"/>
    <hyperlink ref="G1483" r:id="rId2349" xr:uid="{00000000-0004-0000-0000-00002C090000}"/>
    <hyperlink ref="E1484" r:id="rId2350" xr:uid="{00000000-0004-0000-0000-00002D090000}"/>
    <hyperlink ref="G1484" r:id="rId2351" xr:uid="{00000000-0004-0000-0000-00002E090000}"/>
    <hyperlink ref="E1485" r:id="rId2352" xr:uid="{00000000-0004-0000-0000-00002F090000}"/>
    <hyperlink ref="G1485" r:id="rId2353" xr:uid="{00000000-0004-0000-0000-000030090000}"/>
    <hyperlink ref="E1486" r:id="rId2354" xr:uid="{00000000-0004-0000-0000-000031090000}"/>
    <hyperlink ref="G1486" r:id="rId2355" xr:uid="{00000000-0004-0000-0000-000032090000}"/>
    <hyperlink ref="E1487" r:id="rId2356" xr:uid="{00000000-0004-0000-0000-000033090000}"/>
    <hyperlink ref="G1487" r:id="rId2357" xr:uid="{00000000-0004-0000-0000-000034090000}"/>
    <hyperlink ref="E1488" r:id="rId2358" xr:uid="{00000000-0004-0000-0000-000035090000}"/>
    <hyperlink ref="G1488" r:id="rId2359" xr:uid="{00000000-0004-0000-0000-000036090000}"/>
    <hyperlink ref="E1489" r:id="rId2360" xr:uid="{00000000-0004-0000-0000-000037090000}"/>
    <hyperlink ref="G1489" r:id="rId2361" xr:uid="{00000000-0004-0000-0000-000038090000}"/>
    <hyperlink ref="E1490" r:id="rId2362" xr:uid="{00000000-0004-0000-0000-000039090000}"/>
    <hyperlink ref="G1490" r:id="rId2363" xr:uid="{00000000-0004-0000-0000-00003A090000}"/>
    <hyperlink ref="E1491" r:id="rId2364" xr:uid="{00000000-0004-0000-0000-00003B090000}"/>
    <hyperlink ref="G1491" r:id="rId2365" xr:uid="{00000000-0004-0000-0000-00003C090000}"/>
    <hyperlink ref="E1492" r:id="rId2366" xr:uid="{00000000-0004-0000-0000-00003D090000}"/>
    <hyperlink ref="G1492" r:id="rId2367" xr:uid="{00000000-0004-0000-0000-00003E090000}"/>
    <hyperlink ref="E1493" r:id="rId2368" xr:uid="{00000000-0004-0000-0000-00003F090000}"/>
    <hyperlink ref="G1493" r:id="rId2369" xr:uid="{00000000-0004-0000-0000-000040090000}"/>
    <hyperlink ref="E1494" r:id="rId2370" xr:uid="{00000000-0004-0000-0000-000041090000}"/>
    <hyperlink ref="G1494" r:id="rId2371" xr:uid="{00000000-0004-0000-0000-000042090000}"/>
    <hyperlink ref="E1495" r:id="rId2372" xr:uid="{00000000-0004-0000-0000-000043090000}"/>
    <hyperlink ref="G1495" r:id="rId2373" xr:uid="{00000000-0004-0000-0000-000044090000}"/>
    <hyperlink ref="E1496" r:id="rId2374" xr:uid="{00000000-0004-0000-0000-000045090000}"/>
    <hyperlink ref="G1496" r:id="rId2375" xr:uid="{00000000-0004-0000-0000-000046090000}"/>
    <hyperlink ref="E1497" r:id="rId2376" xr:uid="{00000000-0004-0000-0000-000047090000}"/>
    <hyperlink ref="G1497" r:id="rId2377" xr:uid="{00000000-0004-0000-0000-000048090000}"/>
    <hyperlink ref="E1498" r:id="rId2378" xr:uid="{00000000-0004-0000-0000-000049090000}"/>
    <hyperlink ref="G1498" r:id="rId2379" xr:uid="{00000000-0004-0000-0000-00004A090000}"/>
    <hyperlink ref="E1499" r:id="rId2380" xr:uid="{00000000-0004-0000-0000-00004B090000}"/>
    <hyperlink ref="G1499" r:id="rId2381" xr:uid="{00000000-0004-0000-0000-00004C090000}"/>
    <hyperlink ref="E1500" r:id="rId2382" xr:uid="{00000000-0004-0000-0000-00004D090000}"/>
    <hyperlink ref="G1500" r:id="rId2383" xr:uid="{00000000-0004-0000-0000-00004E090000}"/>
    <hyperlink ref="E1501" r:id="rId2384" xr:uid="{00000000-0004-0000-0000-00004F090000}"/>
    <hyperlink ref="G1501" r:id="rId2385" xr:uid="{00000000-0004-0000-0000-000050090000}"/>
    <hyperlink ref="E1502" r:id="rId2386" xr:uid="{00000000-0004-0000-0000-000051090000}"/>
    <hyperlink ref="G1502" r:id="rId2387" xr:uid="{00000000-0004-0000-0000-000052090000}"/>
    <hyperlink ref="E1503" r:id="rId2388" xr:uid="{00000000-0004-0000-0000-000053090000}"/>
    <hyperlink ref="G1503" r:id="rId2389" xr:uid="{00000000-0004-0000-0000-000054090000}"/>
    <hyperlink ref="E1504" r:id="rId2390" xr:uid="{00000000-0004-0000-0000-000055090000}"/>
    <hyperlink ref="G1504" r:id="rId2391" xr:uid="{00000000-0004-0000-0000-000056090000}"/>
    <hyperlink ref="E1505" r:id="rId2392" xr:uid="{00000000-0004-0000-0000-000057090000}"/>
    <hyperlink ref="G1505" r:id="rId2393" xr:uid="{00000000-0004-0000-0000-000058090000}"/>
    <hyperlink ref="E1506" r:id="rId2394" xr:uid="{00000000-0004-0000-0000-000059090000}"/>
    <hyperlink ref="G1506" r:id="rId2395" xr:uid="{00000000-0004-0000-0000-00005A090000}"/>
    <hyperlink ref="E1507" r:id="rId2396" xr:uid="{00000000-0004-0000-0000-00005B090000}"/>
    <hyperlink ref="G1507" r:id="rId2397" xr:uid="{00000000-0004-0000-0000-00005C090000}"/>
    <hyperlink ref="E1508" r:id="rId2398" xr:uid="{00000000-0004-0000-0000-00005D090000}"/>
    <hyperlink ref="G1508" r:id="rId2399" xr:uid="{00000000-0004-0000-0000-00005E090000}"/>
    <hyperlink ref="E1509" r:id="rId2400" xr:uid="{00000000-0004-0000-0000-00005F090000}"/>
    <hyperlink ref="G1509" r:id="rId2401" xr:uid="{00000000-0004-0000-0000-000060090000}"/>
    <hyperlink ref="E1510" r:id="rId2402" xr:uid="{00000000-0004-0000-0000-000061090000}"/>
    <hyperlink ref="G1510" r:id="rId2403" xr:uid="{00000000-0004-0000-0000-000062090000}"/>
    <hyperlink ref="E1511" r:id="rId2404" xr:uid="{00000000-0004-0000-0000-000063090000}"/>
    <hyperlink ref="G1511" r:id="rId2405" xr:uid="{00000000-0004-0000-0000-000064090000}"/>
    <hyperlink ref="E1512" r:id="rId2406" xr:uid="{00000000-0004-0000-0000-000065090000}"/>
    <hyperlink ref="G1512" r:id="rId2407" xr:uid="{00000000-0004-0000-0000-000066090000}"/>
    <hyperlink ref="E1513" r:id="rId2408" xr:uid="{00000000-0004-0000-0000-000067090000}"/>
    <hyperlink ref="G1513" r:id="rId2409" xr:uid="{00000000-0004-0000-0000-000068090000}"/>
    <hyperlink ref="E1514" r:id="rId2410" xr:uid="{00000000-0004-0000-0000-000069090000}"/>
    <hyperlink ref="G1514" r:id="rId2411" xr:uid="{00000000-0004-0000-0000-00006A090000}"/>
    <hyperlink ref="E1515" r:id="rId2412" xr:uid="{00000000-0004-0000-0000-00006B090000}"/>
    <hyperlink ref="G1515" r:id="rId2413" xr:uid="{00000000-0004-0000-0000-00006C090000}"/>
    <hyperlink ref="E1516" r:id="rId2414" xr:uid="{00000000-0004-0000-0000-00006D090000}"/>
    <hyperlink ref="G1516" r:id="rId2415" xr:uid="{00000000-0004-0000-0000-00006E090000}"/>
    <hyperlink ref="E1517" r:id="rId2416" xr:uid="{00000000-0004-0000-0000-00006F090000}"/>
    <hyperlink ref="G1517" r:id="rId2417" xr:uid="{00000000-0004-0000-0000-000070090000}"/>
    <hyperlink ref="E1518" r:id="rId2418" xr:uid="{00000000-0004-0000-0000-000071090000}"/>
    <hyperlink ref="G1518" r:id="rId2419" xr:uid="{00000000-0004-0000-0000-000072090000}"/>
    <hyperlink ref="E1519" r:id="rId2420" xr:uid="{00000000-0004-0000-0000-000073090000}"/>
    <hyperlink ref="G1519" r:id="rId2421" xr:uid="{00000000-0004-0000-0000-000074090000}"/>
    <hyperlink ref="E1520" r:id="rId2422" xr:uid="{00000000-0004-0000-0000-000075090000}"/>
    <hyperlink ref="G1520" r:id="rId2423" xr:uid="{00000000-0004-0000-0000-000076090000}"/>
    <hyperlink ref="E1521" r:id="rId2424" xr:uid="{00000000-0004-0000-0000-000077090000}"/>
    <hyperlink ref="G1521" r:id="rId2425" xr:uid="{00000000-0004-0000-0000-000078090000}"/>
    <hyperlink ref="E1522" r:id="rId2426" xr:uid="{00000000-0004-0000-0000-000079090000}"/>
    <hyperlink ref="G1522" r:id="rId2427" xr:uid="{00000000-0004-0000-0000-00007A090000}"/>
    <hyperlink ref="E1523" r:id="rId2428" xr:uid="{00000000-0004-0000-0000-00007B090000}"/>
    <hyperlink ref="G1523" r:id="rId2429" xr:uid="{00000000-0004-0000-0000-00007C090000}"/>
    <hyperlink ref="E1524" r:id="rId2430" xr:uid="{00000000-0004-0000-0000-00007D090000}"/>
    <hyperlink ref="G1524" r:id="rId2431" xr:uid="{00000000-0004-0000-0000-00007E090000}"/>
    <hyperlink ref="E1525" r:id="rId2432" xr:uid="{00000000-0004-0000-0000-00007F090000}"/>
    <hyperlink ref="G1525" r:id="rId2433" xr:uid="{00000000-0004-0000-0000-000080090000}"/>
    <hyperlink ref="E1526" r:id="rId2434" xr:uid="{00000000-0004-0000-0000-000081090000}"/>
    <hyperlink ref="G1526" r:id="rId2435" xr:uid="{00000000-0004-0000-0000-000082090000}"/>
    <hyperlink ref="E1527" r:id="rId2436" xr:uid="{00000000-0004-0000-0000-000083090000}"/>
    <hyperlink ref="G1527" r:id="rId2437" xr:uid="{00000000-0004-0000-0000-000084090000}"/>
    <hyperlink ref="E1528" r:id="rId2438" xr:uid="{00000000-0004-0000-0000-000085090000}"/>
    <hyperlink ref="G1528" r:id="rId2439" xr:uid="{00000000-0004-0000-0000-000086090000}"/>
    <hyperlink ref="E1529" r:id="rId2440" xr:uid="{00000000-0004-0000-0000-000087090000}"/>
    <hyperlink ref="G1529" r:id="rId2441" xr:uid="{00000000-0004-0000-0000-000088090000}"/>
    <hyperlink ref="E1530" r:id="rId2442" xr:uid="{00000000-0004-0000-0000-000089090000}"/>
    <hyperlink ref="G1530" r:id="rId2443" xr:uid="{00000000-0004-0000-0000-00008A090000}"/>
    <hyperlink ref="E1531" r:id="rId2444" xr:uid="{00000000-0004-0000-0000-00008B090000}"/>
    <hyperlink ref="G1531" r:id="rId2445" xr:uid="{00000000-0004-0000-0000-00008C090000}"/>
    <hyperlink ref="E1532" r:id="rId2446" xr:uid="{00000000-0004-0000-0000-00008D090000}"/>
    <hyperlink ref="G1532" r:id="rId2447" xr:uid="{00000000-0004-0000-0000-00008E090000}"/>
    <hyperlink ref="E1533" r:id="rId2448" xr:uid="{00000000-0004-0000-0000-00008F090000}"/>
    <hyperlink ref="G1533" r:id="rId2449" xr:uid="{00000000-0004-0000-0000-000090090000}"/>
    <hyperlink ref="E1534" r:id="rId2450" xr:uid="{00000000-0004-0000-0000-000091090000}"/>
    <hyperlink ref="G1534" r:id="rId2451" xr:uid="{00000000-0004-0000-0000-000092090000}"/>
    <hyperlink ref="E1535" r:id="rId2452" xr:uid="{00000000-0004-0000-0000-000093090000}"/>
    <hyperlink ref="G1535" r:id="rId2453" xr:uid="{00000000-0004-0000-0000-000094090000}"/>
    <hyperlink ref="E1536" r:id="rId2454" xr:uid="{00000000-0004-0000-0000-000095090000}"/>
    <hyperlink ref="G1536" r:id="rId2455" xr:uid="{00000000-0004-0000-0000-000096090000}"/>
    <hyperlink ref="E1537" r:id="rId2456" xr:uid="{00000000-0004-0000-0000-000097090000}"/>
    <hyperlink ref="G1537" r:id="rId2457" xr:uid="{00000000-0004-0000-0000-000098090000}"/>
    <hyperlink ref="E1538" r:id="rId2458" xr:uid="{00000000-0004-0000-0000-000099090000}"/>
    <hyperlink ref="G1538" r:id="rId2459" xr:uid="{00000000-0004-0000-0000-00009A090000}"/>
    <hyperlink ref="E1539" r:id="rId2460" xr:uid="{00000000-0004-0000-0000-00009B090000}"/>
    <hyperlink ref="G1539" r:id="rId2461" xr:uid="{00000000-0004-0000-0000-00009C090000}"/>
    <hyperlink ref="E1540" r:id="rId2462" xr:uid="{00000000-0004-0000-0000-00009D090000}"/>
    <hyperlink ref="G1540" r:id="rId2463" xr:uid="{00000000-0004-0000-0000-00009E090000}"/>
    <hyperlink ref="E1541" r:id="rId2464" xr:uid="{00000000-0004-0000-0000-00009F090000}"/>
    <hyperlink ref="G1541" r:id="rId2465" xr:uid="{00000000-0004-0000-0000-0000A0090000}"/>
    <hyperlink ref="E1542" r:id="rId2466" xr:uid="{00000000-0004-0000-0000-0000A1090000}"/>
    <hyperlink ref="G1542" r:id="rId2467" xr:uid="{00000000-0004-0000-0000-0000A2090000}"/>
    <hyperlink ref="E1543" r:id="rId2468" xr:uid="{00000000-0004-0000-0000-0000A3090000}"/>
    <hyperlink ref="G1543" r:id="rId2469" xr:uid="{00000000-0004-0000-0000-0000A4090000}"/>
    <hyperlink ref="E1544" r:id="rId2470" xr:uid="{00000000-0004-0000-0000-0000A5090000}"/>
    <hyperlink ref="G1544" r:id="rId2471" xr:uid="{00000000-0004-0000-0000-0000A6090000}"/>
    <hyperlink ref="E1545" r:id="rId2472" xr:uid="{00000000-0004-0000-0000-0000A7090000}"/>
    <hyperlink ref="G1545" r:id="rId2473" xr:uid="{00000000-0004-0000-0000-0000A8090000}"/>
    <hyperlink ref="E1546" r:id="rId2474" xr:uid="{00000000-0004-0000-0000-0000A9090000}"/>
    <hyperlink ref="G1546" r:id="rId2475" xr:uid="{00000000-0004-0000-0000-0000AA090000}"/>
    <hyperlink ref="E1547" r:id="rId2476" xr:uid="{00000000-0004-0000-0000-0000AB090000}"/>
    <hyperlink ref="G1547" r:id="rId2477" xr:uid="{00000000-0004-0000-0000-0000AC090000}"/>
    <hyperlink ref="E1548" r:id="rId2478" xr:uid="{00000000-0004-0000-0000-0000AD090000}"/>
    <hyperlink ref="G1548" r:id="rId2479" xr:uid="{00000000-0004-0000-0000-0000AE090000}"/>
    <hyperlink ref="E1549" r:id="rId2480" xr:uid="{00000000-0004-0000-0000-0000AF090000}"/>
    <hyperlink ref="G1549" r:id="rId2481" xr:uid="{00000000-0004-0000-0000-0000B0090000}"/>
    <hyperlink ref="E1550" r:id="rId2482" xr:uid="{00000000-0004-0000-0000-0000B1090000}"/>
    <hyperlink ref="G1550" r:id="rId2483" xr:uid="{00000000-0004-0000-0000-0000B2090000}"/>
    <hyperlink ref="E1551" r:id="rId2484" xr:uid="{00000000-0004-0000-0000-0000B3090000}"/>
    <hyperlink ref="G1551" r:id="rId2485" xr:uid="{00000000-0004-0000-0000-0000B4090000}"/>
    <hyperlink ref="E1552" r:id="rId2486" xr:uid="{00000000-0004-0000-0000-0000B5090000}"/>
    <hyperlink ref="G1552" r:id="rId2487" xr:uid="{00000000-0004-0000-0000-0000B6090000}"/>
    <hyperlink ref="E1553" r:id="rId2488" xr:uid="{00000000-0004-0000-0000-0000B7090000}"/>
    <hyperlink ref="G1553" r:id="rId2489" xr:uid="{00000000-0004-0000-0000-0000B8090000}"/>
    <hyperlink ref="E1554" r:id="rId2490" xr:uid="{00000000-0004-0000-0000-0000B9090000}"/>
    <hyperlink ref="G1554" r:id="rId2491" xr:uid="{00000000-0004-0000-0000-0000BA090000}"/>
    <hyperlink ref="E1555" r:id="rId2492" xr:uid="{00000000-0004-0000-0000-0000BB090000}"/>
    <hyperlink ref="G1555" r:id="rId2493" xr:uid="{00000000-0004-0000-0000-0000BC090000}"/>
    <hyperlink ref="E1556" r:id="rId2494" xr:uid="{00000000-0004-0000-0000-0000BD090000}"/>
    <hyperlink ref="G1556" r:id="rId2495" xr:uid="{00000000-0004-0000-0000-0000BE090000}"/>
    <hyperlink ref="E1557" r:id="rId2496" xr:uid="{00000000-0004-0000-0000-0000BF090000}"/>
    <hyperlink ref="G1557" r:id="rId2497" xr:uid="{00000000-0004-0000-0000-0000C0090000}"/>
    <hyperlink ref="E1558" r:id="rId2498" xr:uid="{00000000-0004-0000-0000-0000C1090000}"/>
    <hyperlink ref="G1558" r:id="rId2499" xr:uid="{00000000-0004-0000-0000-0000C2090000}"/>
    <hyperlink ref="E1559" r:id="rId2500" xr:uid="{00000000-0004-0000-0000-0000C3090000}"/>
    <hyperlink ref="G1559" r:id="rId2501" xr:uid="{00000000-0004-0000-0000-0000C4090000}"/>
    <hyperlink ref="E1560" r:id="rId2502" xr:uid="{00000000-0004-0000-0000-0000C5090000}"/>
    <hyperlink ref="G1560" r:id="rId2503" xr:uid="{00000000-0004-0000-0000-0000C6090000}"/>
    <hyperlink ref="E1561" r:id="rId2504" xr:uid="{00000000-0004-0000-0000-0000C7090000}"/>
    <hyperlink ref="G1561" r:id="rId2505" xr:uid="{00000000-0004-0000-0000-0000C8090000}"/>
    <hyperlink ref="E1562" r:id="rId2506" xr:uid="{00000000-0004-0000-0000-0000C9090000}"/>
    <hyperlink ref="G1562" r:id="rId2507" xr:uid="{00000000-0004-0000-0000-0000CA090000}"/>
    <hyperlink ref="E1563" r:id="rId2508" xr:uid="{00000000-0004-0000-0000-0000CB090000}"/>
    <hyperlink ref="G1563" r:id="rId2509" xr:uid="{00000000-0004-0000-0000-0000CC090000}"/>
    <hyperlink ref="E1564" r:id="rId2510" xr:uid="{00000000-0004-0000-0000-0000CD090000}"/>
    <hyperlink ref="G1564" r:id="rId2511" xr:uid="{00000000-0004-0000-0000-0000CE090000}"/>
    <hyperlink ref="E1565" r:id="rId2512" xr:uid="{00000000-0004-0000-0000-0000CF090000}"/>
    <hyperlink ref="G1565" r:id="rId2513" xr:uid="{00000000-0004-0000-0000-0000D0090000}"/>
    <hyperlink ref="E1566" r:id="rId2514" xr:uid="{00000000-0004-0000-0000-0000D1090000}"/>
    <hyperlink ref="G1566" r:id="rId2515" xr:uid="{00000000-0004-0000-0000-0000D2090000}"/>
    <hyperlink ref="E1567" r:id="rId2516" xr:uid="{00000000-0004-0000-0000-0000D3090000}"/>
    <hyperlink ref="G1567" r:id="rId2517" xr:uid="{00000000-0004-0000-0000-0000D4090000}"/>
    <hyperlink ref="E1568" r:id="rId2518" xr:uid="{00000000-0004-0000-0000-0000D5090000}"/>
    <hyperlink ref="G1568" r:id="rId2519" xr:uid="{00000000-0004-0000-0000-0000D6090000}"/>
    <hyperlink ref="E1569" r:id="rId2520" xr:uid="{00000000-0004-0000-0000-0000D7090000}"/>
    <hyperlink ref="G1569" r:id="rId2521" xr:uid="{00000000-0004-0000-0000-0000D8090000}"/>
    <hyperlink ref="E1570" r:id="rId2522" xr:uid="{00000000-0004-0000-0000-0000D9090000}"/>
    <hyperlink ref="G1570" r:id="rId2523" xr:uid="{00000000-0004-0000-0000-0000DA090000}"/>
    <hyperlink ref="E1571" r:id="rId2524" xr:uid="{00000000-0004-0000-0000-0000DB090000}"/>
    <hyperlink ref="G1571" r:id="rId2525" xr:uid="{00000000-0004-0000-0000-0000DC090000}"/>
    <hyperlink ref="E1572" r:id="rId2526" xr:uid="{00000000-0004-0000-0000-0000DD090000}"/>
    <hyperlink ref="G1572" r:id="rId2527" xr:uid="{00000000-0004-0000-0000-0000DE090000}"/>
    <hyperlink ref="E1573" r:id="rId2528" xr:uid="{00000000-0004-0000-0000-0000DF090000}"/>
    <hyperlink ref="G1573" r:id="rId2529" xr:uid="{00000000-0004-0000-0000-0000E0090000}"/>
    <hyperlink ref="E1574" r:id="rId2530" xr:uid="{00000000-0004-0000-0000-0000E1090000}"/>
    <hyperlink ref="G1574" r:id="rId2531" xr:uid="{00000000-0004-0000-0000-0000E2090000}"/>
    <hyperlink ref="E1575" r:id="rId2532" xr:uid="{00000000-0004-0000-0000-0000E3090000}"/>
    <hyperlink ref="G1575" r:id="rId2533" xr:uid="{00000000-0004-0000-0000-0000E4090000}"/>
    <hyperlink ref="E1576" r:id="rId2534" xr:uid="{00000000-0004-0000-0000-0000E5090000}"/>
    <hyperlink ref="G1576" r:id="rId2535" xr:uid="{00000000-0004-0000-0000-0000E6090000}"/>
    <hyperlink ref="E1577" r:id="rId2536" xr:uid="{00000000-0004-0000-0000-0000E7090000}"/>
    <hyperlink ref="G1577" r:id="rId2537" xr:uid="{00000000-0004-0000-0000-0000E8090000}"/>
    <hyperlink ref="E1578" r:id="rId2538" xr:uid="{00000000-0004-0000-0000-0000E9090000}"/>
    <hyperlink ref="G1578" r:id="rId2539" xr:uid="{00000000-0004-0000-0000-0000EA090000}"/>
    <hyperlink ref="E1579" r:id="rId2540" xr:uid="{00000000-0004-0000-0000-0000EB090000}"/>
    <hyperlink ref="G1579" r:id="rId2541" xr:uid="{00000000-0004-0000-0000-0000EC090000}"/>
    <hyperlink ref="E1580" r:id="rId2542" xr:uid="{00000000-0004-0000-0000-0000ED090000}"/>
    <hyperlink ref="G1580" r:id="rId2543" xr:uid="{00000000-0004-0000-0000-0000EE090000}"/>
    <hyperlink ref="E1581" r:id="rId2544" xr:uid="{00000000-0004-0000-0000-0000EF090000}"/>
    <hyperlink ref="G1581" r:id="rId2545" xr:uid="{00000000-0004-0000-0000-0000F0090000}"/>
    <hyperlink ref="E1582" r:id="rId2546" xr:uid="{00000000-0004-0000-0000-0000F1090000}"/>
    <hyperlink ref="G1582" r:id="rId2547" xr:uid="{00000000-0004-0000-0000-0000F2090000}"/>
    <hyperlink ref="E1583" r:id="rId2548" xr:uid="{00000000-0004-0000-0000-0000F3090000}"/>
    <hyperlink ref="G1583" r:id="rId2549" xr:uid="{00000000-0004-0000-0000-0000F4090000}"/>
    <hyperlink ref="E1584" r:id="rId2550" xr:uid="{00000000-0004-0000-0000-0000F5090000}"/>
    <hyperlink ref="G1584" r:id="rId2551" xr:uid="{00000000-0004-0000-0000-0000F6090000}"/>
    <hyperlink ref="E1585" r:id="rId2552" xr:uid="{00000000-0004-0000-0000-0000F7090000}"/>
    <hyperlink ref="G1585" r:id="rId2553" xr:uid="{00000000-0004-0000-0000-0000F8090000}"/>
    <hyperlink ref="E1586" r:id="rId2554" xr:uid="{00000000-0004-0000-0000-0000F9090000}"/>
    <hyperlink ref="G1586" r:id="rId2555" xr:uid="{00000000-0004-0000-0000-0000FA090000}"/>
    <hyperlink ref="E1587" r:id="rId2556" xr:uid="{00000000-0004-0000-0000-0000FB090000}"/>
    <hyperlink ref="G1587" r:id="rId2557" xr:uid="{00000000-0004-0000-0000-0000FC090000}"/>
    <hyperlink ref="E1588" r:id="rId2558" xr:uid="{00000000-0004-0000-0000-0000FD090000}"/>
    <hyperlink ref="G1588" r:id="rId2559" xr:uid="{00000000-0004-0000-0000-0000FE090000}"/>
    <hyperlink ref="E1589" r:id="rId2560" xr:uid="{00000000-0004-0000-0000-0000FF090000}"/>
    <hyperlink ref="G1589" r:id="rId2561" xr:uid="{00000000-0004-0000-0000-0000000A0000}"/>
    <hyperlink ref="E1590" r:id="rId2562" xr:uid="{00000000-0004-0000-0000-0000010A0000}"/>
    <hyperlink ref="G1590" r:id="rId2563" xr:uid="{00000000-0004-0000-0000-0000020A0000}"/>
    <hyperlink ref="E1591" r:id="rId2564" xr:uid="{00000000-0004-0000-0000-0000030A0000}"/>
    <hyperlink ref="G1591" r:id="rId2565" xr:uid="{00000000-0004-0000-0000-0000040A0000}"/>
    <hyperlink ref="E1592" r:id="rId2566" xr:uid="{00000000-0004-0000-0000-0000050A0000}"/>
    <hyperlink ref="G1592" r:id="rId2567" xr:uid="{00000000-0004-0000-0000-0000060A0000}"/>
    <hyperlink ref="E1593" r:id="rId2568" xr:uid="{00000000-0004-0000-0000-0000070A0000}"/>
    <hyperlink ref="G1593" r:id="rId2569" xr:uid="{00000000-0004-0000-0000-0000080A0000}"/>
    <hyperlink ref="E1594" r:id="rId2570" xr:uid="{00000000-0004-0000-0000-0000090A0000}"/>
    <hyperlink ref="G1594" r:id="rId2571" xr:uid="{00000000-0004-0000-0000-00000A0A0000}"/>
    <hyperlink ref="E1595" r:id="rId2572" xr:uid="{00000000-0004-0000-0000-00000B0A0000}"/>
    <hyperlink ref="G1595" r:id="rId2573" xr:uid="{00000000-0004-0000-0000-00000C0A0000}"/>
    <hyperlink ref="E1596" r:id="rId2574" xr:uid="{00000000-0004-0000-0000-00000D0A0000}"/>
    <hyperlink ref="G1596" r:id="rId2575" xr:uid="{00000000-0004-0000-0000-00000E0A0000}"/>
    <hyperlink ref="E1597" r:id="rId2576" xr:uid="{00000000-0004-0000-0000-00000F0A0000}"/>
    <hyperlink ref="G1597" r:id="rId2577" xr:uid="{00000000-0004-0000-0000-0000100A0000}"/>
    <hyperlink ref="E1598" r:id="rId2578" xr:uid="{00000000-0004-0000-0000-0000110A0000}"/>
    <hyperlink ref="G1598" r:id="rId2579" xr:uid="{00000000-0004-0000-0000-0000120A0000}"/>
    <hyperlink ref="E1599" r:id="rId2580" xr:uid="{00000000-0004-0000-0000-0000130A0000}"/>
    <hyperlink ref="G1599" r:id="rId2581" xr:uid="{00000000-0004-0000-0000-0000140A0000}"/>
    <hyperlink ref="E1600" r:id="rId2582" xr:uid="{00000000-0004-0000-0000-0000150A0000}"/>
    <hyperlink ref="G1600" r:id="rId2583" xr:uid="{00000000-0004-0000-0000-0000160A0000}"/>
    <hyperlink ref="E1601" r:id="rId2584" xr:uid="{00000000-0004-0000-0000-0000170A0000}"/>
    <hyperlink ref="G1601" r:id="rId2585" xr:uid="{00000000-0004-0000-0000-0000180A0000}"/>
    <hyperlink ref="E1602" r:id="rId2586" xr:uid="{00000000-0004-0000-0000-0000190A0000}"/>
    <hyperlink ref="G1602" r:id="rId2587" xr:uid="{00000000-0004-0000-0000-00001A0A0000}"/>
    <hyperlink ref="E1603" r:id="rId2588" xr:uid="{00000000-0004-0000-0000-00001B0A0000}"/>
    <hyperlink ref="G1603" r:id="rId2589" xr:uid="{00000000-0004-0000-0000-00001C0A0000}"/>
    <hyperlink ref="E1604" r:id="rId2590" xr:uid="{00000000-0004-0000-0000-00001D0A0000}"/>
    <hyperlink ref="G1604" r:id="rId2591" xr:uid="{00000000-0004-0000-0000-00001E0A0000}"/>
    <hyperlink ref="E1605" r:id="rId2592" xr:uid="{00000000-0004-0000-0000-00001F0A0000}"/>
    <hyperlink ref="G1605" r:id="rId2593" xr:uid="{00000000-0004-0000-0000-0000200A0000}"/>
    <hyperlink ref="E1606" r:id="rId2594" xr:uid="{00000000-0004-0000-0000-0000210A0000}"/>
    <hyperlink ref="G1606" r:id="rId2595" xr:uid="{00000000-0004-0000-0000-0000220A0000}"/>
    <hyperlink ref="E1607" r:id="rId2596" xr:uid="{00000000-0004-0000-0000-0000230A0000}"/>
    <hyperlink ref="G1607" r:id="rId2597" xr:uid="{00000000-0004-0000-0000-0000240A0000}"/>
    <hyperlink ref="E1608" r:id="rId2598" xr:uid="{00000000-0004-0000-0000-0000250A0000}"/>
    <hyperlink ref="G1608" r:id="rId2599" xr:uid="{00000000-0004-0000-0000-0000260A0000}"/>
    <hyperlink ref="E1609" r:id="rId2600" xr:uid="{00000000-0004-0000-0000-0000270A0000}"/>
    <hyperlink ref="G1609" r:id="rId2601" xr:uid="{00000000-0004-0000-0000-0000280A0000}"/>
    <hyperlink ref="E1610" r:id="rId2602" xr:uid="{00000000-0004-0000-0000-0000290A0000}"/>
    <hyperlink ref="G1610" r:id="rId2603" xr:uid="{00000000-0004-0000-0000-00002A0A0000}"/>
    <hyperlink ref="E1611" r:id="rId2604" xr:uid="{00000000-0004-0000-0000-00002B0A0000}"/>
    <hyperlink ref="G1611" r:id="rId2605" xr:uid="{00000000-0004-0000-0000-00002C0A0000}"/>
    <hyperlink ref="E1612" r:id="rId2606" xr:uid="{00000000-0004-0000-0000-00002D0A0000}"/>
    <hyperlink ref="G1612" r:id="rId2607" xr:uid="{00000000-0004-0000-0000-00002E0A0000}"/>
    <hyperlink ref="E1613" r:id="rId2608" xr:uid="{00000000-0004-0000-0000-00002F0A0000}"/>
    <hyperlink ref="G1613" r:id="rId2609" xr:uid="{00000000-0004-0000-0000-0000300A0000}"/>
    <hyperlink ref="E1614" r:id="rId2610" xr:uid="{00000000-0004-0000-0000-0000310A0000}"/>
    <hyperlink ref="G1614" r:id="rId2611" xr:uid="{00000000-0004-0000-0000-0000320A0000}"/>
    <hyperlink ref="E1615" r:id="rId2612" xr:uid="{00000000-0004-0000-0000-0000330A0000}"/>
    <hyperlink ref="G1615" r:id="rId2613" xr:uid="{00000000-0004-0000-0000-0000340A0000}"/>
    <hyperlink ref="E1616" r:id="rId2614" xr:uid="{00000000-0004-0000-0000-0000350A0000}"/>
    <hyperlink ref="G1616" r:id="rId2615" xr:uid="{00000000-0004-0000-0000-0000360A0000}"/>
    <hyperlink ref="E1617" r:id="rId2616" xr:uid="{00000000-0004-0000-0000-0000370A0000}"/>
    <hyperlink ref="G1617" r:id="rId2617" xr:uid="{00000000-0004-0000-0000-0000380A0000}"/>
    <hyperlink ref="E1618" r:id="rId2618" xr:uid="{00000000-0004-0000-0000-0000390A0000}"/>
    <hyperlink ref="G1618" r:id="rId2619" xr:uid="{00000000-0004-0000-0000-00003A0A0000}"/>
    <hyperlink ref="E1619" r:id="rId2620" xr:uid="{00000000-0004-0000-0000-00003B0A0000}"/>
    <hyperlink ref="G1619" r:id="rId2621" xr:uid="{00000000-0004-0000-0000-00003C0A0000}"/>
    <hyperlink ref="E1620" r:id="rId2622" xr:uid="{00000000-0004-0000-0000-00003D0A0000}"/>
    <hyperlink ref="G1620" r:id="rId2623" xr:uid="{00000000-0004-0000-0000-00003E0A0000}"/>
    <hyperlink ref="E1621" r:id="rId2624" xr:uid="{00000000-0004-0000-0000-00003F0A0000}"/>
    <hyperlink ref="G1621" r:id="rId2625" xr:uid="{00000000-0004-0000-0000-0000400A0000}"/>
    <hyperlink ref="E1622" r:id="rId2626" xr:uid="{00000000-0004-0000-0000-0000410A0000}"/>
    <hyperlink ref="G1622" r:id="rId2627" xr:uid="{00000000-0004-0000-0000-0000420A0000}"/>
    <hyperlink ref="E1623" r:id="rId2628" xr:uid="{00000000-0004-0000-0000-0000430A0000}"/>
    <hyperlink ref="G1623" r:id="rId2629" xr:uid="{00000000-0004-0000-0000-0000440A0000}"/>
    <hyperlink ref="E1624" r:id="rId2630" xr:uid="{00000000-0004-0000-0000-0000450A0000}"/>
    <hyperlink ref="G1624" r:id="rId2631" xr:uid="{00000000-0004-0000-0000-0000460A0000}"/>
    <hyperlink ref="E1625" r:id="rId2632" xr:uid="{00000000-0004-0000-0000-0000470A0000}"/>
    <hyperlink ref="G1625" r:id="rId2633" xr:uid="{00000000-0004-0000-0000-0000480A0000}"/>
    <hyperlink ref="E1626" r:id="rId2634" xr:uid="{00000000-0004-0000-0000-0000490A0000}"/>
    <hyperlink ref="G1626" r:id="rId2635" xr:uid="{00000000-0004-0000-0000-00004A0A0000}"/>
    <hyperlink ref="E1627" r:id="rId2636" xr:uid="{00000000-0004-0000-0000-00004B0A0000}"/>
    <hyperlink ref="G1627" r:id="rId2637" xr:uid="{00000000-0004-0000-0000-00004C0A0000}"/>
    <hyperlink ref="E1628" r:id="rId2638" xr:uid="{00000000-0004-0000-0000-00004D0A0000}"/>
    <hyperlink ref="G1628" r:id="rId2639" xr:uid="{00000000-0004-0000-0000-00004E0A0000}"/>
    <hyperlink ref="E1629" r:id="rId2640" xr:uid="{00000000-0004-0000-0000-00004F0A0000}"/>
    <hyperlink ref="G1629" r:id="rId2641" xr:uid="{00000000-0004-0000-0000-0000500A0000}"/>
    <hyperlink ref="E1630" r:id="rId2642" xr:uid="{00000000-0004-0000-0000-0000510A0000}"/>
    <hyperlink ref="G1630" r:id="rId2643" xr:uid="{00000000-0004-0000-0000-0000520A0000}"/>
    <hyperlink ref="E1631" r:id="rId2644" xr:uid="{00000000-0004-0000-0000-0000530A0000}"/>
    <hyperlink ref="G1631" r:id="rId2645" xr:uid="{00000000-0004-0000-0000-0000540A0000}"/>
    <hyperlink ref="E1632" r:id="rId2646" xr:uid="{00000000-0004-0000-0000-0000550A0000}"/>
    <hyperlink ref="G1632" r:id="rId2647" xr:uid="{00000000-0004-0000-0000-0000560A0000}"/>
    <hyperlink ref="E1633" r:id="rId2648" xr:uid="{00000000-0004-0000-0000-0000570A0000}"/>
    <hyperlink ref="G1633" r:id="rId2649" xr:uid="{00000000-0004-0000-0000-0000580A0000}"/>
    <hyperlink ref="E1634" r:id="rId2650" xr:uid="{00000000-0004-0000-0000-0000590A0000}"/>
    <hyperlink ref="G1634" r:id="rId2651" xr:uid="{00000000-0004-0000-0000-00005A0A0000}"/>
    <hyperlink ref="E1635" r:id="rId2652" xr:uid="{00000000-0004-0000-0000-00005B0A0000}"/>
    <hyperlink ref="G1635" r:id="rId2653" xr:uid="{00000000-0004-0000-0000-00005C0A0000}"/>
    <hyperlink ref="E1636" r:id="rId2654" xr:uid="{00000000-0004-0000-0000-00005D0A0000}"/>
    <hyperlink ref="G1636" r:id="rId2655" xr:uid="{00000000-0004-0000-0000-00005E0A0000}"/>
    <hyperlink ref="E1637" r:id="rId2656" xr:uid="{00000000-0004-0000-0000-00005F0A0000}"/>
    <hyperlink ref="G1637" r:id="rId2657" xr:uid="{00000000-0004-0000-0000-0000600A0000}"/>
    <hyperlink ref="E1638" r:id="rId2658" xr:uid="{00000000-0004-0000-0000-0000610A0000}"/>
    <hyperlink ref="G1638" r:id="rId2659" xr:uid="{00000000-0004-0000-0000-0000620A0000}"/>
    <hyperlink ref="E1639" r:id="rId2660" xr:uid="{00000000-0004-0000-0000-0000630A0000}"/>
    <hyperlink ref="G1639" r:id="rId2661" xr:uid="{00000000-0004-0000-0000-0000640A0000}"/>
    <hyperlink ref="E1640" r:id="rId2662" xr:uid="{00000000-0004-0000-0000-0000650A0000}"/>
    <hyperlink ref="G1640" r:id="rId2663" xr:uid="{00000000-0004-0000-0000-0000660A0000}"/>
    <hyperlink ref="E1641" r:id="rId2664" xr:uid="{00000000-0004-0000-0000-0000670A0000}"/>
    <hyperlink ref="G1641" r:id="rId2665" xr:uid="{00000000-0004-0000-0000-0000680A0000}"/>
    <hyperlink ref="E1642" r:id="rId2666" xr:uid="{00000000-0004-0000-0000-0000690A0000}"/>
    <hyperlink ref="G1642" r:id="rId2667" xr:uid="{00000000-0004-0000-0000-00006A0A0000}"/>
    <hyperlink ref="E1643" r:id="rId2668" xr:uid="{00000000-0004-0000-0000-00006B0A0000}"/>
    <hyperlink ref="G1643" r:id="rId2669" xr:uid="{00000000-0004-0000-0000-00006C0A0000}"/>
    <hyperlink ref="E1644" r:id="rId2670" xr:uid="{00000000-0004-0000-0000-00006D0A0000}"/>
    <hyperlink ref="G1644" r:id="rId2671" xr:uid="{00000000-0004-0000-0000-00006E0A0000}"/>
    <hyperlink ref="E1645" r:id="rId2672" xr:uid="{00000000-0004-0000-0000-00006F0A0000}"/>
    <hyperlink ref="G1645" r:id="rId2673" xr:uid="{00000000-0004-0000-0000-0000700A0000}"/>
    <hyperlink ref="E1646" r:id="rId2674" xr:uid="{00000000-0004-0000-0000-0000710A0000}"/>
    <hyperlink ref="G1646" r:id="rId2675" xr:uid="{00000000-0004-0000-0000-0000720A0000}"/>
    <hyperlink ref="E1647" r:id="rId2676" xr:uid="{00000000-0004-0000-0000-0000730A0000}"/>
    <hyperlink ref="G1647" r:id="rId2677" xr:uid="{00000000-0004-0000-0000-0000740A0000}"/>
    <hyperlink ref="E1648" r:id="rId2678" xr:uid="{00000000-0004-0000-0000-0000750A0000}"/>
    <hyperlink ref="G1648" r:id="rId2679" xr:uid="{00000000-0004-0000-0000-0000760A0000}"/>
    <hyperlink ref="E1649" r:id="rId2680" xr:uid="{00000000-0004-0000-0000-0000770A0000}"/>
    <hyperlink ref="G1649" r:id="rId2681" xr:uid="{00000000-0004-0000-0000-0000780A0000}"/>
    <hyperlink ref="E1650" r:id="rId2682" xr:uid="{00000000-0004-0000-0000-0000790A0000}"/>
    <hyperlink ref="G1650" r:id="rId2683" xr:uid="{00000000-0004-0000-0000-00007A0A0000}"/>
    <hyperlink ref="E1651" r:id="rId2684" xr:uid="{00000000-0004-0000-0000-00007B0A0000}"/>
    <hyperlink ref="G1651" r:id="rId2685" xr:uid="{00000000-0004-0000-0000-00007C0A0000}"/>
    <hyperlink ref="E1652" r:id="rId2686" xr:uid="{00000000-0004-0000-0000-00007D0A0000}"/>
    <hyperlink ref="G1652" r:id="rId2687" xr:uid="{00000000-0004-0000-0000-00007E0A0000}"/>
    <hyperlink ref="E1653" r:id="rId2688" xr:uid="{00000000-0004-0000-0000-00007F0A0000}"/>
    <hyperlink ref="G1653" r:id="rId2689" xr:uid="{00000000-0004-0000-0000-0000800A0000}"/>
    <hyperlink ref="E1654" r:id="rId2690" xr:uid="{00000000-0004-0000-0000-0000810A0000}"/>
    <hyperlink ref="G1654" r:id="rId2691" xr:uid="{00000000-0004-0000-0000-0000820A0000}"/>
    <hyperlink ref="E1655" r:id="rId2692" xr:uid="{00000000-0004-0000-0000-0000830A0000}"/>
    <hyperlink ref="G1655" r:id="rId2693" xr:uid="{00000000-0004-0000-0000-0000840A0000}"/>
    <hyperlink ref="E1656" r:id="rId2694" xr:uid="{00000000-0004-0000-0000-0000850A0000}"/>
    <hyperlink ref="G1656" r:id="rId2695" xr:uid="{00000000-0004-0000-0000-0000860A0000}"/>
    <hyperlink ref="E1657" r:id="rId2696" xr:uid="{00000000-0004-0000-0000-0000870A0000}"/>
    <hyperlink ref="G1657" r:id="rId2697" xr:uid="{00000000-0004-0000-0000-0000880A0000}"/>
    <hyperlink ref="E1658" r:id="rId2698" xr:uid="{00000000-0004-0000-0000-0000890A0000}"/>
    <hyperlink ref="G1658" r:id="rId2699" xr:uid="{00000000-0004-0000-0000-00008A0A0000}"/>
    <hyperlink ref="E1659" r:id="rId2700" xr:uid="{00000000-0004-0000-0000-00008B0A0000}"/>
    <hyperlink ref="G1659" r:id="rId2701" xr:uid="{00000000-0004-0000-0000-00008C0A0000}"/>
    <hyperlink ref="E1660" r:id="rId2702" xr:uid="{00000000-0004-0000-0000-00008D0A0000}"/>
    <hyperlink ref="G1660" r:id="rId2703" xr:uid="{00000000-0004-0000-0000-00008E0A0000}"/>
    <hyperlink ref="E1661" r:id="rId2704" xr:uid="{00000000-0004-0000-0000-00008F0A0000}"/>
    <hyperlink ref="G1661" r:id="rId2705" xr:uid="{00000000-0004-0000-0000-0000900A0000}"/>
    <hyperlink ref="E1662" r:id="rId2706" xr:uid="{00000000-0004-0000-0000-0000910A0000}"/>
    <hyperlink ref="G1662" r:id="rId2707" xr:uid="{00000000-0004-0000-0000-0000920A0000}"/>
    <hyperlink ref="E1663" r:id="rId2708" xr:uid="{00000000-0004-0000-0000-0000930A0000}"/>
    <hyperlink ref="G1663" r:id="rId2709" xr:uid="{00000000-0004-0000-0000-0000940A0000}"/>
    <hyperlink ref="E1664" r:id="rId2710" xr:uid="{00000000-0004-0000-0000-0000950A0000}"/>
    <hyperlink ref="G1664" r:id="rId2711" xr:uid="{00000000-0004-0000-0000-0000960A0000}"/>
    <hyperlink ref="E1665" r:id="rId2712" xr:uid="{00000000-0004-0000-0000-0000970A0000}"/>
    <hyperlink ref="G1665" r:id="rId2713" xr:uid="{00000000-0004-0000-0000-0000980A0000}"/>
    <hyperlink ref="E1666" r:id="rId2714" xr:uid="{00000000-0004-0000-0000-0000990A0000}"/>
    <hyperlink ref="G1666" r:id="rId2715" xr:uid="{00000000-0004-0000-0000-00009A0A0000}"/>
    <hyperlink ref="E1667" r:id="rId2716" xr:uid="{00000000-0004-0000-0000-00009B0A0000}"/>
    <hyperlink ref="G1667" r:id="rId2717" xr:uid="{00000000-0004-0000-0000-00009C0A0000}"/>
    <hyperlink ref="E1668" r:id="rId2718" xr:uid="{00000000-0004-0000-0000-00009D0A0000}"/>
    <hyperlink ref="G1668" r:id="rId2719" xr:uid="{00000000-0004-0000-0000-00009E0A0000}"/>
    <hyperlink ref="E1669" r:id="rId2720" xr:uid="{00000000-0004-0000-0000-00009F0A0000}"/>
    <hyperlink ref="G1669" r:id="rId2721" xr:uid="{00000000-0004-0000-0000-0000A00A0000}"/>
    <hyperlink ref="E1670" r:id="rId2722" xr:uid="{00000000-0004-0000-0000-0000A10A0000}"/>
    <hyperlink ref="G1670" r:id="rId2723" xr:uid="{00000000-0004-0000-0000-0000A20A0000}"/>
    <hyperlink ref="E1671" r:id="rId2724" xr:uid="{00000000-0004-0000-0000-0000A30A0000}"/>
    <hyperlink ref="G1671" r:id="rId2725" xr:uid="{00000000-0004-0000-0000-0000A40A0000}"/>
    <hyperlink ref="E1672" r:id="rId2726" xr:uid="{00000000-0004-0000-0000-0000A50A0000}"/>
    <hyperlink ref="G1672" r:id="rId2727" xr:uid="{00000000-0004-0000-0000-0000A60A0000}"/>
    <hyperlink ref="E1673" r:id="rId2728" xr:uid="{00000000-0004-0000-0000-0000A70A0000}"/>
    <hyperlink ref="G1673" r:id="rId2729" xr:uid="{00000000-0004-0000-0000-0000A80A0000}"/>
    <hyperlink ref="E1674" r:id="rId2730" xr:uid="{00000000-0004-0000-0000-0000A90A0000}"/>
    <hyperlink ref="G1674" r:id="rId2731" xr:uid="{00000000-0004-0000-0000-0000AA0A0000}"/>
    <hyperlink ref="E1675" r:id="rId2732" xr:uid="{00000000-0004-0000-0000-0000AB0A0000}"/>
    <hyperlink ref="G1675" r:id="rId2733" xr:uid="{00000000-0004-0000-0000-0000AC0A0000}"/>
    <hyperlink ref="E1676" r:id="rId2734" xr:uid="{00000000-0004-0000-0000-0000AD0A0000}"/>
    <hyperlink ref="G1676" r:id="rId2735" xr:uid="{00000000-0004-0000-0000-0000AE0A0000}"/>
    <hyperlink ref="E1677" r:id="rId2736" xr:uid="{00000000-0004-0000-0000-0000AF0A0000}"/>
    <hyperlink ref="G1677" r:id="rId2737" xr:uid="{00000000-0004-0000-0000-0000B00A0000}"/>
    <hyperlink ref="E1678" r:id="rId2738" xr:uid="{00000000-0004-0000-0000-0000B10A0000}"/>
    <hyperlink ref="G1678" r:id="rId2739" xr:uid="{00000000-0004-0000-0000-0000B20A0000}"/>
    <hyperlink ref="E1679" r:id="rId2740" xr:uid="{00000000-0004-0000-0000-0000B30A0000}"/>
    <hyperlink ref="G1679" r:id="rId2741" xr:uid="{00000000-0004-0000-0000-0000B40A0000}"/>
    <hyperlink ref="E1680" r:id="rId2742" xr:uid="{00000000-0004-0000-0000-0000B50A0000}"/>
    <hyperlink ref="G1680" r:id="rId2743" xr:uid="{00000000-0004-0000-0000-0000B60A0000}"/>
    <hyperlink ref="E1681" r:id="rId2744" xr:uid="{00000000-0004-0000-0000-0000B70A0000}"/>
    <hyperlink ref="G1681" r:id="rId2745" xr:uid="{00000000-0004-0000-0000-0000B80A0000}"/>
    <hyperlink ref="E1682" r:id="rId2746" xr:uid="{00000000-0004-0000-0000-0000B90A0000}"/>
    <hyperlink ref="G1682" r:id="rId2747" xr:uid="{00000000-0004-0000-0000-0000BA0A0000}"/>
    <hyperlink ref="E1683" r:id="rId2748" xr:uid="{00000000-0004-0000-0000-0000BB0A0000}"/>
    <hyperlink ref="G1683" r:id="rId2749" xr:uid="{00000000-0004-0000-0000-0000BC0A0000}"/>
    <hyperlink ref="E1684" r:id="rId2750" xr:uid="{00000000-0004-0000-0000-0000BD0A0000}"/>
    <hyperlink ref="G1684" r:id="rId2751" xr:uid="{00000000-0004-0000-0000-0000BE0A0000}"/>
    <hyperlink ref="E1685" r:id="rId2752" xr:uid="{00000000-0004-0000-0000-0000BF0A0000}"/>
    <hyperlink ref="G1685" r:id="rId2753" xr:uid="{00000000-0004-0000-0000-0000C00A0000}"/>
    <hyperlink ref="E1686" r:id="rId2754" xr:uid="{00000000-0004-0000-0000-0000C10A0000}"/>
    <hyperlink ref="G1686" r:id="rId2755" xr:uid="{00000000-0004-0000-0000-0000C20A0000}"/>
    <hyperlink ref="E1687" r:id="rId2756" xr:uid="{00000000-0004-0000-0000-0000C30A0000}"/>
    <hyperlink ref="G1687" r:id="rId2757" xr:uid="{00000000-0004-0000-0000-0000C40A0000}"/>
    <hyperlink ref="E1688" r:id="rId2758" xr:uid="{00000000-0004-0000-0000-0000C50A0000}"/>
    <hyperlink ref="G1688" r:id="rId2759" xr:uid="{00000000-0004-0000-0000-0000C60A0000}"/>
    <hyperlink ref="E1689" r:id="rId2760" xr:uid="{00000000-0004-0000-0000-0000C70A0000}"/>
    <hyperlink ref="G1689" r:id="rId2761" xr:uid="{00000000-0004-0000-0000-0000C80A0000}"/>
    <hyperlink ref="E1690" r:id="rId2762" xr:uid="{00000000-0004-0000-0000-0000C90A0000}"/>
    <hyperlink ref="G1690" r:id="rId2763" xr:uid="{00000000-0004-0000-0000-0000CA0A0000}"/>
    <hyperlink ref="E1691" r:id="rId2764" xr:uid="{00000000-0004-0000-0000-0000CB0A0000}"/>
    <hyperlink ref="G1691" r:id="rId2765" xr:uid="{00000000-0004-0000-0000-0000CC0A0000}"/>
    <hyperlink ref="E1692" r:id="rId2766" xr:uid="{00000000-0004-0000-0000-0000CD0A0000}"/>
    <hyperlink ref="G1692" r:id="rId2767" xr:uid="{00000000-0004-0000-0000-0000CE0A0000}"/>
    <hyperlink ref="E1693" r:id="rId2768" xr:uid="{00000000-0004-0000-0000-0000CF0A0000}"/>
    <hyperlink ref="G1693" r:id="rId2769" xr:uid="{00000000-0004-0000-0000-0000D00A0000}"/>
    <hyperlink ref="E1694" r:id="rId2770" xr:uid="{00000000-0004-0000-0000-0000D10A0000}"/>
    <hyperlink ref="G1694" r:id="rId2771" xr:uid="{00000000-0004-0000-0000-0000D20A0000}"/>
    <hyperlink ref="E1695" r:id="rId2772" xr:uid="{00000000-0004-0000-0000-0000D30A0000}"/>
    <hyperlink ref="G1695" r:id="rId2773" xr:uid="{00000000-0004-0000-0000-0000D40A0000}"/>
    <hyperlink ref="E1696" r:id="rId2774" xr:uid="{00000000-0004-0000-0000-0000D50A0000}"/>
    <hyperlink ref="G1696" r:id="rId2775" xr:uid="{00000000-0004-0000-0000-0000D60A0000}"/>
    <hyperlink ref="E1697" r:id="rId2776" xr:uid="{00000000-0004-0000-0000-0000D70A0000}"/>
    <hyperlink ref="G1697" r:id="rId2777" xr:uid="{00000000-0004-0000-0000-0000D80A0000}"/>
    <hyperlink ref="E1698" r:id="rId2778" xr:uid="{00000000-0004-0000-0000-0000D90A0000}"/>
    <hyperlink ref="G1698" r:id="rId2779" xr:uid="{00000000-0004-0000-0000-0000DA0A0000}"/>
    <hyperlink ref="E1699" r:id="rId2780" xr:uid="{00000000-0004-0000-0000-0000DB0A0000}"/>
    <hyperlink ref="G1699" r:id="rId2781" xr:uid="{00000000-0004-0000-0000-0000DC0A0000}"/>
    <hyperlink ref="E1700" r:id="rId2782" xr:uid="{00000000-0004-0000-0000-0000DD0A0000}"/>
    <hyperlink ref="G1700" r:id="rId2783" xr:uid="{00000000-0004-0000-0000-0000DE0A0000}"/>
    <hyperlink ref="E1701" r:id="rId2784" xr:uid="{00000000-0004-0000-0000-0000DF0A0000}"/>
    <hyperlink ref="G1701" r:id="rId2785" xr:uid="{00000000-0004-0000-0000-0000E00A0000}"/>
    <hyperlink ref="E1702" r:id="rId2786" xr:uid="{00000000-0004-0000-0000-0000E10A0000}"/>
    <hyperlink ref="G1702" r:id="rId2787" xr:uid="{00000000-0004-0000-0000-0000E20A0000}"/>
    <hyperlink ref="E1703" r:id="rId2788" xr:uid="{00000000-0004-0000-0000-0000E30A0000}"/>
    <hyperlink ref="G1703" r:id="rId2789" xr:uid="{00000000-0004-0000-0000-0000E40A0000}"/>
    <hyperlink ref="E1704" r:id="rId2790" xr:uid="{00000000-0004-0000-0000-0000E50A0000}"/>
    <hyperlink ref="G1704" r:id="rId2791" xr:uid="{00000000-0004-0000-0000-0000E60A0000}"/>
    <hyperlink ref="E1705" r:id="rId2792" xr:uid="{00000000-0004-0000-0000-0000E70A0000}"/>
    <hyperlink ref="G1705" r:id="rId2793" xr:uid="{00000000-0004-0000-0000-0000E80A0000}"/>
    <hyperlink ref="E1706" r:id="rId2794" xr:uid="{00000000-0004-0000-0000-0000E90A0000}"/>
    <hyperlink ref="G1706" r:id="rId2795" xr:uid="{00000000-0004-0000-0000-0000EA0A0000}"/>
    <hyperlink ref="E1707" r:id="rId2796" xr:uid="{00000000-0004-0000-0000-0000EB0A0000}"/>
    <hyperlink ref="G1707" r:id="rId2797" xr:uid="{00000000-0004-0000-0000-0000EC0A0000}"/>
    <hyperlink ref="E1708" r:id="rId2798" xr:uid="{00000000-0004-0000-0000-0000ED0A0000}"/>
    <hyperlink ref="G1708" r:id="rId2799" xr:uid="{00000000-0004-0000-0000-0000EE0A0000}"/>
    <hyperlink ref="E1709" r:id="rId2800" xr:uid="{00000000-0004-0000-0000-0000EF0A0000}"/>
    <hyperlink ref="G1709" r:id="rId2801" xr:uid="{00000000-0004-0000-0000-0000F00A0000}"/>
    <hyperlink ref="E1710" r:id="rId2802" xr:uid="{00000000-0004-0000-0000-0000F10A0000}"/>
    <hyperlink ref="G1710" r:id="rId2803" xr:uid="{00000000-0004-0000-0000-0000F20A0000}"/>
    <hyperlink ref="E1711" r:id="rId2804" xr:uid="{00000000-0004-0000-0000-0000F30A0000}"/>
    <hyperlink ref="G1711" r:id="rId2805" xr:uid="{00000000-0004-0000-0000-0000F40A0000}"/>
    <hyperlink ref="E1712" r:id="rId2806" xr:uid="{00000000-0004-0000-0000-0000F50A0000}"/>
    <hyperlink ref="G1712" r:id="rId2807" xr:uid="{00000000-0004-0000-0000-0000F60A0000}"/>
    <hyperlink ref="E1713" r:id="rId2808" xr:uid="{00000000-0004-0000-0000-0000F70A0000}"/>
    <hyperlink ref="G1713" r:id="rId2809" xr:uid="{00000000-0004-0000-0000-0000F80A0000}"/>
    <hyperlink ref="E1714" r:id="rId2810" xr:uid="{00000000-0004-0000-0000-0000F90A0000}"/>
    <hyperlink ref="G1714" r:id="rId2811" xr:uid="{00000000-0004-0000-0000-0000FA0A0000}"/>
    <hyperlink ref="E1715" r:id="rId2812" xr:uid="{00000000-0004-0000-0000-0000FB0A0000}"/>
    <hyperlink ref="G1715" r:id="rId2813" xr:uid="{00000000-0004-0000-0000-0000FC0A0000}"/>
    <hyperlink ref="E1716" r:id="rId2814" xr:uid="{00000000-0004-0000-0000-0000FD0A0000}"/>
    <hyperlink ref="G1716" r:id="rId2815" xr:uid="{00000000-0004-0000-0000-0000FE0A0000}"/>
    <hyperlink ref="E1717" r:id="rId2816" xr:uid="{00000000-0004-0000-0000-0000FF0A0000}"/>
    <hyperlink ref="G1717" r:id="rId2817" xr:uid="{00000000-0004-0000-0000-0000000B0000}"/>
    <hyperlink ref="E1718" r:id="rId2818" xr:uid="{00000000-0004-0000-0000-0000010B0000}"/>
    <hyperlink ref="G1718" r:id="rId2819" xr:uid="{00000000-0004-0000-0000-0000020B0000}"/>
    <hyperlink ref="E1719" r:id="rId2820" xr:uid="{00000000-0004-0000-0000-0000030B0000}"/>
    <hyperlink ref="G1719" r:id="rId2821" xr:uid="{00000000-0004-0000-0000-0000040B0000}"/>
    <hyperlink ref="E1720" r:id="rId2822" xr:uid="{00000000-0004-0000-0000-0000050B0000}"/>
    <hyperlink ref="G1720" r:id="rId2823" xr:uid="{00000000-0004-0000-0000-0000060B0000}"/>
    <hyperlink ref="E1721" r:id="rId2824" xr:uid="{00000000-0004-0000-0000-0000070B0000}"/>
    <hyperlink ref="G1721" r:id="rId2825" xr:uid="{00000000-0004-0000-0000-0000080B0000}"/>
    <hyperlink ref="E1722" r:id="rId2826" xr:uid="{00000000-0004-0000-0000-0000090B0000}"/>
    <hyperlink ref="G1722" r:id="rId2827" xr:uid="{00000000-0004-0000-0000-00000A0B0000}"/>
    <hyperlink ref="E1723" r:id="rId2828" xr:uid="{00000000-0004-0000-0000-00000B0B0000}"/>
    <hyperlink ref="G1723" r:id="rId2829" xr:uid="{00000000-0004-0000-0000-00000C0B0000}"/>
    <hyperlink ref="E1724" r:id="rId2830" xr:uid="{00000000-0004-0000-0000-00000D0B0000}"/>
    <hyperlink ref="G1724" r:id="rId2831" xr:uid="{00000000-0004-0000-0000-00000E0B0000}"/>
    <hyperlink ref="E1725" r:id="rId2832" xr:uid="{00000000-0004-0000-0000-00000F0B0000}"/>
    <hyperlink ref="G1725" r:id="rId2833" xr:uid="{00000000-0004-0000-0000-0000100B0000}"/>
    <hyperlink ref="E1726" r:id="rId2834" xr:uid="{00000000-0004-0000-0000-0000110B0000}"/>
    <hyperlink ref="G1726" r:id="rId2835" xr:uid="{00000000-0004-0000-0000-0000120B0000}"/>
    <hyperlink ref="E1727" r:id="rId2836" xr:uid="{00000000-0004-0000-0000-0000130B0000}"/>
    <hyperlink ref="G1727" r:id="rId2837" xr:uid="{00000000-0004-0000-0000-0000140B0000}"/>
    <hyperlink ref="E1728" r:id="rId2838" xr:uid="{00000000-0004-0000-0000-0000150B0000}"/>
    <hyperlink ref="G1728" r:id="rId2839" xr:uid="{00000000-0004-0000-0000-0000160B0000}"/>
    <hyperlink ref="E1729" r:id="rId2840" xr:uid="{00000000-0004-0000-0000-0000170B0000}"/>
    <hyperlink ref="G1729" r:id="rId2841" xr:uid="{00000000-0004-0000-0000-0000180B0000}"/>
    <hyperlink ref="E1730" r:id="rId2842" xr:uid="{00000000-0004-0000-0000-0000190B0000}"/>
    <hyperlink ref="G1730" r:id="rId2843" xr:uid="{00000000-0004-0000-0000-00001A0B0000}"/>
    <hyperlink ref="E1731" r:id="rId2844" xr:uid="{00000000-0004-0000-0000-00001B0B0000}"/>
    <hyperlink ref="G1731" r:id="rId2845" xr:uid="{00000000-0004-0000-0000-00001C0B0000}"/>
    <hyperlink ref="E1732" r:id="rId2846" xr:uid="{00000000-0004-0000-0000-00001D0B0000}"/>
    <hyperlink ref="G1732" r:id="rId2847" xr:uid="{00000000-0004-0000-0000-00001E0B0000}"/>
    <hyperlink ref="E1733" r:id="rId2848" xr:uid="{00000000-0004-0000-0000-00001F0B0000}"/>
    <hyperlink ref="G1733" r:id="rId2849" xr:uid="{00000000-0004-0000-0000-0000200B0000}"/>
    <hyperlink ref="E1734" r:id="rId2850" xr:uid="{00000000-0004-0000-0000-0000210B0000}"/>
    <hyperlink ref="G1734" r:id="rId2851" xr:uid="{00000000-0004-0000-0000-0000220B0000}"/>
    <hyperlink ref="E1735" r:id="rId2852" xr:uid="{00000000-0004-0000-0000-0000230B0000}"/>
    <hyperlink ref="G1735" r:id="rId2853" xr:uid="{00000000-0004-0000-0000-0000240B0000}"/>
    <hyperlink ref="E1736" r:id="rId2854" xr:uid="{00000000-0004-0000-0000-0000250B0000}"/>
    <hyperlink ref="G1736" r:id="rId2855" xr:uid="{00000000-0004-0000-0000-0000260B0000}"/>
    <hyperlink ref="E1737" r:id="rId2856" xr:uid="{00000000-0004-0000-0000-0000270B0000}"/>
    <hyperlink ref="G1737" r:id="rId2857" xr:uid="{00000000-0004-0000-0000-0000280B0000}"/>
    <hyperlink ref="E1738" r:id="rId2858" xr:uid="{00000000-0004-0000-0000-0000290B0000}"/>
    <hyperlink ref="G1738" r:id="rId2859" xr:uid="{00000000-0004-0000-0000-00002A0B0000}"/>
    <hyperlink ref="E1739" r:id="rId2860" xr:uid="{00000000-0004-0000-0000-00002B0B0000}"/>
    <hyperlink ref="G1739" r:id="rId2861" xr:uid="{00000000-0004-0000-0000-00002C0B0000}"/>
    <hyperlink ref="E1740" r:id="rId2862" xr:uid="{00000000-0004-0000-0000-00002D0B0000}"/>
    <hyperlink ref="G1740" r:id="rId2863" xr:uid="{00000000-0004-0000-0000-00002E0B0000}"/>
    <hyperlink ref="E1741" r:id="rId2864" xr:uid="{00000000-0004-0000-0000-00002F0B0000}"/>
    <hyperlink ref="G1741" r:id="rId2865" xr:uid="{00000000-0004-0000-0000-0000300B0000}"/>
    <hyperlink ref="E1742" r:id="rId2866" xr:uid="{00000000-0004-0000-0000-0000310B0000}"/>
    <hyperlink ref="G1742" r:id="rId2867" xr:uid="{00000000-0004-0000-0000-0000320B0000}"/>
    <hyperlink ref="E1743" r:id="rId2868" xr:uid="{00000000-0004-0000-0000-0000330B0000}"/>
    <hyperlink ref="G1743" r:id="rId2869" xr:uid="{00000000-0004-0000-0000-0000340B0000}"/>
    <hyperlink ref="E1744" r:id="rId2870" xr:uid="{00000000-0004-0000-0000-0000350B0000}"/>
    <hyperlink ref="G1744" r:id="rId2871" xr:uid="{00000000-0004-0000-0000-0000360B0000}"/>
    <hyperlink ref="E1745" r:id="rId2872" xr:uid="{00000000-0004-0000-0000-0000370B0000}"/>
    <hyperlink ref="G1745" r:id="rId2873" xr:uid="{00000000-0004-0000-0000-0000380B0000}"/>
    <hyperlink ref="E1746" r:id="rId2874" xr:uid="{00000000-0004-0000-0000-0000390B0000}"/>
    <hyperlink ref="G1746" r:id="rId2875" xr:uid="{00000000-0004-0000-0000-00003A0B0000}"/>
    <hyperlink ref="E1747" r:id="rId2876" xr:uid="{00000000-0004-0000-0000-00003B0B0000}"/>
    <hyperlink ref="G1747" r:id="rId2877" xr:uid="{00000000-0004-0000-0000-00003C0B0000}"/>
    <hyperlink ref="E1748" r:id="rId2878" xr:uid="{00000000-0004-0000-0000-00003D0B0000}"/>
    <hyperlink ref="G1748" r:id="rId2879" xr:uid="{00000000-0004-0000-0000-00003E0B0000}"/>
    <hyperlink ref="E1749" r:id="rId2880" xr:uid="{00000000-0004-0000-0000-00003F0B0000}"/>
    <hyperlink ref="E1750" r:id="rId2881" xr:uid="{00000000-0004-0000-0000-0000400B0000}"/>
    <hyperlink ref="G1750" r:id="rId2882" xr:uid="{00000000-0004-0000-0000-0000410B0000}"/>
    <hyperlink ref="E1751" r:id="rId2883" xr:uid="{00000000-0004-0000-0000-0000420B0000}"/>
    <hyperlink ref="G1751" r:id="rId2884" xr:uid="{00000000-0004-0000-0000-0000430B0000}"/>
    <hyperlink ref="E1752" r:id="rId2885" xr:uid="{00000000-0004-0000-0000-0000440B0000}"/>
    <hyperlink ref="G1752" r:id="rId2886" xr:uid="{00000000-0004-0000-0000-0000450B0000}"/>
    <hyperlink ref="E1753" r:id="rId2887" xr:uid="{00000000-0004-0000-0000-0000460B0000}"/>
    <hyperlink ref="G1753" r:id="rId2888" xr:uid="{00000000-0004-0000-0000-0000470B0000}"/>
    <hyperlink ref="E1754" r:id="rId2889" xr:uid="{00000000-0004-0000-0000-0000480B0000}"/>
    <hyperlink ref="G1754" r:id="rId2890" xr:uid="{00000000-0004-0000-0000-0000490B0000}"/>
    <hyperlink ref="E1755" r:id="rId2891" xr:uid="{00000000-0004-0000-0000-00004A0B0000}"/>
    <hyperlink ref="G1755" r:id="rId2892" xr:uid="{00000000-0004-0000-0000-00004B0B0000}"/>
    <hyperlink ref="E1756" r:id="rId2893" xr:uid="{00000000-0004-0000-0000-00004C0B0000}"/>
    <hyperlink ref="G1756" r:id="rId2894" xr:uid="{00000000-0004-0000-0000-00004D0B0000}"/>
    <hyperlink ref="E1757" r:id="rId2895" xr:uid="{00000000-0004-0000-0000-00004E0B0000}"/>
    <hyperlink ref="G1757" r:id="rId2896" xr:uid="{00000000-0004-0000-0000-00004F0B0000}"/>
    <hyperlink ref="E1758" r:id="rId2897" xr:uid="{00000000-0004-0000-0000-0000500B0000}"/>
    <hyperlink ref="G1758" r:id="rId2898" xr:uid="{00000000-0004-0000-0000-0000510B0000}"/>
    <hyperlink ref="E1759" r:id="rId2899" xr:uid="{00000000-0004-0000-0000-0000520B0000}"/>
    <hyperlink ref="G1759" r:id="rId2900" xr:uid="{00000000-0004-0000-0000-0000530B0000}"/>
    <hyperlink ref="E1760" r:id="rId2901" xr:uid="{00000000-0004-0000-0000-0000540B0000}"/>
    <hyperlink ref="G1760" r:id="rId2902" xr:uid="{00000000-0004-0000-0000-0000550B0000}"/>
    <hyperlink ref="E1761" r:id="rId2903" xr:uid="{00000000-0004-0000-0000-0000560B0000}"/>
    <hyperlink ref="G1761" r:id="rId2904" xr:uid="{00000000-0004-0000-0000-0000570B0000}"/>
    <hyperlink ref="E1762" r:id="rId2905" xr:uid="{00000000-0004-0000-0000-0000580B0000}"/>
    <hyperlink ref="G1762" r:id="rId2906" xr:uid="{00000000-0004-0000-0000-0000590B0000}"/>
    <hyperlink ref="E1763" r:id="rId2907" xr:uid="{00000000-0004-0000-0000-00005A0B0000}"/>
    <hyperlink ref="G1763" r:id="rId2908" xr:uid="{00000000-0004-0000-0000-00005B0B0000}"/>
    <hyperlink ref="E1764" r:id="rId2909" xr:uid="{00000000-0004-0000-0000-00005C0B0000}"/>
    <hyperlink ref="G1764" r:id="rId2910" xr:uid="{00000000-0004-0000-0000-00005D0B0000}"/>
    <hyperlink ref="E1765" r:id="rId2911" xr:uid="{00000000-0004-0000-0000-00005E0B0000}"/>
    <hyperlink ref="G1765" r:id="rId2912" xr:uid="{00000000-0004-0000-0000-00005F0B0000}"/>
    <hyperlink ref="E1766" r:id="rId2913" xr:uid="{00000000-0004-0000-0000-0000600B0000}"/>
    <hyperlink ref="G1766" r:id="rId2914" xr:uid="{00000000-0004-0000-0000-0000610B0000}"/>
    <hyperlink ref="E1767" r:id="rId2915" xr:uid="{00000000-0004-0000-0000-0000620B0000}"/>
    <hyperlink ref="G1767" r:id="rId2916" xr:uid="{00000000-0004-0000-0000-0000630B0000}"/>
    <hyperlink ref="E1768" r:id="rId2917" xr:uid="{00000000-0004-0000-0000-0000640B0000}"/>
    <hyperlink ref="G1768" r:id="rId2918" xr:uid="{00000000-0004-0000-0000-0000650B0000}"/>
    <hyperlink ref="E1769" r:id="rId2919" xr:uid="{00000000-0004-0000-0000-0000660B0000}"/>
    <hyperlink ref="G1769" r:id="rId2920" xr:uid="{00000000-0004-0000-0000-0000670B0000}"/>
    <hyperlink ref="E1770" r:id="rId2921" xr:uid="{00000000-0004-0000-0000-0000680B0000}"/>
    <hyperlink ref="G1770" r:id="rId2922" xr:uid="{00000000-0004-0000-0000-0000690B0000}"/>
    <hyperlink ref="E1771" r:id="rId2923" xr:uid="{00000000-0004-0000-0000-00006A0B0000}"/>
    <hyperlink ref="G1771" r:id="rId2924" xr:uid="{00000000-0004-0000-0000-00006B0B0000}"/>
    <hyperlink ref="E1772" r:id="rId2925" xr:uid="{00000000-0004-0000-0000-00006C0B0000}"/>
    <hyperlink ref="G1772" r:id="rId2926" xr:uid="{00000000-0004-0000-0000-00006D0B0000}"/>
    <hyperlink ref="E1773" r:id="rId2927" xr:uid="{00000000-0004-0000-0000-00006E0B0000}"/>
    <hyperlink ref="G1773" r:id="rId2928" xr:uid="{00000000-0004-0000-0000-00006F0B0000}"/>
    <hyperlink ref="E1774" r:id="rId2929" xr:uid="{00000000-0004-0000-0000-0000700B0000}"/>
    <hyperlink ref="G1774" r:id="rId2930" xr:uid="{00000000-0004-0000-0000-0000710B0000}"/>
    <hyperlink ref="E1775" r:id="rId2931" xr:uid="{00000000-0004-0000-0000-0000720B0000}"/>
    <hyperlink ref="G1775" r:id="rId2932" xr:uid="{00000000-0004-0000-0000-0000730B0000}"/>
    <hyperlink ref="E1776" r:id="rId2933" xr:uid="{00000000-0004-0000-0000-0000740B0000}"/>
    <hyperlink ref="G1776" r:id="rId2934" xr:uid="{00000000-0004-0000-0000-0000750B0000}"/>
    <hyperlink ref="E1777" r:id="rId2935" xr:uid="{00000000-0004-0000-0000-0000760B0000}"/>
    <hyperlink ref="G1777" r:id="rId2936" xr:uid="{00000000-0004-0000-0000-0000770B0000}"/>
    <hyperlink ref="E1778" r:id="rId2937" xr:uid="{00000000-0004-0000-0000-0000780B0000}"/>
    <hyperlink ref="G1778" r:id="rId2938" xr:uid="{00000000-0004-0000-0000-0000790B0000}"/>
    <hyperlink ref="E1779" r:id="rId2939" xr:uid="{00000000-0004-0000-0000-00007A0B0000}"/>
    <hyperlink ref="G1779" r:id="rId2940" xr:uid="{00000000-0004-0000-0000-00007B0B0000}"/>
    <hyperlink ref="E1780" r:id="rId2941" xr:uid="{00000000-0004-0000-0000-00007C0B0000}"/>
    <hyperlink ref="G1780" r:id="rId2942" xr:uid="{00000000-0004-0000-0000-00007D0B0000}"/>
    <hyperlink ref="E1781" r:id="rId2943" xr:uid="{00000000-0004-0000-0000-00007E0B0000}"/>
    <hyperlink ref="G1781" r:id="rId2944" xr:uid="{00000000-0004-0000-0000-00007F0B0000}"/>
    <hyperlink ref="E1782" r:id="rId2945" xr:uid="{00000000-0004-0000-0000-0000800B0000}"/>
    <hyperlink ref="G1782" r:id="rId2946" xr:uid="{00000000-0004-0000-0000-0000810B0000}"/>
    <hyperlink ref="E1783" r:id="rId2947" xr:uid="{00000000-0004-0000-0000-0000820B0000}"/>
    <hyperlink ref="G1783" r:id="rId2948" xr:uid="{00000000-0004-0000-0000-0000830B0000}"/>
    <hyperlink ref="E1784" r:id="rId2949" xr:uid="{00000000-0004-0000-0000-0000840B0000}"/>
    <hyperlink ref="G1784" r:id="rId2950" xr:uid="{00000000-0004-0000-0000-0000850B0000}"/>
    <hyperlink ref="E1785" r:id="rId2951" xr:uid="{00000000-0004-0000-0000-0000860B0000}"/>
    <hyperlink ref="G1785" r:id="rId2952" xr:uid="{00000000-0004-0000-0000-0000870B0000}"/>
    <hyperlink ref="E1786" r:id="rId2953" xr:uid="{00000000-0004-0000-0000-0000880B0000}"/>
    <hyperlink ref="G1786" r:id="rId2954" xr:uid="{00000000-0004-0000-0000-0000890B0000}"/>
    <hyperlink ref="E1787" r:id="rId2955" xr:uid="{00000000-0004-0000-0000-00008A0B0000}"/>
    <hyperlink ref="G1787" r:id="rId2956" xr:uid="{00000000-0004-0000-0000-00008B0B0000}"/>
    <hyperlink ref="E1788" r:id="rId2957" xr:uid="{00000000-0004-0000-0000-00008C0B0000}"/>
    <hyperlink ref="G1788" r:id="rId2958" xr:uid="{00000000-0004-0000-0000-00008D0B0000}"/>
    <hyperlink ref="E1789" r:id="rId2959" xr:uid="{00000000-0004-0000-0000-00008E0B0000}"/>
    <hyperlink ref="G1789" r:id="rId2960" xr:uid="{00000000-0004-0000-0000-00008F0B0000}"/>
    <hyperlink ref="E1790" r:id="rId2961" xr:uid="{00000000-0004-0000-0000-0000900B0000}"/>
    <hyperlink ref="G1790" r:id="rId2962" xr:uid="{00000000-0004-0000-0000-0000910B0000}"/>
    <hyperlink ref="E1791" r:id="rId2963" xr:uid="{00000000-0004-0000-0000-0000920B0000}"/>
    <hyperlink ref="G1791" r:id="rId2964" xr:uid="{00000000-0004-0000-0000-0000930B0000}"/>
  </hyperlinks>
  <pageMargins left="0.7" right="0.7" top="0.75" bottom="0.75" header="0.3" footer="0.3"/>
  <legacyDrawing r:id="rId29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989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2" max="2" width="36.5703125" customWidth="1"/>
    <col min="3" max="13" width="11.5703125" hidden="1" customWidth="1"/>
    <col min="14" max="14" width="12.5703125" hidden="1"/>
    <col min="15" max="15" width="14.7109375" hidden="1" customWidth="1"/>
    <col min="16" max="16" width="24.28515625" hidden="1" customWidth="1"/>
    <col min="17" max="17" width="14.42578125" customWidth="1"/>
    <col min="18" max="18" width="15.28515625" customWidth="1"/>
    <col min="19" max="32" width="11.140625" customWidth="1"/>
    <col min="33" max="47" width="6.140625" customWidth="1"/>
  </cols>
  <sheetData>
    <row r="1" spans="1:47" ht="12.75" x14ac:dyDescent="0.2">
      <c r="A1" s="9"/>
      <c r="B1" s="10"/>
      <c r="C1" s="22">
        <v>2024</v>
      </c>
      <c r="D1" s="23"/>
      <c r="E1" s="23"/>
      <c r="F1" s="23"/>
      <c r="G1" s="23"/>
      <c r="H1" s="23"/>
      <c r="I1" s="23"/>
      <c r="J1" s="23"/>
      <c r="K1" s="23"/>
      <c r="L1" s="23"/>
      <c r="M1" s="11"/>
      <c r="O1" s="9"/>
      <c r="P1" s="9"/>
      <c r="Q1" s="9"/>
      <c r="R1" s="9"/>
      <c r="S1" s="24">
        <v>2025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4">
        <v>2025</v>
      </c>
      <c r="AF1" s="23"/>
      <c r="AG1" s="24">
        <v>2026</v>
      </c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 spans="1:47" ht="57" customHeight="1" x14ac:dyDescent="0.2">
      <c r="A2" s="12" t="s">
        <v>4228</v>
      </c>
      <c r="B2" s="13" t="s">
        <v>4229</v>
      </c>
      <c r="C2" s="12" t="s">
        <v>9</v>
      </c>
      <c r="D2" s="12" t="s">
        <v>78</v>
      </c>
      <c r="E2" s="12" t="s">
        <v>110</v>
      </c>
      <c r="F2" s="12" t="s">
        <v>139</v>
      </c>
      <c r="G2" s="12" t="s">
        <v>166</v>
      </c>
      <c r="H2" s="12" t="s">
        <v>196</v>
      </c>
      <c r="I2" s="12" t="s">
        <v>228</v>
      </c>
      <c r="J2" s="12" t="s">
        <v>255</v>
      </c>
      <c r="K2" s="12" t="s">
        <v>277</v>
      </c>
      <c r="L2" s="12" t="s">
        <v>302</v>
      </c>
      <c r="M2" s="14" t="s">
        <v>883</v>
      </c>
      <c r="N2" s="15" t="s">
        <v>1114</v>
      </c>
      <c r="O2" s="15" t="s">
        <v>1866</v>
      </c>
      <c r="P2" s="15" t="s">
        <v>2015</v>
      </c>
      <c r="Q2" s="15" t="s">
        <v>2197</v>
      </c>
      <c r="R2" s="15" t="s">
        <v>2190</v>
      </c>
      <c r="S2" s="16" t="s">
        <v>318</v>
      </c>
      <c r="T2" s="16" t="s">
        <v>352</v>
      </c>
      <c r="U2" s="17" t="s">
        <v>9</v>
      </c>
      <c r="V2" s="17" t="s">
        <v>78</v>
      </c>
      <c r="W2" s="17" t="s">
        <v>110</v>
      </c>
      <c r="X2" s="17" t="s">
        <v>139</v>
      </c>
      <c r="Y2" s="17" t="s">
        <v>166</v>
      </c>
      <c r="Z2" s="17" t="s">
        <v>196</v>
      </c>
      <c r="AA2" s="17" t="s">
        <v>228</v>
      </c>
      <c r="AB2" s="17" t="s">
        <v>255</v>
      </c>
      <c r="AC2" s="17" t="s">
        <v>277</v>
      </c>
      <c r="AD2" s="17" t="s">
        <v>302</v>
      </c>
      <c r="AE2" s="17" t="s">
        <v>2015</v>
      </c>
      <c r="AF2" s="17" t="s">
        <v>1866</v>
      </c>
      <c r="AG2" s="15" t="s">
        <v>2197</v>
      </c>
      <c r="AH2" s="15" t="s">
        <v>2190</v>
      </c>
      <c r="AI2" s="16" t="s">
        <v>318</v>
      </c>
      <c r="AJ2" s="16" t="s">
        <v>352</v>
      </c>
      <c r="AK2" s="17" t="s">
        <v>9</v>
      </c>
      <c r="AL2" s="17" t="s">
        <v>78</v>
      </c>
      <c r="AM2" s="17" t="s">
        <v>110</v>
      </c>
      <c r="AN2" s="17" t="s">
        <v>139</v>
      </c>
      <c r="AO2" s="17" t="s">
        <v>166</v>
      </c>
      <c r="AP2" s="17" t="s">
        <v>196</v>
      </c>
      <c r="AQ2" s="17" t="s">
        <v>228</v>
      </c>
      <c r="AR2" s="17" t="s">
        <v>255</v>
      </c>
      <c r="AS2" s="17" t="s">
        <v>277</v>
      </c>
      <c r="AT2" s="17" t="s">
        <v>302</v>
      </c>
      <c r="AU2" s="17" t="s">
        <v>2015</v>
      </c>
    </row>
    <row r="3" spans="1:47" ht="12.75" x14ac:dyDescent="0.2">
      <c r="A3" s="9">
        <v>1</v>
      </c>
      <c r="B3" s="10" t="s">
        <v>2953</v>
      </c>
      <c r="C3" s="18" t="b">
        <f>IF(COUNTIFS('Form Responses 1'!$B:$B,$B3,'Form Responses 1'!$C:$C,2024,'Form Responses 1'!$D:$D,C$2)&gt;0,TRUE)</f>
        <v>0</v>
      </c>
      <c r="D3" s="18" t="b">
        <f>IF(COUNTIFS('Form Responses 1'!$B:$B,$B3,'Form Responses 1'!$C:$C,2024,'Form Responses 1'!$D:$D,D$2)&gt;0,TRUE)</f>
        <v>0</v>
      </c>
      <c r="E3" s="18" t="b">
        <f>IF(COUNTIFS('Form Responses 1'!$B:$B,$B3,'Form Responses 1'!$C:$C,2024,'Form Responses 1'!$D:$D,E$2)&gt;0,TRUE)</f>
        <v>0</v>
      </c>
      <c r="F3" s="18" t="b">
        <f>IF(COUNTIFS('Form Responses 1'!$B:$B,$B3,'Form Responses 1'!$C:$C,2024,'Form Responses 1'!$D:$D,F$2)&gt;0,TRUE)</f>
        <v>0</v>
      </c>
      <c r="G3" s="18" t="b">
        <f>IF(COUNTIFS('Form Responses 1'!$B:$B,$B3,'Form Responses 1'!$C:$C,2024,'Form Responses 1'!$D:$D,G$2)&gt;0,TRUE)</f>
        <v>0</v>
      </c>
      <c r="H3" s="18" t="b">
        <f>IF(COUNTIFS('Form Responses 1'!$B:$B,$B3,'Form Responses 1'!$C:$C,2024,'Form Responses 1'!$D:$D,H$2)&gt;0,TRUE)</f>
        <v>0</v>
      </c>
      <c r="I3" s="18" t="b">
        <f>IF(COUNTIFS('Form Responses 1'!$B:$B,$B3,'Form Responses 1'!$C:$C,2024,'Form Responses 1'!$D:$D,I$2)&gt;0,TRUE)</f>
        <v>0</v>
      </c>
      <c r="J3" s="18" t="b">
        <f>IF(COUNTIFS('Form Responses 1'!$B:$B,$B3,'Form Responses 1'!$C:$C,2024,'Form Responses 1'!$D:$D,J$2)&gt;0,TRUE)</f>
        <v>0</v>
      </c>
      <c r="K3" s="18" t="b">
        <f>IF(COUNTIFS('Form Responses 1'!$B:$B,$B3,'Form Responses 1'!$C:$C,2024,'Form Responses 1'!$D:$D,K$2)&gt;0,TRUE)</f>
        <v>0</v>
      </c>
      <c r="L3" s="18" t="b">
        <f>IF(COUNTIFS('Form Responses 1'!$B:$B,$B3,'Form Responses 1'!$C:$C,2024,'Form Responses 1'!$D:$D,L$2)&gt;0,TRUE)</f>
        <v>0</v>
      </c>
      <c r="M3" s="18" t="b">
        <f>IF(COUNTIFS('Form Responses 1'!$B:$B,$B3,'Form Responses 1'!$C:$C,2024,'Form Responses 1'!$D:$D,M$2)&gt;0,TRUE)</f>
        <v>0</v>
      </c>
      <c r="N3" s="18" t="b">
        <f>IF(COUNTIFS('Form Responses 1'!$B:$B,$B3,'Form Responses 1'!$C:$C,2024,'Form Responses 1'!$D:$D,N$2)&gt;0,TRUE)</f>
        <v>0</v>
      </c>
      <c r="O3" s="18" t="b">
        <f>IF(COUNTIFS('Form Responses 1'!$B:$B,$B3,'Form Responses 1'!$C:$C,2024,'Form Responses 1'!$D:$D,O$2)&gt;0,TRUE)</f>
        <v>0</v>
      </c>
      <c r="P3" s="18" t="b">
        <f>IF(COUNTIFS('Form Responses 1'!$B:$B,$B3,'Form Responses 1'!$C:$C,2024,'Form Responses 1'!$D:$D,P$2)&gt;0,TRUE)</f>
        <v>0</v>
      </c>
      <c r="Q3" s="18" t="b">
        <v>0</v>
      </c>
      <c r="R3" s="18" t="b">
        <v>0</v>
      </c>
      <c r="S3" s="19" t="b">
        <f>IF(COUNTIFS('Form Responses 1'!$B:$B,$B3,'Form Responses 1'!$C:$C,2025,'Form Responses 1'!$D:$D,S$2)&gt;0,TRUE)</f>
        <v>1</v>
      </c>
      <c r="T3" s="19" t="b">
        <f>IF(COUNTIFS('Form Responses 1'!$B:$B,$B3,'Form Responses 1'!$C:$C,2025,'Form Responses 1'!$D:$D,T$2)&gt;0,TRUE)</f>
        <v>1</v>
      </c>
      <c r="U3" s="19" t="b">
        <f>IF(COUNTIFS('Form Responses 1'!$B:$B,$B3,'Form Responses 1'!$C:$C,2025,'Form Responses 1'!$D:$D,U$2)&gt;0,TRUE)</f>
        <v>1</v>
      </c>
      <c r="V3" s="19" t="b">
        <f>IF(COUNTIFS('Form Responses 1'!$B:$B,$B3,'Form Responses 1'!$C:$C,2025,'Form Responses 1'!$D:$D,V$2)&gt;0,TRUE)</f>
        <v>1</v>
      </c>
      <c r="W3" s="19" t="b">
        <f>IF(COUNTIFS('Form Responses 1'!$B:$B,$B3,'Form Responses 1'!$C:$C,2025,'Form Responses 1'!$D:$D,W$2)&gt;0,TRUE)</f>
        <v>1</v>
      </c>
      <c r="X3" s="19" t="b">
        <f>IF(COUNTIFS('Form Responses 1'!$B:$B,$B3,'Form Responses 1'!$C:$C,2025,'Form Responses 1'!$D:$D,X$2)&gt;0,TRUE)</f>
        <v>1</v>
      </c>
      <c r="Y3" s="19" t="b">
        <f>IF(COUNTIFS('Form Responses 1'!$B:$B,$B3,'Form Responses 1'!$C:$C,2025,'Form Responses 1'!$D:$D,Y$2)&gt;0,TRUE)</f>
        <v>1</v>
      </c>
      <c r="Z3" s="19" t="b">
        <f>IF(COUNTIFS('Form Responses 1'!$B:$B,$B3,'Form Responses 1'!$C:$C,2025,'Form Responses 1'!$D:$D,Z$2)&gt;0,TRUE)</f>
        <v>1</v>
      </c>
      <c r="AA3" s="19" t="b">
        <f>IF(COUNTIFS('Form Responses 1'!$B:$B,$B3,'Form Responses 1'!$C:$C,2025,'Form Responses 1'!$D:$D,AA$2)&gt;0,TRUE)</f>
        <v>1</v>
      </c>
      <c r="AB3" s="19" t="b">
        <f>IF(COUNTIFS('Form Responses 1'!$B:$B,$B3,'Form Responses 1'!$C:$C,2025,'Form Responses 1'!$D:$D,AB$2)&gt;0,TRUE)</f>
        <v>1</v>
      </c>
      <c r="AC3" s="19" t="b">
        <f>IF(COUNTIFS('Form Responses 1'!$B:$B,$B3,'Form Responses 1'!$C:$C,2025,'Form Responses 1'!$D:$D,AC$2)&gt;0,TRUE)</f>
        <v>1</v>
      </c>
      <c r="AD3" s="19" t="b">
        <f>IF(COUNTIFS('Form Responses 1'!$B:$B,$B3,'Form Responses 1'!$C:$C,2025,'Form Responses 1'!$D:$D,AD$2)&gt;0,TRUE)</f>
        <v>1</v>
      </c>
      <c r="AE3" s="19" t="b">
        <f>IF(COUNTIFS('Form Responses 1'!$B:$B,$B3,'Form Responses 1'!$C:$C,2025,'Form Responses 1'!$D:$D,AE$2)&gt;0,TRUE)</f>
        <v>1</v>
      </c>
      <c r="AF3" s="19" t="b">
        <f>IF(COUNTIFS('Form Responses 1'!$B:$B,$B3,'Form Responses 1'!$C:$C,2025,'Form Responses 1'!$D:$D,AF$2)&gt;0,TRUE)</f>
        <v>1</v>
      </c>
      <c r="AG3" s="19" t="b">
        <f>IF(COUNTIFS('Form Responses 1'!$B:$B,$B3,'Form Responses 1'!$C:$C,2026,'Form Responses 1'!$D:$D,AG$2)&gt;0,TRUE)</f>
        <v>0</v>
      </c>
      <c r="AH3" s="19" t="b">
        <f>IF(COUNTIFS('Form Responses 1'!$B:$B,$B3,'Form Responses 1'!$C:$C,2026,'Form Responses 1'!$D:$D,AH$2)&gt;0,TRUE)</f>
        <v>0</v>
      </c>
      <c r="AI3" s="19" t="b">
        <f>IF(COUNTIFS('Form Responses 1'!$B:$B,$B3,'Form Responses 1'!$C:$C,2026,'Form Responses 1'!$D:$D,AI$2)&gt;0,TRUE)</f>
        <v>0</v>
      </c>
      <c r="AJ3" s="19" t="b">
        <f>IF(COUNTIFS('Form Responses 1'!$B:$B,$B3,'Form Responses 1'!$C:$C,2026,'Form Responses 1'!$D:$D,AJ$2)&gt;0,TRUE)</f>
        <v>0</v>
      </c>
      <c r="AK3" s="19" t="b">
        <f>IF(COUNTIFS('Form Responses 1'!$B:$B,$B3,'Form Responses 1'!$C:$C,2026,'Form Responses 1'!$D:$D,AK$2)&gt;0,TRUE)</f>
        <v>0</v>
      </c>
      <c r="AL3" s="19" t="b">
        <f>IF(COUNTIFS('Form Responses 1'!$B:$B,$B3,'Form Responses 1'!$C:$C,2026,'Form Responses 1'!$D:$D,AL$2)&gt;0,TRUE)</f>
        <v>0</v>
      </c>
      <c r="AM3" s="19" t="b">
        <f>IF(COUNTIFS('Form Responses 1'!$B:$B,$B3,'Form Responses 1'!$C:$C,2026,'Form Responses 1'!$D:$D,AM$2)&gt;0,TRUE)</f>
        <v>0</v>
      </c>
      <c r="AN3" s="19" t="b">
        <f>IF(COUNTIFS('Form Responses 1'!$B:$B,$B3,'Form Responses 1'!$C:$C,2026,'Form Responses 1'!$D:$D,AN$2)&gt;0,TRUE)</f>
        <v>0</v>
      </c>
      <c r="AO3" s="19" t="b">
        <f>IF(COUNTIFS('Form Responses 1'!$B:$B,$B3,'Form Responses 1'!$C:$C,2026,'Form Responses 1'!$D:$D,AO$2)&gt;0,TRUE)</f>
        <v>0</v>
      </c>
      <c r="AP3" s="19" t="b">
        <f>IF(COUNTIFS('Form Responses 1'!$B:$B,$B3,'Form Responses 1'!$C:$C,2026,'Form Responses 1'!$D:$D,AP$2)&gt;0,TRUE)</f>
        <v>0</v>
      </c>
      <c r="AQ3" s="19" t="b">
        <f>IF(COUNTIFS('Form Responses 1'!$B:$B,$B3,'Form Responses 1'!$C:$C,2026,'Form Responses 1'!$D:$D,AQ$2)&gt;0,TRUE)</f>
        <v>0</v>
      </c>
      <c r="AR3" s="19" t="b">
        <f>IF(COUNTIFS('Form Responses 1'!$B:$B,$B3,'Form Responses 1'!$C:$C,2026,'Form Responses 1'!$D:$D,AR$2)&gt;0,TRUE)</f>
        <v>0</v>
      </c>
      <c r="AS3" s="19" t="b">
        <f>IF(COUNTIFS('Form Responses 1'!$B:$B,$B3,'Form Responses 1'!$C:$C,2026,'Form Responses 1'!$D:$D,AS$2)&gt;0,TRUE)</f>
        <v>0</v>
      </c>
      <c r="AT3" s="19" t="b">
        <f>IF(COUNTIFS('Form Responses 1'!$B:$B,$B3,'Form Responses 1'!$C:$C,2026,'Form Responses 1'!$D:$D,AT$2)&gt;0,TRUE)</f>
        <v>0</v>
      </c>
      <c r="AU3" s="19" t="b">
        <f>IF(COUNTIFS('Form Responses 1'!$B:$B,$B3,'Form Responses 1'!$C:$C,2026,'Form Responses 1'!$D:$D,AU$2)&gt;0,TRUE)</f>
        <v>0</v>
      </c>
    </row>
    <row r="4" spans="1:47" ht="12.75" x14ac:dyDescent="0.2">
      <c r="A4" s="11">
        <v>2</v>
      </c>
      <c r="B4" s="10" t="s">
        <v>37</v>
      </c>
      <c r="C4" s="18" t="b">
        <f>IF(COUNTIFS('Form Responses 1'!$B:$B,$B4,'Form Responses 1'!$C:$C,2024,'Form Responses 1'!$D:$D,C$2)&gt;0,TRUE)</f>
        <v>0</v>
      </c>
      <c r="D4" s="18" t="b">
        <f>IF(COUNTIFS('Form Responses 1'!$B:$B,$B4,'Form Responses 1'!$C:$C,2024,'Form Responses 1'!$D:$D,D$2)&gt;0,TRUE)</f>
        <v>1</v>
      </c>
      <c r="E4" s="18" t="b">
        <f>IF(COUNTIFS('Form Responses 1'!$B:$B,$B4,'Form Responses 1'!$C:$C,2024,'Form Responses 1'!$D:$D,E$2)&gt;0,TRUE)</f>
        <v>1</v>
      </c>
      <c r="F4" s="18" t="b">
        <f>IF(COUNTIFS('Form Responses 1'!$B:$B,$B4,'Form Responses 1'!$C:$C,2024,'Form Responses 1'!$D:$D,F$2)&gt;0,TRUE)</f>
        <v>1</v>
      </c>
      <c r="G4" s="18" t="b">
        <f>IF(COUNTIFS('Form Responses 1'!$B:$B,$B4,'Form Responses 1'!$C:$C,2024,'Form Responses 1'!$D:$D,G$2)&gt;0,TRUE)</f>
        <v>1</v>
      </c>
      <c r="H4" s="18" t="b">
        <f>IF(COUNTIFS('Form Responses 1'!$B:$B,$B4,'Form Responses 1'!$C:$C,2024,'Form Responses 1'!$D:$D,H$2)&gt;0,TRUE)</f>
        <v>1</v>
      </c>
      <c r="I4" s="18" t="b">
        <f>IF(COUNTIFS('Form Responses 1'!$B:$B,$B4,'Form Responses 1'!$C:$C,2024,'Form Responses 1'!$D:$D,I$2)&gt;0,TRUE)</f>
        <v>1</v>
      </c>
      <c r="J4" s="18" t="b">
        <f>IF(COUNTIFS('Form Responses 1'!$B:$B,$B4,'Form Responses 1'!$C:$C,2024,'Form Responses 1'!$D:$D,J$2)&gt;0,TRUE)</f>
        <v>1</v>
      </c>
      <c r="K4" s="18" t="b">
        <f>IF(COUNTIFS('Form Responses 1'!$B:$B,$B4,'Form Responses 1'!$C:$C,2024,'Form Responses 1'!$D:$D,K$2)&gt;0,TRUE)</f>
        <v>1</v>
      </c>
      <c r="L4" s="18" t="b">
        <f>IF(COUNTIFS('Form Responses 1'!$B:$B,$B4,'Form Responses 1'!$C:$C,2024,'Form Responses 1'!$D:$D,L$2)&gt;0,TRUE)</f>
        <v>1</v>
      </c>
      <c r="M4" s="18" t="b">
        <f>IF(COUNTIFS('Form Responses 1'!$B:$B,$B4,'Form Responses 1'!$C:$C,2024,'Form Responses 1'!$D:$D,M$2)&gt;0,TRUE)</f>
        <v>1</v>
      </c>
      <c r="N4" s="18" t="b">
        <f>IF(COUNTIFS('Form Responses 1'!$B:$B,$B4,'Form Responses 1'!$C:$C,2024,'Form Responses 1'!$D:$D,N$2)&gt;0,TRUE)</f>
        <v>1</v>
      </c>
      <c r="O4" s="18" t="b">
        <f>IF(COUNTIFS('Form Responses 1'!$B:$B,$B4,'Form Responses 1'!$C:$C,2024,'Form Responses 1'!$D:$D,O$2)&gt;0,TRUE)</f>
        <v>1</v>
      </c>
      <c r="P4" s="18" t="b">
        <f>IF(COUNTIFS('Form Responses 1'!$B:$B,$B4,'Form Responses 1'!$C:$C,2024,'Form Responses 1'!$D:$D,P$2)&gt;0,TRUE)</f>
        <v>1</v>
      </c>
      <c r="Q4" s="18" t="b">
        <f>IF(COUNTIFS('Form Responses 1'!$B:$B,$B4,'Form Responses 1'!$C:$C,2025,'Form Responses 1'!$D:$D,Q$2)&gt;0,TRUE)</f>
        <v>1</v>
      </c>
      <c r="R4" s="18" t="b">
        <f>IF(COUNTIFS('Form Responses 1'!$B:$B,$B4,'Form Responses 1'!$C:$C,2025,'Form Responses 1'!$D:$D,R$2)&gt;0,TRUE)</f>
        <v>1</v>
      </c>
      <c r="S4" s="19" t="b">
        <f>IF(COUNTIFS('Form Responses 1'!$B:$B,$B4,'Form Responses 1'!$C:$C,2025,'Form Responses 1'!$D:$D,S$2)&gt;0,TRUE)</f>
        <v>1</v>
      </c>
      <c r="T4" s="19" t="b">
        <f>IF(COUNTIFS('Form Responses 1'!$B:$B,$B4,'Form Responses 1'!$C:$C,2025,'Form Responses 1'!$D:$D,T$2)&gt;0,TRUE)</f>
        <v>1</v>
      </c>
      <c r="U4" s="19" t="b">
        <f>IF(COUNTIFS('Form Responses 1'!$B:$B,$B4,'Form Responses 1'!$C:$C,2025,'Form Responses 1'!$D:$D,U$2)&gt;0,TRUE)</f>
        <v>1</v>
      </c>
      <c r="V4" s="19" t="b">
        <f>IF(COUNTIFS('Form Responses 1'!$B:$B,$B4,'Form Responses 1'!$C:$C,2025,'Form Responses 1'!$D:$D,V$2)&gt;0,TRUE)</f>
        <v>1</v>
      </c>
      <c r="W4" s="19" t="b">
        <f>IF(COUNTIFS('Form Responses 1'!$B:$B,$B4,'Form Responses 1'!$C:$C,2025,'Form Responses 1'!$D:$D,W$2)&gt;0,TRUE)</f>
        <v>1</v>
      </c>
      <c r="X4" s="19" t="b">
        <f>IF(COUNTIFS('Form Responses 1'!$B:$B,$B4,'Form Responses 1'!$C:$C,2025,'Form Responses 1'!$D:$D,X$2)&gt;0,TRUE)</f>
        <v>1</v>
      </c>
      <c r="Y4" s="19" t="b">
        <f>IF(COUNTIFS('Form Responses 1'!$B:$B,$B4,'Form Responses 1'!$C:$C,2025,'Form Responses 1'!$D:$D,Y$2)&gt;0,TRUE)</f>
        <v>1</v>
      </c>
      <c r="Z4" s="19" t="b">
        <f>IF(COUNTIFS('Form Responses 1'!$B:$B,$B4,'Form Responses 1'!$C:$C,2025,'Form Responses 1'!$D:$D,Z$2)&gt;0,TRUE)</f>
        <v>1</v>
      </c>
      <c r="AA4" s="19" t="b">
        <f>IF(COUNTIFS('Form Responses 1'!$B:$B,$B4,'Form Responses 1'!$C:$C,2025,'Form Responses 1'!$D:$D,AA$2)&gt;0,TRUE)</f>
        <v>1</v>
      </c>
      <c r="AB4" s="19" t="b">
        <f>IF(COUNTIFS('Form Responses 1'!$B:$B,$B4,'Form Responses 1'!$C:$C,2025,'Form Responses 1'!$D:$D,AB$2)&gt;0,TRUE)</f>
        <v>1</v>
      </c>
      <c r="AC4" s="19" t="b">
        <f>IF(COUNTIFS('Form Responses 1'!$B:$B,$B4,'Form Responses 1'!$C:$C,2025,'Form Responses 1'!$D:$D,AC$2)&gt;0,TRUE)</f>
        <v>1</v>
      </c>
      <c r="AD4" s="19" t="b">
        <f>IF(COUNTIFS('Form Responses 1'!$B:$B,$B4,'Form Responses 1'!$C:$C,2025,'Form Responses 1'!$D:$D,AD$2)&gt;0,TRUE)</f>
        <v>1</v>
      </c>
      <c r="AE4" s="19" t="b">
        <f>IF(COUNTIFS('Form Responses 1'!$B:$B,$B4,'Form Responses 1'!$C:$C,2025,'Form Responses 1'!$D:$D,AE$2)&gt;0,TRUE)</f>
        <v>1</v>
      </c>
      <c r="AF4" s="19" t="b">
        <f>IF(COUNTIFS('Form Responses 1'!$B:$B,$B4,'Form Responses 1'!$C:$C,2025,'Form Responses 1'!$D:$D,AF$2)&gt;0,TRUE)</f>
        <v>1</v>
      </c>
      <c r="AG4" s="19" t="b">
        <f>IF(COUNTIFS('Form Responses 1'!$B:$B,$B4,'Form Responses 1'!$C:$C,2026,'Form Responses 1'!$D:$D,AG$2)&gt;0,TRUE)</f>
        <v>0</v>
      </c>
      <c r="AH4" s="19" t="b">
        <f>IF(COUNTIFS('Form Responses 1'!$B:$B,$B4,'Form Responses 1'!$C:$C,2026,'Form Responses 1'!$D:$D,AH$2)&gt;0,TRUE)</f>
        <v>0</v>
      </c>
      <c r="AI4" s="19" t="b">
        <f>IF(COUNTIFS('Form Responses 1'!$B:$B,$B4,'Form Responses 1'!$C:$C,2026,'Form Responses 1'!$D:$D,AI$2)&gt;0,TRUE)</f>
        <v>0</v>
      </c>
      <c r="AJ4" s="19" t="b">
        <f>IF(COUNTIFS('Form Responses 1'!$B:$B,$B4,'Form Responses 1'!$C:$C,2026,'Form Responses 1'!$D:$D,AJ$2)&gt;0,TRUE)</f>
        <v>0</v>
      </c>
      <c r="AK4" s="19" t="b">
        <f>IF(COUNTIFS('Form Responses 1'!$B:$B,$B4,'Form Responses 1'!$C:$C,2026,'Form Responses 1'!$D:$D,AK$2)&gt;0,TRUE)</f>
        <v>0</v>
      </c>
      <c r="AL4" s="19" t="b">
        <f>IF(COUNTIFS('Form Responses 1'!$B:$B,$B4,'Form Responses 1'!$C:$C,2026,'Form Responses 1'!$D:$D,AL$2)&gt;0,TRUE)</f>
        <v>0</v>
      </c>
      <c r="AM4" s="19" t="b">
        <f>IF(COUNTIFS('Form Responses 1'!$B:$B,$B4,'Form Responses 1'!$C:$C,2026,'Form Responses 1'!$D:$D,AM$2)&gt;0,TRUE)</f>
        <v>0</v>
      </c>
      <c r="AN4" s="19" t="b">
        <f>IF(COUNTIFS('Form Responses 1'!$B:$B,$B4,'Form Responses 1'!$C:$C,2026,'Form Responses 1'!$D:$D,AN$2)&gt;0,TRUE)</f>
        <v>0</v>
      </c>
      <c r="AO4" s="19" t="b">
        <f>IF(COUNTIFS('Form Responses 1'!$B:$B,$B4,'Form Responses 1'!$C:$C,2026,'Form Responses 1'!$D:$D,AO$2)&gt;0,TRUE)</f>
        <v>0</v>
      </c>
      <c r="AP4" s="19" t="b">
        <f>IF(COUNTIFS('Form Responses 1'!$B:$B,$B4,'Form Responses 1'!$C:$C,2026,'Form Responses 1'!$D:$D,AP$2)&gt;0,TRUE)</f>
        <v>0</v>
      </c>
      <c r="AQ4" s="19" t="b">
        <f>IF(COUNTIFS('Form Responses 1'!$B:$B,$B4,'Form Responses 1'!$C:$C,2026,'Form Responses 1'!$D:$D,AQ$2)&gt;0,TRUE)</f>
        <v>0</v>
      </c>
      <c r="AR4" s="19" t="b">
        <f>IF(COUNTIFS('Form Responses 1'!$B:$B,$B4,'Form Responses 1'!$C:$C,2026,'Form Responses 1'!$D:$D,AR$2)&gt;0,TRUE)</f>
        <v>0</v>
      </c>
      <c r="AS4" s="19" t="b">
        <f>IF(COUNTIFS('Form Responses 1'!$B:$B,$B4,'Form Responses 1'!$C:$C,2026,'Form Responses 1'!$D:$D,AS$2)&gt;0,TRUE)</f>
        <v>0</v>
      </c>
      <c r="AT4" s="19" t="b">
        <f>IF(COUNTIFS('Form Responses 1'!$B:$B,$B4,'Form Responses 1'!$C:$C,2026,'Form Responses 1'!$D:$D,AT$2)&gt;0,TRUE)</f>
        <v>0</v>
      </c>
      <c r="AU4" s="19" t="b">
        <f>IF(COUNTIFS('Form Responses 1'!$B:$B,$B4,'Form Responses 1'!$C:$C,2026,'Form Responses 1'!$D:$D,AU$2)&gt;0,TRUE)</f>
        <v>0</v>
      </c>
    </row>
    <row r="5" spans="1:47" ht="12.75" x14ac:dyDescent="0.2">
      <c r="A5" s="9">
        <v>3</v>
      </c>
      <c r="B5" s="10" t="s">
        <v>397</v>
      </c>
      <c r="C5" s="18" t="b">
        <f>IF(COUNTIFS('Form Responses 1'!$B:$B,$B5,'Form Responses 1'!$C:$C,2024,'Form Responses 1'!$D:$D,C$2)&gt;0,TRUE)</f>
        <v>1</v>
      </c>
      <c r="D5" s="18" t="b">
        <f>IF(COUNTIFS('Form Responses 1'!$B:$B,$B5,'Form Responses 1'!$C:$C,2024,'Form Responses 1'!$D:$D,D$2)&gt;0,TRUE)</f>
        <v>1</v>
      </c>
      <c r="E5" s="18" t="b">
        <f>IF(COUNTIFS('Form Responses 1'!$B:$B,$B5,'Form Responses 1'!$C:$C,2024,'Form Responses 1'!$D:$D,E$2)&gt;0,TRUE)</f>
        <v>1</v>
      </c>
      <c r="F5" s="18" t="b">
        <f>IF(COUNTIFS('Form Responses 1'!$B:$B,$B5,'Form Responses 1'!$C:$C,2024,'Form Responses 1'!$D:$D,F$2)&gt;0,TRUE)</f>
        <v>1</v>
      </c>
      <c r="G5" s="18" t="b">
        <f>IF(COUNTIFS('Form Responses 1'!$B:$B,$B5,'Form Responses 1'!$C:$C,2024,'Form Responses 1'!$D:$D,G$2)&gt;0,TRUE)</f>
        <v>1</v>
      </c>
      <c r="H5" s="18" t="b">
        <f>IF(COUNTIFS('Form Responses 1'!$B:$B,$B5,'Form Responses 1'!$C:$C,2024,'Form Responses 1'!$D:$D,H$2)&gt;0,TRUE)</f>
        <v>1</v>
      </c>
      <c r="I5" s="18" t="b">
        <f>IF(COUNTIFS('Form Responses 1'!$B:$B,$B5,'Form Responses 1'!$C:$C,2024,'Form Responses 1'!$D:$D,I$2)&gt;0,TRUE)</f>
        <v>1</v>
      </c>
      <c r="J5" s="18" t="b">
        <f>IF(COUNTIFS('Form Responses 1'!$B:$B,$B5,'Form Responses 1'!$C:$C,2024,'Form Responses 1'!$D:$D,J$2)&gt;0,TRUE)</f>
        <v>1</v>
      </c>
      <c r="K5" s="18" t="b">
        <f>IF(COUNTIFS('Form Responses 1'!$B:$B,$B5,'Form Responses 1'!$C:$C,2024,'Form Responses 1'!$D:$D,K$2)&gt;0,TRUE)</f>
        <v>1</v>
      </c>
      <c r="L5" s="18" t="b">
        <f>IF(COUNTIFS('Form Responses 1'!$B:$B,$B5,'Form Responses 1'!$C:$C,2024,'Form Responses 1'!$D:$D,L$2)&gt;0,TRUE)</f>
        <v>1</v>
      </c>
      <c r="M5" s="18" t="b">
        <f>IF(COUNTIFS('Form Responses 1'!$B:$B,$B5,'Form Responses 1'!$C:$C,2024,'Form Responses 1'!$D:$D,M$2)&gt;0,TRUE)</f>
        <v>1</v>
      </c>
      <c r="N5" s="18" t="b">
        <f>IF(COUNTIFS('Form Responses 1'!$B:$B,$B5,'Form Responses 1'!$C:$C,2024,'Form Responses 1'!$D:$D,N$2)&gt;0,TRUE)</f>
        <v>1</v>
      </c>
      <c r="O5" s="18" t="b">
        <f>IF(COUNTIFS('Form Responses 1'!$B:$B,$B5,'Form Responses 1'!$C:$C,2024,'Form Responses 1'!$D:$D,O$2)&gt;0,TRUE)</f>
        <v>1</v>
      </c>
      <c r="P5" s="18" t="b">
        <f>IF(COUNTIFS('Form Responses 1'!$B:$B,$B5,'Form Responses 1'!$C:$C,2024,'Form Responses 1'!$D:$D,P$2)&gt;0,TRUE)</f>
        <v>1</v>
      </c>
      <c r="Q5" s="18" t="b">
        <f>IF(COUNTIFS('Form Responses 1'!$B:$B,$B5,'Form Responses 1'!$C:$C,2025,'Form Responses 1'!$D:$D,Q$2)&gt;0,TRUE)</f>
        <v>1</v>
      </c>
      <c r="R5" s="18" t="b">
        <f>IF(COUNTIFS('Form Responses 1'!$B:$B,$B5,'Form Responses 1'!$C:$C,2025,'Form Responses 1'!$D:$D,R$2)&gt;0,TRUE)</f>
        <v>1</v>
      </c>
      <c r="S5" s="19" t="b">
        <f>IF(COUNTIFS('Form Responses 1'!$B:$B,$B5,'Form Responses 1'!$C:$C,2025,'Form Responses 1'!$D:$D,S$2)&gt;0,TRUE)</f>
        <v>1</v>
      </c>
      <c r="T5" s="19" t="b">
        <f>IF(COUNTIFS('Form Responses 1'!$B:$B,$B5,'Form Responses 1'!$C:$C,2025,'Form Responses 1'!$D:$D,T$2)&gt;0,TRUE)</f>
        <v>1</v>
      </c>
      <c r="U5" s="19" t="b">
        <f>IF(COUNTIFS('Form Responses 1'!$B:$B,$B5,'Form Responses 1'!$C:$C,2025,'Form Responses 1'!$D:$D,U$2)&gt;0,TRUE)</f>
        <v>1</v>
      </c>
      <c r="V5" s="19" t="b">
        <f>IF(COUNTIFS('Form Responses 1'!$B:$B,$B5,'Form Responses 1'!$C:$C,2025,'Form Responses 1'!$D:$D,V$2)&gt;0,TRUE)</f>
        <v>1</v>
      </c>
      <c r="W5" s="19" t="b">
        <f>IF(COUNTIFS('Form Responses 1'!$B:$B,$B5,'Form Responses 1'!$C:$C,2025,'Form Responses 1'!$D:$D,W$2)&gt;0,TRUE)</f>
        <v>1</v>
      </c>
      <c r="X5" s="19" t="b">
        <f>IF(COUNTIFS('Form Responses 1'!$B:$B,$B5,'Form Responses 1'!$C:$C,2025,'Form Responses 1'!$D:$D,X$2)&gt;0,TRUE)</f>
        <v>1</v>
      </c>
      <c r="Y5" s="19" t="b">
        <f>IF(COUNTIFS('Form Responses 1'!$B:$B,$B5,'Form Responses 1'!$C:$C,2025,'Form Responses 1'!$D:$D,Y$2)&gt;0,TRUE)</f>
        <v>1</v>
      </c>
      <c r="Z5" s="19" t="b">
        <f>IF(COUNTIFS('Form Responses 1'!$B:$B,$B5,'Form Responses 1'!$C:$C,2025,'Form Responses 1'!$D:$D,Z$2)&gt;0,TRUE)</f>
        <v>1</v>
      </c>
      <c r="AA5" s="19" t="b">
        <f>IF(COUNTIFS('Form Responses 1'!$B:$B,$B5,'Form Responses 1'!$C:$C,2025,'Form Responses 1'!$D:$D,AA$2)&gt;0,TRUE)</f>
        <v>1</v>
      </c>
      <c r="AB5" s="19" t="b">
        <f>IF(COUNTIFS('Form Responses 1'!$B:$B,$B5,'Form Responses 1'!$C:$C,2025,'Form Responses 1'!$D:$D,AB$2)&gt;0,TRUE)</f>
        <v>1</v>
      </c>
      <c r="AC5" s="19" t="b">
        <f>IF(COUNTIFS('Form Responses 1'!$B:$B,$B5,'Form Responses 1'!$C:$C,2025,'Form Responses 1'!$D:$D,AC$2)&gt;0,TRUE)</f>
        <v>1</v>
      </c>
      <c r="AD5" s="19" t="b">
        <f>IF(COUNTIFS('Form Responses 1'!$B:$B,$B5,'Form Responses 1'!$C:$C,2025,'Form Responses 1'!$D:$D,AD$2)&gt;0,TRUE)</f>
        <v>1</v>
      </c>
      <c r="AE5" s="19" t="b">
        <f>IF(COUNTIFS('Form Responses 1'!$B:$B,$B5,'Form Responses 1'!$C:$C,2025,'Form Responses 1'!$D:$D,AE$2)&gt;0,TRUE)</f>
        <v>1</v>
      </c>
      <c r="AF5" s="19" t="b">
        <f>IF(COUNTIFS('Form Responses 1'!$B:$B,$B5,'Form Responses 1'!$C:$C,2025,'Form Responses 1'!$D:$D,AF$2)&gt;0,TRUE)</f>
        <v>1</v>
      </c>
      <c r="AG5" s="19" t="b">
        <f>IF(COUNTIFS('Form Responses 1'!$B:$B,$B5,'Form Responses 1'!$C:$C,2026,'Form Responses 1'!$D:$D,AG$2)&gt;0,TRUE)</f>
        <v>0</v>
      </c>
      <c r="AH5" s="19" t="b">
        <f>IF(COUNTIFS('Form Responses 1'!$B:$B,$B5,'Form Responses 1'!$C:$C,2026,'Form Responses 1'!$D:$D,AH$2)&gt;0,TRUE)</f>
        <v>0</v>
      </c>
      <c r="AI5" s="19" t="b">
        <f>IF(COUNTIFS('Form Responses 1'!$B:$B,$B5,'Form Responses 1'!$C:$C,2026,'Form Responses 1'!$D:$D,AI$2)&gt;0,TRUE)</f>
        <v>0</v>
      </c>
      <c r="AJ5" s="19" t="b">
        <f>IF(COUNTIFS('Form Responses 1'!$B:$B,$B5,'Form Responses 1'!$C:$C,2026,'Form Responses 1'!$D:$D,AJ$2)&gt;0,TRUE)</f>
        <v>0</v>
      </c>
      <c r="AK5" s="19" t="b">
        <f>IF(COUNTIFS('Form Responses 1'!$B:$B,$B5,'Form Responses 1'!$C:$C,2026,'Form Responses 1'!$D:$D,AK$2)&gt;0,TRUE)</f>
        <v>0</v>
      </c>
      <c r="AL5" s="19" t="b">
        <f>IF(COUNTIFS('Form Responses 1'!$B:$B,$B5,'Form Responses 1'!$C:$C,2026,'Form Responses 1'!$D:$D,AL$2)&gt;0,TRUE)</f>
        <v>0</v>
      </c>
      <c r="AM5" s="19" t="b">
        <f>IF(COUNTIFS('Form Responses 1'!$B:$B,$B5,'Form Responses 1'!$C:$C,2026,'Form Responses 1'!$D:$D,AM$2)&gt;0,TRUE)</f>
        <v>0</v>
      </c>
      <c r="AN5" s="19" t="b">
        <f>IF(COUNTIFS('Form Responses 1'!$B:$B,$B5,'Form Responses 1'!$C:$C,2026,'Form Responses 1'!$D:$D,AN$2)&gt;0,TRUE)</f>
        <v>0</v>
      </c>
      <c r="AO5" s="19" t="b">
        <f>IF(COUNTIFS('Form Responses 1'!$B:$B,$B5,'Form Responses 1'!$C:$C,2026,'Form Responses 1'!$D:$D,AO$2)&gt;0,TRUE)</f>
        <v>0</v>
      </c>
      <c r="AP5" s="19" t="b">
        <f>IF(COUNTIFS('Form Responses 1'!$B:$B,$B5,'Form Responses 1'!$C:$C,2026,'Form Responses 1'!$D:$D,AP$2)&gt;0,TRUE)</f>
        <v>0</v>
      </c>
      <c r="AQ5" s="19" t="b">
        <f>IF(COUNTIFS('Form Responses 1'!$B:$B,$B5,'Form Responses 1'!$C:$C,2026,'Form Responses 1'!$D:$D,AQ$2)&gt;0,TRUE)</f>
        <v>0</v>
      </c>
      <c r="AR5" s="19" t="b">
        <f>IF(COUNTIFS('Form Responses 1'!$B:$B,$B5,'Form Responses 1'!$C:$C,2026,'Form Responses 1'!$D:$D,AR$2)&gt;0,TRUE)</f>
        <v>0</v>
      </c>
      <c r="AS5" s="19" t="b">
        <f>IF(COUNTIFS('Form Responses 1'!$B:$B,$B5,'Form Responses 1'!$C:$C,2026,'Form Responses 1'!$D:$D,AS$2)&gt;0,TRUE)</f>
        <v>0</v>
      </c>
      <c r="AT5" s="19" t="b">
        <f>IF(COUNTIFS('Form Responses 1'!$B:$B,$B5,'Form Responses 1'!$C:$C,2026,'Form Responses 1'!$D:$D,AT$2)&gt;0,TRUE)</f>
        <v>0</v>
      </c>
      <c r="AU5" s="19" t="b">
        <f>IF(COUNTIFS('Form Responses 1'!$B:$B,$B5,'Form Responses 1'!$C:$C,2026,'Form Responses 1'!$D:$D,AU$2)&gt;0,TRUE)</f>
        <v>0</v>
      </c>
    </row>
    <row r="6" spans="1:47" ht="12.75" x14ac:dyDescent="0.2">
      <c r="A6" s="11">
        <v>4</v>
      </c>
      <c r="B6" s="10" t="s">
        <v>56</v>
      </c>
      <c r="C6" s="18" t="b">
        <f>IF(COUNTIFS('Form Responses 1'!$B:$B,$B6,'Form Responses 1'!$C:$C,2024,'Form Responses 1'!$D:$D,C$2)&gt;0,TRUE)</f>
        <v>0</v>
      </c>
      <c r="D6" s="18" t="b">
        <f>IF(COUNTIFS('Form Responses 1'!$B:$B,$B6,'Form Responses 1'!$C:$C,2024,'Form Responses 1'!$D:$D,D$2)&gt;0,TRUE)</f>
        <v>1</v>
      </c>
      <c r="E6" s="18" t="b">
        <f>IF(COUNTIFS('Form Responses 1'!$B:$B,$B6,'Form Responses 1'!$C:$C,2024,'Form Responses 1'!$D:$D,E$2)&gt;0,TRUE)</f>
        <v>1</v>
      </c>
      <c r="F6" s="18" t="b">
        <f>IF(COUNTIFS('Form Responses 1'!$B:$B,$B6,'Form Responses 1'!$C:$C,2024,'Form Responses 1'!$D:$D,F$2)&gt;0,TRUE)</f>
        <v>1</v>
      </c>
      <c r="G6" s="18" t="b">
        <f>IF(COUNTIFS('Form Responses 1'!$B:$B,$B6,'Form Responses 1'!$C:$C,2024,'Form Responses 1'!$D:$D,G$2)&gt;0,TRUE)</f>
        <v>1</v>
      </c>
      <c r="H6" s="18" t="b">
        <f>IF(COUNTIFS('Form Responses 1'!$B:$B,$B6,'Form Responses 1'!$C:$C,2024,'Form Responses 1'!$D:$D,H$2)&gt;0,TRUE)</f>
        <v>1</v>
      </c>
      <c r="I6" s="18" t="b">
        <f>IF(COUNTIFS('Form Responses 1'!$B:$B,$B6,'Form Responses 1'!$C:$C,2024,'Form Responses 1'!$D:$D,I$2)&gt;0,TRUE)</f>
        <v>1</v>
      </c>
      <c r="J6" s="18" t="b">
        <f>IF(COUNTIFS('Form Responses 1'!$B:$B,$B6,'Form Responses 1'!$C:$C,2024,'Form Responses 1'!$D:$D,J$2)&gt;0,TRUE)</f>
        <v>1</v>
      </c>
      <c r="K6" s="18" t="b">
        <f>IF(COUNTIFS('Form Responses 1'!$B:$B,$B6,'Form Responses 1'!$C:$C,2024,'Form Responses 1'!$D:$D,K$2)&gt;0,TRUE)</f>
        <v>1</v>
      </c>
      <c r="L6" s="18" t="b">
        <f>IF(COUNTIFS('Form Responses 1'!$B:$B,$B6,'Form Responses 1'!$C:$C,2024,'Form Responses 1'!$D:$D,L$2)&gt;0,TRUE)</f>
        <v>1</v>
      </c>
      <c r="M6" s="18" t="b">
        <f>IF(COUNTIFS('Form Responses 1'!$B:$B,$B6,'Form Responses 1'!$C:$C,2024,'Form Responses 1'!$D:$D,M$2)&gt;0,TRUE)</f>
        <v>1</v>
      </c>
      <c r="N6" s="18" t="b">
        <f>IF(COUNTIFS('Form Responses 1'!$B:$B,$B6,'Form Responses 1'!$C:$C,2024,'Form Responses 1'!$D:$D,N$2)&gt;0,TRUE)</f>
        <v>1</v>
      </c>
      <c r="O6" s="18" t="b">
        <f>IF(COUNTIFS('Form Responses 1'!$B:$B,$B6,'Form Responses 1'!$C:$C,2024,'Form Responses 1'!$D:$D,O$2)&gt;0,TRUE)</f>
        <v>1</v>
      </c>
      <c r="P6" s="18" t="b">
        <f>IF(COUNTIFS('Form Responses 1'!$B:$B,$B6,'Form Responses 1'!$C:$C,2024,'Form Responses 1'!$D:$D,P$2)&gt;0,TRUE)</f>
        <v>1</v>
      </c>
      <c r="Q6" s="18" t="b">
        <f>IF(COUNTIFS('Form Responses 1'!$B:$B,$B6,'Form Responses 1'!$C:$C,2025,'Form Responses 1'!$D:$D,Q$2)&gt;0,TRUE)</f>
        <v>1</v>
      </c>
      <c r="R6" s="18" t="b">
        <f>IF(COUNTIFS('Form Responses 1'!$B:$B,$B6,'Form Responses 1'!$C:$C,2025,'Form Responses 1'!$D:$D,R$2)&gt;0,TRUE)</f>
        <v>1</v>
      </c>
      <c r="S6" s="19" t="b">
        <f>IF(COUNTIFS('Form Responses 1'!$B:$B,$B6,'Form Responses 1'!$C:$C,2025,'Form Responses 1'!$D:$D,S$2)&gt;0,TRUE)</f>
        <v>1</v>
      </c>
      <c r="T6" s="19" t="b">
        <f>IF(COUNTIFS('Form Responses 1'!$B:$B,$B6,'Form Responses 1'!$C:$C,2025,'Form Responses 1'!$D:$D,T$2)&gt;0,TRUE)</f>
        <v>1</v>
      </c>
      <c r="U6" s="19" t="b">
        <f>IF(COUNTIFS('Form Responses 1'!$B:$B,$B6,'Form Responses 1'!$C:$C,2025,'Form Responses 1'!$D:$D,U$2)&gt;0,TRUE)</f>
        <v>1</v>
      </c>
      <c r="V6" s="19" t="b">
        <f>IF(COUNTIFS('Form Responses 1'!$B:$B,$B6,'Form Responses 1'!$C:$C,2025,'Form Responses 1'!$D:$D,V$2)&gt;0,TRUE)</f>
        <v>1</v>
      </c>
      <c r="W6" s="19" t="b">
        <f>IF(COUNTIFS('Form Responses 1'!$B:$B,$B6,'Form Responses 1'!$C:$C,2025,'Form Responses 1'!$D:$D,W$2)&gt;0,TRUE)</f>
        <v>1</v>
      </c>
      <c r="X6" s="19" t="b">
        <f>IF(COUNTIFS('Form Responses 1'!$B:$B,$B6,'Form Responses 1'!$C:$C,2025,'Form Responses 1'!$D:$D,X$2)&gt;0,TRUE)</f>
        <v>1</v>
      </c>
      <c r="Y6" s="19" t="b">
        <f>IF(COUNTIFS('Form Responses 1'!$B:$B,$B6,'Form Responses 1'!$C:$C,2025,'Form Responses 1'!$D:$D,Y$2)&gt;0,TRUE)</f>
        <v>1</v>
      </c>
      <c r="Z6" s="19" t="b">
        <f>IF(COUNTIFS('Form Responses 1'!$B:$B,$B6,'Form Responses 1'!$C:$C,2025,'Form Responses 1'!$D:$D,Z$2)&gt;0,TRUE)</f>
        <v>1</v>
      </c>
      <c r="AA6" s="19" t="b">
        <f>IF(COUNTIFS('Form Responses 1'!$B:$B,$B6,'Form Responses 1'!$C:$C,2025,'Form Responses 1'!$D:$D,AA$2)&gt;0,TRUE)</f>
        <v>1</v>
      </c>
      <c r="AB6" s="19" t="b">
        <f>IF(COUNTIFS('Form Responses 1'!$B:$B,$B6,'Form Responses 1'!$C:$C,2025,'Form Responses 1'!$D:$D,AB$2)&gt;0,TRUE)</f>
        <v>1</v>
      </c>
      <c r="AC6" s="19" t="b">
        <f>IF(COUNTIFS('Form Responses 1'!$B:$B,$B6,'Form Responses 1'!$C:$C,2025,'Form Responses 1'!$D:$D,AC$2)&gt;0,TRUE)</f>
        <v>0</v>
      </c>
      <c r="AD6" s="19" t="b">
        <f>IF(COUNTIFS('Form Responses 1'!$B:$B,$B6,'Form Responses 1'!$C:$C,2025,'Form Responses 1'!$D:$D,AD$2)&gt;0,TRUE)</f>
        <v>0</v>
      </c>
      <c r="AE6" s="19" t="b">
        <f>IF(COUNTIFS('Form Responses 1'!$B:$B,$B6,'Form Responses 1'!$C:$C,2025,'Form Responses 1'!$D:$D,AE$2)&gt;0,TRUE)</f>
        <v>1</v>
      </c>
      <c r="AF6" s="19" t="b">
        <f>IF(COUNTIFS('Form Responses 1'!$B:$B,$B6,'Form Responses 1'!$C:$C,2025,'Form Responses 1'!$D:$D,AF$2)&gt;0,TRUE)</f>
        <v>1</v>
      </c>
      <c r="AG6" s="19" t="b">
        <f>IF(COUNTIFS('Form Responses 1'!$B:$B,$B6,'Form Responses 1'!$C:$C,2026,'Form Responses 1'!$D:$D,AG$2)&gt;0,TRUE)</f>
        <v>0</v>
      </c>
      <c r="AH6" s="19" t="b">
        <f>IF(COUNTIFS('Form Responses 1'!$B:$B,$B6,'Form Responses 1'!$C:$C,2026,'Form Responses 1'!$D:$D,AH$2)&gt;0,TRUE)</f>
        <v>0</v>
      </c>
      <c r="AI6" s="19" t="b">
        <f>IF(COUNTIFS('Form Responses 1'!$B:$B,$B6,'Form Responses 1'!$C:$C,2026,'Form Responses 1'!$D:$D,AI$2)&gt;0,TRUE)</f>
        <v>0</v>
      </c>
      <c r="AJ6" s="19" t="b">
        <f>IF(COUNTIFS('Form Responses 1'!$B:$B,$B6,'Form Responses 1'!$C:$C,2026,'Form Responses 1'!$D:$D,AJ$2)&gt;0,TRUE)</f>
        <v>0</v>
      </c>
      <c r="AK6" s="19" t="b">
        <f>IF(COUNTIFS('Form Responses 1'!$B:$B,$B6,'Form Responses 1'!$C:$C,2026,'Form Responses 1'!$D:$D,AK$2)&gt;0,TRUE)</f>
        <v>0</v>
      </c>
      <c r="AL6" s="19" t="b">
        <f>IF(COUNTIFS('Form Responses 1'!$B:$B,$B6,'Form Responses 1'!$C:$C,2026,'Form Responses 1'!$D:$D,AL$2)&gt;0,TRUE)</f>
        <v>0</v>
      </c>
      <c r="AM6" s="19" t="b">
        <f>IF(COUNTIFS('Form Responses 1'!$B:$B,$B6,'Form Responses 1'!$C:$C,2026,'Form Responses 1'!$D:$D,AM$2)&gt;0,TRUE)</f>
        <v>0</v>
      </c>
      <c r="AN6" s="19" t="b">
        <f>IF(COUNTIFS('Form Responses 1'!$B:$B,$B6,'Form Responses 1'!$C:$C,2026,'Form Responses 1'!$D:$D,AN$2)&gt;0,TRUE)</f>
        <v>0</v>
      </c>
      <c r="AO6" s="19" t="b">
        <f>IF(COUNTIFS('Form Responses 1'!$B:$B,$B6,'Form Responses 1'!$C:$C,2026,'Form Responses 1'!$D:$D,AO$2)&gt;0,TRUE)</f>
        <v>0</v>
      </c>
      <c r="AP6" s="19" t="b">
        <f>IF(COUNTIFS('Form Responses 1'!$B:$B,$B6,'Form Responses 1'!$C:$C,2026,'Form Responses 1'!$D:$D,AP$2)&gt;0,TRUE)</f>
        <v>0</v>
      </c>
      <c r="AQ6" s="19" t="b">
        <f>IF(COUNTIFS('Form Responses 1'!$B:$B,$B6,'Form Responses 1'!$C:$C,2026,'Form Responses 1'!$D:$D,AQ$2)&gt;0,TRUE)</f>
        <v>0</v>
      </c>
      <c r="AR6" s="19" t="b">
        <f>IF(COUNTIFS('Form Responses 1'!$B:$B,$B6,'Form Responses 1'!$C:$C,2026,'Form Responses 1'!$D:$D,AR$2)&gt;0,TRUE)</f>
        <v>0</v>
      </c>
      <c r="AS6" s="19" t="b">
        <f>IF(COUNTIFS('Form Responses 1'!$B:$B,$B6,'Form Responses 1'!$C:$C,2026,'Form Responses 1'!$D:$D,AS$2)&gt;0,TRUE)</f>
        <v>0</v>
      </c>
      <c r="AT6" s="19" t="b">
        <f>IF(COUNTIFS('Form Responses 1'!$B:$B,$B6,'Form Responses 1'!$C:$C,2026,'Form Responses 1'!$D:$D,AT$2)&gt;0,TRUE)</f>
        <v>0</v>
      </c>
      <c r="AU6" s="19" t="b">
        <f>IF(COUNTIFS('Form Responses 1'!$B:$B,$B6,'Form Responses 1'!$C:$C,2026,'Form Responses 1'!$D:$D,AU$2)&gt;0,TRUE)</f>
        <v>0</v>
      </c>
    </row>
    <row r="7" spans="1:47" ht="12.75" x14ac:dyDescent="0.2">
      <c r="A7" s="9">
        <v>5</v>
      </c>
      <c r="B7" s="10" t="s">
        <v>11</v>
      </c>
      <c r="C7" s="18" t="b">
        <f>IF(COUNTIFS('Form Responses 1'!$B:$B,$B7,'Form Responses 1'!$C:$C,2024,'Form Responses 1'!$D:$D,C$2)&gt;0,TRUE)</f>
        <v>1</v>
      </c>
      <c r="D7" s="18" t="b">
        <f>IF(COUNTIFS('Form Responses 1'!$B:$B,$B7,'Form Responses 1'!$C:$C,2024,'Form Responses 1'!$D:$D,D$2)&gt;0,TRUE)</f>
        <v>1</v>
      </c>
      <c r="E7" s="18" t="b">
        <f>IF(COUNTIFS('Form Responses 1'!$B:$B,$B7,'Form Responses 1'!$C:$C,2024,'Form Responses 1'!$D:$D,E$2)&gt;0,TRUE)</f>
        <v>1</v>
      </c>
      <c r="F7" s="18" t="b">
        <f>IF(COUNTIFS('Form Responses 1'!$B:$B,$B7,'Form Responses 1'!$C:$C,2024,'Form Responses 1'!$D:$D,F$2)&gt;0,TRUE)</f>
        <v>1</v>
      </c>
      <c r="G7" s="18" t="b">
        <f>IF(COUNTIFS('Form Responses 1'!$B:$B,$B7,'Form Responses 1'!$C:$C,2024,'Form Responses 1'!$D:$D,G$2)&gt;0,TRUE)</f>
        <v>1</v>
      </c>
      <c r="H7" s="18" t="b">
        <f>IF(COUNTIFS('Form Responses 1'!$B:$B,$B7,'Form Responses 1'!$C:$C,2024,'Form Responses 1'!$D:$D,H$2)&gt;0,TRUE)</f>
        <v>1</v>
      </c>
      <c r="I7" s="18" t="b">
        <f>IF(COUNTIFS('Form Responses 1'!$B:$B,$B7,'Form Responses 1'!$C:$C,2024,'Form Responses 1'!$D:$D,I$2)&gt;0,TRUE)</f>
        <v>1</v>
      </c>
      <c r="J7" s="18" t="b">
        <f>IF(COUNTIFS('Form Responses 1'!$B:$B,$B7,'Form Responses 1'!$C:$C,2024,'Form Responses 1'!$D:$D,J$2)&gt;0,TRUE)</f>
        <v>1</v>
      </c>
      <c r="K7" s="18" t="b">
        <f>IF(COUNTIFS('Form Responses 1'!$B:$B,$B7,'Form Responses 1'!$C:$C,2024,'Form Responses 1'!$D:$D,K$2)&gt;0,TRUE)</f>
        <v>1</v>
      </c>
      <c r="L7" s="18" t="b">
        <f>IF(COUNTIFS('Form Responses 1'!$B:$B,$B7,'Form Responses 1'!$C:$C,2024,'Form Responses 1'!$D:$D,L$2)&gt;0,TRUE)</f>
        <v>1</v>
      </c>
      <c r="M7" s="18" t="b">
        <f>IF(COUNTIFS('Form Responses 1'!$B:$B,$B7,'Form Responses 1'!$C:$C,2024,'Form Responses 1'!$D:$D,M$2)&gt;0,TRUE)</f>
        <v>1</v>
      </c>
      <c r="N7" s="18" t="b">
        <f>IF(COUNTIFS('Form Responses 1'!$B:$B,$B7,'Form Responses 1'!$C:$C,2024,'Form Responses 1'!$D:$D,N$2)&gt;0,TRUE)</f>
        <v>1</v>
      </c>
      <c r="O7" s="18" t="b">
        <f>IF(COUNTIFS('Form Responses 1'!$B:$B,$B7,'Form Responses 1'!$C:$C,2024,'Form Responses 1'!$D:$D,O$2)&gt;0,TRUE)</f>
        <v>1</v>
      </c>
      <c r="P7" s="18" t="b">
        <f>IF(COUNTIFS('Form Responses 1'!$B:$B,$B7,'Form Responses 1'!$C:$C,2024,'Form Responses 1'!$D:$D,P$2)&gt;0,TRUE)</f>
        <v>1</v>
      </c>
      <c r="Q7" s="18" t="b">
        <f>IF(COUNTIFS('Form Responses 1'!$B:$B,$B7,'Form Responses 1'!$C:$C,2025,'Form Responses 1'!$D:$D,Q$2)&gt;0,TRUE)</f>
        <v>1</v>
      </c>
      <c r="R7" s="18" t="b">
        <f>IF(COUNTIFS('Form Responses 1'!$B:$B,$B7,'Form Responses 1'!$C:$C,2025,'Form Responses 1'!$D:$D,R$2)&gt;0,TRUE)</f>
        <v>1</v>
      </c>
      <c r="S7" s="19" t="b">
        <f>IF(COUNTIFS('Form Responses 1'!$B:$B,$B7,'Form Responses 1'!$C:$C,2025,'Form Responses 1'!$D:$D,S$2)&gt;0,TRUE)</f>
        <v>1</v>
      </c>
      <c r="T7" s="19" t="b">
        <f>IF(COUNTIFS('Form Responses 1'!$B:$B,$B7,'Form Responses 1'!$C:$C,2025,'Form Responses 1'!$D:$D,T$2)&gt;0,TRUE)</f>
        <v>1</v>
      </c>
      <c r="U7" s="19" t="b">
        <f>IF(COUNTIFS('Form Responses 1'!$B:$B,$B7,'Form Responses 1'!$C:$C,2025,'Form Responses 1'!$D:$D,U$2)&gt;0,TRUE)</f>
        <v>1</v>
      </c>
      <c r="V7" s="19" t="b">
        <f>IF(COUNTIFS('Form Responses 1'!$B:$B,$B7,'Form Responses 1'!$C:$C,2025,'Form Responses 1'!$D:$D,V$2)&gt;0,TRUE)</f>
        <v>1</v>
      </c>
      <c r="W7" s="19" t="b">
        <f>IF(COUNTIFS('Form Responses 1'!$B:$B,$B7,'Form Responses 1'!$C:$C,2025,'Form Responses 1'!$D:$D,W$2)&gt;0,TRUE)</f>
        <v>1</v>
      </c>
      <c r="X7" s="19" t="b">
        <f>IF(COUNTIFS('Form Responses 1'!$B:$B,$B7,'Form Responses 1'!$C:$C,2025,'Form Responses 1'!$D:$D,X$2)&gt;0,TRUE)</f>
        <v>1</v>
      </c>
      <c r="Y7" s="19" t="b">
        <f>IF(COUNTIFS('Form Responses 1'!$B:$B,$B7,'Form Responses 1'!$C:$C,2025,'Form Responses 1'!$D:$D,Y$2)&gt;0,TRUE)</f>
        <v>1</v>
      </c>
      <c r="Z7" s="19" t="b">
        <f>IF(COUNTIFS('Form Responses 1'!$B:$B,$B7,'Form Responses 1'!$C:$C,2025,'Form Responses 1'!$D:$D,Z$2)&gt;0,TRUE)</f>
        <v>1</v>
      </c>
      <c r="AA7" s="19" t="b">
        <f>IF(COUNTIFS('Form Responses 1'!$B:$B,$B7,'Form Responses 1'!$C:$C,2025,'Form Responses 1'!$D:$D,AA$2)&gt;0,TRUE)</f>
        <v>1</v>
      </c>
      <c r="AB7" s="19" t="b">
        <f>IF(COUNTIFS('Form Responses 1'!$B:$B,$B7,'Form Responses 1'!$C:$C,2025,'Form Responses 1'!$D:$D,AB$2)&gt;0,TRUE)</f>
        <v>1</v>
      </c>
      <c r="AC7" s="19" t="b">
        <f>IF(COUNTIFS('Form Responses 1'!$B:$B,$B7,'Form Responses 1'!$C:$C,2025,'Form Responses 1'!$D:$D,AC$2)&gt;0,TRUE)</f>
        <v>1</v>
      </c>
      <c r="AD7" s="19" t="b">
        <f>IF(COUNTIFS('Form Responses 1'!$B:$B,$B7,'Form Responses 1'!$C:$C,2025,'Form Responses 1'!$D:$D,AD$2)&gt;0,TRUE)</f>
        <v>1</v>
      </c>
      <c r="AE7" s="19" t="b">
        <f>IF(COUNTIFS('Form Responses 1'!$B:$B,$B7,'Form Responses 1'!$C:$C,2025,'Form Responses 1'!$D:$D,AE$2)&gt;0,TRUE)</f>
        <v>1</v>
      </c>
      <c r="AF7" s="19" t="b">
        <f>IF(COUNTIFS('Form Responses 1'!$B:$B,$B7,'Form Responses 1'!$C:$C,2025,'Form Responses 1'!$D:$D,AF$2)&gt;0,TRUE)</f>
        <v>1</v>
      </c>
      <c r="AG7" s="19" t="b">
        <f>IF(COUNTIFS('Form Responses 1'!$B:$B,$B7,'Form Responses 1'!$C:$C,2026,'Form Responses 1'!$D:$D,AG$2)&gt;0,TRUE)</f>
        <v>0</v>
      </c>
      <c r="AH7" s="19" t="b">
        <f>IF(COUNTIFS('Form Responses 1'!$B:$B,$B7,'Form Responses 1'!$C:$C,2026,'Form Responses 1'!$D:$D,AH$2)&gt;0,TRUE)</f>
        <v>0</v>
      </c>
      <c r="AI7" s="19" t="b">
        <f>IF(COUNTIFS('Form Responses 1'!$B:$B,$B7,'Form Responses 1'!$C:$C,2026,'Form Responses 1'!$D:$D,AI$2)&gt;0,TRUE)</f>
        <v>0</v>
      </c>
      <c r="AJ7" s="19" t="b">
        <f>IF(COUNTIFS('Form Responses 1'!$B:$B,$B7,'Form Responses 1'!$C:$C,2026,'Form Responses 1'!$D:$D,AJ$2)&gt;0,TRUE)</f>
        <v>0</v>
      </c>
      <c r="AK7" s="19" t="b">
        <f>IF(COUNTIFS('Form Responses 1'!$B:$B,$B7,'Form Responses 1'!$C:$C,2026,'Form Responses 1'!$D:$D,AK$2)&gt;0,TRUE)</f>
        <v>0</v>
      </c>
      <c r="AL7" s="19" t="b">
        <f>IF(COUNTIFS('Form Responses 1'!$B:$B,$B7,'Form Responses 1'!$C:$C,2026,'Form Responses 1'!$D:$D,AL$2)&gt;0,TRUE)</f>
        <v>0</v>
      </c>
      <c r="AM7" s="19" t="b">
        <f>IF(COUNTIFS('Form Responses 1'!$B:$B,$B7,'Form Responses 1'!$C:$C,2026,'Form Responses 1'!$D:$D,AM$2)&gt;0,TRUE)</f>
        <v>0</v>
      </c>
      <c r="AN7" s="19" t="b">
        <f>IF(COUNTIFS('Form Responses 1'!$B:$B,$B7,'Form Responses 1'!$C:$C,2026,'Form Responses 1'!$D:$D,AN$2)&gt;0,TRUE)</f>
        <v>0</v>
      </c>
      <c r="AO7" s="19" t="b">
        <f>IF(COUNTIFS('Form Responses 1'!$B:$B,$B7,'Form Responses 1'!$C:$C,2026,'Form Responses 1'!$D:$D,AO$2)&gt;0,TRUE)</f>
        <v>0</v>
      </c>
      <c r="AP7" s="19" t="b">
        <f>IF(COUNTIFS('Form Responses 1'!$B:$B,$B7,'Form Responses 1'!$C:$C,2026,'Form Responses 1'!$D:$D,AP$2)&gt;0,TRUE)</f>
        <v>0</v>
      </c>
      <c r="AQ7" s="19" t="b">
        <f>IF(COUNTIFS('Form Responses 1'!$B:$B,$B7,'Form Responses 1'!$C:$C,2026,'Form Responses 1'!$D:$D,AQ$2)&gt;0,TRUE)</f>
        <v>0</v>
      </c>
      <c r="AR7" s="19" t="b">
        <f>IF(COUNTIFS('Form Responses 1'!$B:$B,$B7,'Form Responses 1'!$C:$C,2026,'Form Responses 1'!$D:$D,AR$2)&gt;0,TRUE)</f>
        <v>0</v>
      </c>
      <c r="AS7" s="19" t="b">
        <f>IF(COUNTIFS('Form Responses 1'!$B:$B,$B7,'Form Responses 1'!$C:$C,2026,'Form Responses 1'!$D:$D,AS$2)&gt;0,TRUE)</f>
        <v>0</v>
      </c>
      <c r="AT7" s="19" t="b">
        <f>IF(COUNTIFS('Form Responses 1'!$B:$B,$B7,'Form Responses 1'!$C:$C,2026,'Form Responses 1'!$D:$D,AT$2)&gt;0,TRUE)</f>
        <v>0</v>
      </c>
      <c r="AU7" s="19" t="b">
        <f>IF(COUNTIFS('Form Responses 1'!$B:$B,$B7,'Form Responses 1'!$C:$C,2026,'Form Responses 1'!$D:$D,AU$2)&gt;0,TRUE)</f>
        <v>0</v>
      </c>
    </row>
    <row r="8" spans="1:47" ht="12.75" x14ac:dyDescent="0.2">
      <c r="A8" s="11">
        <v>6</v>
      </c>
      <c r="B8" s="10" t="s">
        <v>686</v>
      </c>
      <c r="C8" s="18" t="b">
        <f>IF(COUNTIFS('Form Responses 1'!$B:$B,$B8,'Form Responses 1'!$C:$C,2024,'Form Responses 1'!$D:$D,C$2)&gt;0,TRUE)</f>
        <v>1</v>
      </c>
      <c r="D8" s="18" t="b">
        <f>IF(COUNTIFS('Form Responses 1'!$B:$B,$B8,'Form Responses 1'!$C:$C,2024,'Form Responses 1'!$D:$D,D$2)&gt;0,TRUE)</f>
        <v>1</v>
      </c>
      <c r="E8" s="18" t="b">
        <f>IF(COUNTIFS('Form Responses 1'!$B:$B,$B8,'Form Responses 1'!$C:$C,2024,'Form Responses 1'!$D:$D,E$2)&gt;0,TRUE)</f>
        <v>1</v>
      </c>
      <c r="F8" s="18" t="b">
        <f>IF(COUNTIFS('Form Responses 1'!$B:$B,$B8,'Form Responses 1'!$C:$C,2024,'Form Responses 1'!$D:$D,F$2)&gt;0,TRUE)</f>
        <v>1</v>
      </c>
      <c r="G8" s="18" t="b">
        <f>IF(COUNTIFS('Form Responses 1'!$B:$B,$B8,'Form Responses 1'!$C:$C,2024,'Form Responses 1'!$D:$D,G$2)&gt;0,TRUE)</f>
        <v>1</v>
      </c>
      <c r="H8" s="18" t="b">
        <f>IF(COUNTIFS('Form Responses 1'!$B:$B,$B8,'Form Responses 1'!$C:$C,2024,'Form Responses 1'!$D:$D,H$2)&gt;0,TRUE)</f>
        <v>1</v>
      </c>
      <c r="I8" s="18" t="b">
        <f>IF(COUNTIFS('Form Responses 1'!$B:$B,$B8,'Form Responses 1'!$C:$C,2024,'Form Responses 1'!$D:$D,I$2)&gt;0,TRUE)</f>
        <v>1</v>
      </c>
      <c r="J8" s="18" t="b">
        <f>IF(COUNTIFS('Form Responses 1'!$B:$B,$B8,'Form Responses 1'!$C:$C,2024,'Form Responses 1'!$D:$D,J$2)&gt;0,TRUE)</f>
        <v>1</v>
      </c>
      <c r="K8" s="18" t="b">
        <f>IF(COUNTIFS('Form Responses 1'!$B:$B,$B8,'Form Responses 1'!$C:$C,2024,'Form Responses 1'!$D:$D,K$2)&gt;0,TRUE)</f>
        <v>1</v>
      </c>
      <c r="L8" s="18" t="b">
        <f>IF(COUNTIFS('Form Responses 1'!$B:$B,$B8,'Form Responses 1'!$C:$C,2024,'Form Responses 1'!$D:$D,L$2)&gt;0,TRUE)</f>
        <v>1</v>
      </c>
      <c r="M8" s="18" t="b">
        <f>IF(COUNTIFS('Form Responses 1'!$B:$B,$B8,'Form Responses 1'!$C:$C,2024,'Form Responses 1'!$D:$D,M$2)&gt;0,TRUE)</f>
        <v>1</v>
      </c>
      <c r="N8" s="18" t="b">
        <f>IF(COUNTIFS('Form Responses 1'!$B:$B,$B8,'Form Responses 1'!$C:$C,2024,'Form Responses 1'!$D:$D,N$2)&gt;0,TRUE)</f>
        <v>1</v>
      </c>
      <c r="O8" s="18" t="b">
        <f>IF(COUNTIFS('Form Responses 1'!$B:$B,$B8,'Form Responses 1'!$C:$C,2024,'Form Responses 1'!$D:$D,O$2)&gt;0,TRUE)</f>
        <v>1</v>
      </c>
      <c r="P8" s="18" t="b">
        <f>IF(COUNTIFS('Form Responses 1'!$B:$B,$B8,'Form Responses 1'!$C:$C,2024,'Form Responses 1'!$D:$D,P$2)&gt;0,TRUE)</f>
        <v>1</v>
      </c>
      <c r="Q8" s="18" t="b">
        <f>IF(COUNTIFS('Form Responses 1'!$B:$B,$B8,'Form Responses 1'!$C:$C,2025,'Form Responses 1'!$D:$D,Q$2)&gt;0,TRUE)</f>
        <v>1</v>
      </c>
      <c r="R8" s="18" t="b">
        <f>IF(COUNTIFS('Form Responses 1'!$B:$B,$B8,'Form Responses 1'!$C:$C,2025,'Form Responses 1'!$D:$D,R$2)&gt;0,TRUE)</f>
        <v>1</v>
      </c>
      <c r="S8" s="19" t="b">
        <f>IF(COUNTIFS('Form Responses 1'!$B:$B,$B8,'Form Responses 1'!$C:$C,2025,'Form Responses 1'!$D:$D,S$2)&gt;0,TRUE)</f>
        <v>1</v>
      </c>
      <c r="T8" s="19" t="b">
        <f>IF(COUNTIFS('Form Responses 1'!$B:$B,$B8,'Form Responses 1'!$C:$C,2025,'Form Responses 1'!$D:$D,T$2)&gt;0,TRUE)</f>
        <v>1</v>
      </c>
      <c r="U8" s="19" t="b">
        <f>IF(COUNTIFS('Form Responses 1'!$B:$B,$B8,'Form Responses 1'!$C:$C,2025,'Form Responses 1'!$D:$D,U$2)&gt;0,TRUE)</f>
        <v>1</v>
      </c>
      <c r="V8" s="19" t="b">
        <f>IF(COUNTIFS('Form Responses 1'!$B:$B,$B8,'Form Responses 1'!$C:$C,2025,'Form Responses 1'!$D:$D,V$2)&gt;0,TRUE)</f>
        <v>1</v>
      </c>
      <c r="W8" s="19" t="b">
        <f>IF(COUNTIFS('Form Responses 1'!$B:$B,$B8,'Form Responses 1'!$C:$C,2025,'Form Responses 1'!$D:$D,W$2)&gt;0,TRUE)</f>
        <v>1</v>
      </c>
      <c r="X8" s="19" t="b">
        <f>IF(COUNTIFS('Form Responses 1'!$B:$B,$B8,'Form Responses 1'!$C:$C,2025,'Form Responses 1'!$D:$D,X$2)&gt;0,TRUE)</f>
        <v>1</v>
      </c>
      <c r="Y8" s="19" t="b">
        <f>IF(COUNTIFS('Form Responses 1'!$B:$B,$B8,'Form Responses 1'!$C:$C,2025,'Form Responses 1'!$D:$D,Y$2)&gt;0,TRUE)</f>
        <v>1</v>
      </c>
      <c r="Z8" s="19" t="b">
        <f>IF(COUNTIFS('Form Responses 1'!$B:$B,$B8,'Form Responses 1'!$C:$C,2025,'Form Responses 1'!$D:$D,Z$2)&gt;0,TRUE)</f>
        <v>1</v>
      </c>
      <c r="AA8" s="19" t="b">
        <f>IF(COUNTIFS('Form Responses 1'!$B:$B,$B8,'Form Responses 1'!$C:$C,2025,'Form Responses 1'!$D:$D,AA$2)&gt;0,TRUE)</f>
        <v>1</v>
      </c>
      <c r="AB8" s="19" t="b">
        <f>IF(COUNTIFS('Form Responses 1'!$B:$B,$B8,'Form Responses 1'!$C:$C,2025,'Form Responses 1'!$D:$D,AB$2)&gt;0,TRUE)</f>
        <v>1</v>
      </c>
      <c r="AC8" s="19" t="b">
        <f>IF(COUNTIFS('Form Responses 1'!$B:$B,$B8,'Form Responses 1'!$C:$C,2025,'Form Responses 1'!$D:$D,AC$2)&gt;0,TRUE)</f>
        <v>1</v>
      </c>
      <c r="AD8" s="19" t="b">
        <f>IF(COUNTIFS('Form Responses 1'!$B:$B,$B8,'Form Responses 1'!$C:$C,2025,'Form Responses 1'!$D:$D,AD$2)&gt;0,TRUE)</f>
        <v>1</v>
      </c>
      <c r="AE8" s="19" t="b">
        <f>IF(COUNTIFS('Form Responses 1'!$B:$B,$B8,'Form Responses 1'!$C:$C,2025,'Form Responses 1'!$D:$D,AE$2)&gt;0,TRUE)</f>
        <v>1</v>
      </c>
      <c r="AF8" s="19" t="b">
        <f>IF(COUNTIFS('Form Responses 1'!$B:$B,$B8,'Form Responses 1'!$C:$C,2025,'Form Responses 1'!$D:$D,AF$2)&gt;0,TRUE)</f>
        <v>1</v>
      </c>
      <c r="AG8" s="19" t="b">
        <f>IF(COUNTIFS('Form Responses 1'!$B:$B,$B8,'Form Responses 1'!$C:$C,2026,'Form Responses 1'!$D:$D,AG$2)&gt;0,TRUE)</f>
        <v>0</v>
      </c>
      <c r="AH8" s="19" t="b">
        <f>IF(COUNTIFS('Form Responses 1'!$B:$B,$B8,'Form Responses 1'!$C:$C,2026,'Form Responses 1'!$D:$D,AH$2)&gt;0,TRUE)</f>
        <v>0</v>
      </c>
      <c r="AI8" s="19" t="b">
        <f>IF(COUNTIFS('Form Responses 1'!$B:$B,$B8,'Form Responses 1'!$C:$C,2026,'Form Responses 1'!$D:$D,AI$2)&gt;0,TRUE)</f>
        <v>0</v>
      </c>
      <c r="AJ8" s="19" t="b">
        <f>IF(COUNTIFS('Form Responses 1'!$B:$B,$B8,'Form Responses 1'!$C:$C,2026,'Form Responses 1'!$D:$D,AJ$2)&gt;0,TRUE)</f>
        <v>0</v>
      </c>
      <c r="AK8" s="19" t="b">
        <f>IF(COUNTIFS('Form Responses 1'!$B:$B,$B8,'Form Responses 1'!$C:$C,2026,'Form Responses 1'!$D:$D,AK$2)&gt;0,TRUE)</f>
        <v>0</v>
      </c>
      <c r="AL8" s="19" t="b">
        <f>IF(COUNTIFS('Form Responses 1'!$B:$B,$B8,'Form Responses 1'!$C:$C,2026,'Form Responses 1'!$D:$D,AL$2)&gt;0,TRUE)</f>
        <v>0</v>
      </c>
      <c r="AM8" s="19" t="b">
        <f>IF(COUNTIFS('Form Responses 1'!$B:$B,$B8,'Form Responses 1'!$C:$C,2026,'Form Responses 1'!$D:$D,AM$2)&gt;0,TRUE)</f>
        <v>0</v>
      </c>
      <c r="AN8" s="19" t="b">
        <f>IF(COUNTIFS('Form Responses 1'!$B:$B,$B8,'Form Responses 1'!$C:$C,2026,'Form Responses 1'!$D:$D,AN$2)&gt;0,TRUE)</f>
        <v>0</v>
      </c>
      <c r="AO8" s="19" t="b">
        <f>IF(COUNTIFS('Form Responses 1'!$B:$B,$B8,'Form Responses 1'!$C:$C,2026,'Form Responses 1'!$D:$D,AO$2)&gt;0,TRUE)</f>
        <v>0</v>
      </c>
      <c r="AP8" s="19" t="b">
        <f>IF(COUNTIFS('Form Responses 1'!$B:$B,$B8,'Form Responses 1'!$C:$C,2026,'Form Responses 1'!$D:$D,AP$2)&gt;0,TRUE)</f>
        <v>0</v>
      </c>
      <c r="AQ8" s="19" t="b">
        <f>IF(COUNTIFS('Form Responses 1'!$B:$B,$B8,'Form Responses 1'!$C:$C,2026,'Form Responses 1'!$D:$D,AQ$2)&gt;0,TRUE)</f>
        <v>0</v>
      </c>
      <c r="AR8" s="19" t="b">
        <f>IF(COUNTIFS('Form Responses 1'!$B:$B,$B8,'Form Responses 1'!$C:$C,2026,'Form Responses 1'!$D:$D,AR$2)&gt;0,TRUE)</f>
        <v>0</v>
      </c>
      <c r="AS8" s="19" t="b">
        <f>IF(COUNTIFS('Form Responses 1'!$B:$B,$B8,'Form Responses 1'!$C:$C,2026,'Form Responses 1'!$D:$D,AS$2)&gt;0,TRUE)</f>
        <v>0</v>
      </c>
      <c r="AT8" s="19" t="b">
        <f>IF(COUNTIFS('Form Responses 1'!$B:$B,$B8,'Form Responses 1'!$C:$C,2026,'Form Responses 1'!$D:$D,AT$2)&gt;0,TRUE)</f>
        <v>0</v>
      </c>
      <c r="AU8" s="19" t="b">
        <f>IF(COUNTIFS('Form Responses 1'!$B:$B,$B8,'Form Responses 1'!$C:$C,2026,'Form Responses 1'!$D:$D,AU$2)&gt;0,TRUE)</f>
        <v>0</v>
      </c>
    </row>
    <row r="9" spans="1:47" ht="12.75" x14ac:dyDescent="0.2">
      <c r="A9" s="9">
        <v>7</v>
      </c>
      <c r="B9" s="10" t="s">
        <v>70</v>
      </c>
      <c r="C9" s="18" t="b">
        <f>IF(COUNTIFS('Form Responses 1'!$B:$B,$B9,'Form Responses 1'!$C:$C,2024,'Form Responses 1'!$D:$D,C$2)&gt;0,TRUE)</f>
        <v>1</v>
      </c>
      <c r="D9" s="18" t="b">
        <f>IF(COUNTIFS('Form Responses 1'!$B:$B,$B9,'Form Responses 1'!$C:$C,2024,'Form Responses 1'!$D:$D,D$2)&gt;0,TRUE)</f>
        <v>1</v>
      </c>
      <c r="E9" s="18" t="b">
        <f>IF(COUNTIFS('Form Responses 1'!$B:$B,$B9,'Form Responses 1'!$C:$C,2024,'Form Responses 1'!$D:$D,E$2)&gt;0,TRUE)</f>
        <v>1</v>
      </c>
      <c r="F9" s="18" t="b">
        <f>IF(COUNTIFS('Form Responses 1'!$B:$B,$B9,'Form Responses 1'!$C:$C,2024,'Form Responses 1'!$D:$D,F$2)&gt;0,TRUE)</f>
        <v>1</v>
      </c>
      <c r="G9" s="18" t="b">
        <f>IF(COUNTIFS('Form Responses 1'!$B:$B,$B9,'Form Responses 1'!$C:$C,2024,'Form Responses 1'!$D:$D,G$2)&gt;0,TRUE)</f>
        <v>1</v>
      </c>
      <c r="H9" s="18" t="b">
        <f>IF(COUNTIFS('Form Responses 1'!$B:$B,$B9,'Form Responses 1'!$C:$C,2024,'Form Responses 1'!$D:$D,H$2)&gt;0,TRUE)</f>
        <v>1</v>
      </c>
      <c r="I9" s="18" t="b">
        <f>IF(COUNTIFS('Form Responses 1'!$B:$B,$B9,'Form Responses 1'!$C:$C,2024,'Form Responses 1'!$D:$D,I$2)&gt;0,TRUE)</f>
        <v>1</v>
      </c>
      <c r="J9" s="18" t="b">
        <f>IF(COUNTIFS('Form Responses 1'!$B:$B,$B9,'Form Responses 1'!$C:$C,2024,'Form Responses 1'!$D:$D,J$2)&gt;0,TRUE)</f>
        <v>1</v>
      </c>
      <c r="K9" s="18" t="b">
        <f>IF(COUNTIFS('Form Responses 1'!$B:$B,$B9,'Form Responses 1'!$C:$C,2024,'Form Responses 1'!$D:$D,K$2)&gt;0,TRUE)</f>
        <v>1</v>
      </c>
      <c r="L9" s="18" t="b">
        <f>IF(COUNTIFS('Form Responses 1'!$B:$B,$B9,'Form Responses 1'!$C:$C,2024,'Form Responses 1'!$D:$D,L$2)&gt;0,TRUE)</f>
        <v>1</v>
      </c>
      <c r="M9" s="18" t="b">
        <f>IF(COUNTIFS('Form Responses 1'!$B:$B,$B9,'Form Responses 1'!$C:$C,2024,'Form Responses 1'!$D:$D,M$2)&gt;0,TRUE)</f>
        <v>1</v>
      </c>
      <c r="N9" s="18" t="b">
        <f>IF(COUNTIFS('Form Responses 1'!$B:$B,$B9,'Form Responses 1'!$C:$C,2024,'Form Responses 1'!$D:$D,N$2)&gt;0,TRUE)</f>
        <v>1</v>
      </c>
      <c r="O9" s="18" t="b">
        <f>IF(COUNTIFS('Form Responses 1'!$B:$B,$B9,'Form Responses 1'!$C:$C,2024,'Form Responses 1'!$D:$D,O$2)&gt;0,TRUE)</f>
        <v>1</v>
      </c>
      <c r="P9" s="18" t="b">
        <f>IF(COUNTIFS('Form Responses 1'!$B:$B,$B9,'Form Responses 1'!$C:$C,2024,'Form Responses 1'!$D:$D,P$2)&gt;0,TRUE)</f>
        <v>1</v>
      </c>
      <c r="Q9" s="18" t="b">
        <f>IF(COUNTIFS('Form Responses 1'!$B:$B,$B9,'Form Responses 1'!$C:$C,2025,'Form Responses 1'!$D:$D,Q$2)&gt;0,TRUE)</f>
        <v>1</v>
      </c>
      <c r="R9" s="18" t="b">
        <f>IF(COUNTIFS('Form Responses 1'!$B:$B,$B9,'Form Responses 1'!$C:$C,2025,'Form Responses 1'!$D:$D,R$2)&gt;0,TRUE)</f>
        <v>1</v>
      </c>
      <c r="S9" s="19" t="b">
        <f>IF(COUNTIFS('Form Responses 1'!$B:$B,$B9,'Form Responses 1'!$C:$C,2025,'Form Responses 1'!$D:$D,S$2)&gt;0,TRUE)</f>
        <v>1</v>
      </c>
      <c r="T9" s="19" t="b">
        <f>IF(COUNTIFS('Form Responses 1'!$B:$B,$B9,'Form Responses 1'!$C:$C,2025,'Form Responses 1'!$D:$D,T$2)&gt;0,TRUE)</f>
        <v>1</v>
      </c>
      <c r="U9" s="19" t="b">
        <f>IF(COUNTIFS('Form Responses 1'!$B:$B,$B9,'Form Responses 1'!$C:$C,2025,'Form Responses 1'!$D:$D,U$2)&gt;0,TRUE)</f>
        <v>1</v>
      </c>
      <c r="V9" s="19" t="b">
        <f>IF(COUNTIFS('Form Responses 1'!$B:$B,$B9,'Form Responses 1'!$C:$C,2025,'Form Responses 1'!$D:$D,V$2)&gt;0,TRUE)</f>
        <v>1</v>
      </c>
      <c r="W9" s="19" t="b">
        <f>IF(COUNTIFS('Form Responses 1'!$B:$B,$B9,'Form Responses 1'!$C:$C,2025,'Form Responses 1'!$D:$D,W$2)&gt;0,TRUE)</f>
        <v>1</v>
      </c>
      <c r="X9" s="19" t="b">
        <f>IF(COUNTIFS('Form Responses 1'!$B:$B,$B9,'Form Responses 1'!$C:$C,2025,'Form Responses 1'!$D:$D,X$2)&gt;0,TRUE)</f>
        <v>1</v>
      </c>
      <c r="Y9" s="19" t="b">
        <f>IF(COUNTIFS('Form Responses 1'!$B:$B,$B9,'Form Responses 1'!$C:$C,2025,'Form Responses 1'!$D:$D,Y$2)&gt;0,TRUE)</f>
        <v>1</v>
      </c>
      <c r="Z9" s="19" t="b">
        <f>IF(COUNTIFS('Form Responses 1'!$B:$B,$B9,'Form Responses 1'!$C:$C,2025,'Form Responses 1'!$D:$D,Z$2)&gt;0,TRUE)</f>
        <v>1</v>
      </c>
      <c r="AA9" s="19" t="b">
        <f>IF(COUNTIFS('Form Responses 1'!$B:$B,$B9,'Form Responses 1'!$C:$C,2025,'Form Responses 1'!$D:$D,AA$2)&gt;0,TRUE)</f>
        <v>1</v>
      </c>
      <c r="AB9" s="19" t="b">
        <f>IF(COUNTIFS('Form Responses 1'!$B:$B,$B9,'Form Responses 1'!$C:$C,2025,'Form Responses 1'!$D:$D,AB$2)&gt;0,TRUE)</f>
        <v>1</v>
      </c>
      <c r="AC9" s="19" t="b">
        <f>IF(COUNTIFS('Form Responses 1'!$B:$B,$B9,'Form Responses 1'!$C:$C,2025,'Form Responses 1'!$D:$D,AC$2)&gt;0,TRUE)</f>
        <v>1</v>
      </c>
      <c r="AD9" s="19" t="b">
        <f>IF(COUNTIFS('Form Responses 1'!$B:$B,$B9,'Form Responses 1'!$C:$C,2025,'Form Responses 1'!$D:$D,AD$2)&gt;0,TRUE)</f>
        <v>1</v>
      </c>
      <c r="AE9" s="19" t="b">
        <f>IF(COUNTIFS('Form Responses 1'!$B:$B,$B9,'Form Responses 1'!$C:$C,2025,'Form Responses 1'!$D:$D,AE$2)&gt;0,TRUE)</f>
        <v>1</v>
      </c>
      <c r="AF9" s="19" t="b">
        <f>IF(COUNTIFS('Form Responses 1'!$B:$B,$B9,'Form Responses 1'!$C:$C,2025,'Form Responses 1'!$D:$D,AF$2)&gt;0,TRUE)</f>
        <v>1</v>
      </c>
      <c r="AG9" s="19" t="b">
        <f>IF(COUNTIFS('Form Responses 1'!$B:$B,$B9,'Form Responses 1'!$C:$C,2026,'Form Responses 1'!$D:$D,AG$2)&gt;0,TRUE)</f>
        <v>0</v>
      </c>
      <c r="AH9" s="19" t="b">
        <f>IF(COUNTIFS('Form Responses 1'!$B:$B,$B9,'Form Responses 1'!$C:$C,2026,'Form Responses 1'!$D:$D,AH$2)&gt;0,TRUE)</f>
        <v>0</v>
      </c>
      <c r="AI9" s="19" t="b">
        <f>IF(COUNTIFS('Form Responses 1'!$B:$B,$B9,'Form Responses 1'!$C:$C,2026,'Form Responses 1'!$D:$D,AI$2)&gt;0,TRUE)</f>
        <v>0</v>
      </c>
      <c r="AJ9" s="19" t="b">
        <f>IF(COUNTIFS('Form Responses 1'!$B:$B,$B9,'Form Responses 1'!$C:$C,2026,'Form Responses 1'!$D:$D,AJ$2)&gt;0,TRUE)</f>
        <v>0</v>
      </c>
      <c r="AK9" s="19" t="b">
        <f>IF(COUNTIFS('Form Responses 1'!$B:$B,$B9,'Form Responses 1'!$C:$C,2026,'Form Responses 1'!$D:$D,AK$2)&gt;0,TRUE)</f>
        <v>0</v>
      </c>
      <c r="AL9" s="19" t="b">
        <f>IF(COUNTIFS('Form Responses 1'!$B:$B,$B9,'Form Responses 1'!$C:$C,2026,'Form Responses 1'!$D:$D,AL$2)&gt;0,TRUE)</f>
        <v>0</v>
      </c>
      <c r="AM9" s="19" t="b">
        <f>IF(COUNTIFS('Form Responses 1'!$B:$B,$B9,'Form Responses 1'!$C:$C,2026,'Form Responses 1'!$D:$D,AM$2)&gt;0,TRUE)</f>
        <v>0</v>
      </c>
      <c r="AN9" s="19" t="b">
        <f>IF(COUNTIFS('Form Responses 1'!$B:$B,$B9,'Form Responses 1'!$C:$C,2026,'Form Responses 1'!$D:$D,AN$2)&gt;0,TRUE)</f>
        <v>0</v>
      </c>
      <c r="AO9" s="19" t="b">
        <f>IF(COUNTIFS('Form Responses 1'!$B:$B,$B9,'Form Responses 1'!$C:$C,2026,'Form Responses 1'!$D:$D,AO$2)&gt;0,TRUE)</f>
        <v>0</v>
      </c>
      <c r="AP9" s="19" t="b">
        <f>IF(COUNTIFS('Form Responses 1'!$B:$B,$B9,'Form Responses 1'!$C:$C,2026,'Form Responses 1'!$D:$D,AP$2)&gt;0,TRUE)</f>
        <v>0</v>
      </c>
      <c r="AQ9" s="19" t="b">
        <f>IF(COUNTIFS('Form Responses 1'!$B:$B,$B9,'Form Responses 1'!$C:$C,2026,'Form Responses 1'!$D:$D,AQ$2)&gt;0,TRUE)</f>
        <v>0</v>
      </c>
      <c r="AR9" s="19" t="b">
        <f>IF(COUNTIFS('Form Responses 1'!$B:$B,$B9,'Form Responses 1'!$C:$C,2026,'Form Responses 1'!$D:$D,AR$2)&gt;0,TRUE)</f>
        <v>0</v>
      </c>
      <c r="AS9" s="19" t="b">
        <f>IF(COUNTIFS('Form Responses 1'!$B:$B,$B9,'Form Responses 1'!$C:$C,2026,'Form Responses 1'!$D:$D,AS$2)&gt;0,TRUE)</f>
        <v>0</v>
      </c>
      <c r="AT9" s="19" t="b">
        <f>IF(COUNTIFS('Form Responses 1'!$B:$B,$B9,'Form Responses 1'!$C:$C,2026,'Form Responses 1'!$D:$D,AT$2)&gt;0,TRUE)</f>
        <v>0</v>
      </c>
      <c r="AU9" s="19" t="b">
        <f>IF(COUNTIFS('Form Responses 1'!$B:$B,$B9,'Form Responses 1'!$C:$C,2026,'Form Responses 1'!$D:$D,AU$2)&gt;0,TRUE)</f>
        <v>0</v>
      </c>
    </row>
    <row r="10" spans="1:47" ht="12.75" x14ac:dyDescent="0.2">
      <c r="A10" s="11">
        <v>8</v>
      </c>
      <c r="B10" s="10" t="s">
        <v>53</v>
      </c>
      <c r="C10" s="18" t="b">
        <f>IF(COUNTIFS('Form Responses 1'!$B:$B,$B10,'Form Responses 1'!$C:$C,2024,'Form Responses 1'!$D:$D,C$2)&gt;0,TRUE)</f>
        <v>1</v>
      </c>
      <c r="D10" s="18" t="b">
        <f>IF(COUNTIFS('Form Responses 1'!$B:$B,$B10,'Form Responses 1'!$C:$C,2024,'Form Responses 1'!$D:$D,D$2)&gt;0,TRUE)</f>
        <v>1</v>
      </c>
      <c r="E10" s="18" t="b">
        <f>IF(COUNTIFS('Form Responses 1'!$B:$B,$B10,'Form Responses 1'!$C:$C,2024,'Form Responses 1'!$D:$D,E$2)&gt;0,TRUE)</f>
        <v>1</v>
      </c>
      <c r="F10" s="18" t="b">
        <f>IF(COUNTIFS('Form Responses 1'!$B:$B,$B10,'Form Responses 1'!$C:$C,2024,'Form Responses 1'!$D:$D,F$2)&gt;0,TRUE)</f>
        <v>1</v>
      </c>
      <c r="G10" s="18" t="b">
        <f>IF(COUNTIFS('Form Responses 1'!$B:$B,$B10,'Form Responses 1'!$C:$C,2024,'Form Responses 1'!$D:$D,G$2)&gt;0,TRUE)</f>
        <v>1</v>
      </c>
      <c r="H10" s="18" t="b">
        <f>IF(COUNTIFS('Form Responses 1'!$B:$B,$B10,'Form Responses 1'!$C:$C,2024,'Form Responses 1'!$D:$D,H$2)&gt;0,TRUE)</f>
        <v>1</v>
      </c>
      <c r="I10" s="18" t="b">
        <f>IF(COUNTIFS('Form Responses 1'!$B:$B,$B10,'Form Responses 1'!$C:$C,2024,'Form Responses 1'!$D:$D,I$2)&gt;0,TRUE)</f>
        <v>1</v>
      </c>
      <c r="J10" s="18" t="b">
        <f>IF(COUNTIFS('Form Responses 1'!$B:$B,$B10,'Form Responses 1'!$C:$C,2024,'Form Responses 1'!$D:$D,J$2)&gt;0,TRUE)</f>
        <v>1</v>
      </c>
      <c r="K10" s="18" t="b">
        <f>IF(COUNTIFS('Form Responses 1'!$B:$B,$B10,'Form Responses 1'!$C:$C,2024,'Form Responses 1'!$D:$D,K$2)&gt;0,TRUE)</f>
        <v>1</v>
      </c>
      <c r="L10" s="18" t="b">
        <f>IF(COUNTIFS('Form Responses 1'!$B:$B,$B10,'Form Responses 1'!$C:$C,2024,'Form Responses 1'!$D:$D,L$2)&gt;0,TRUE)</f>
        <v>1</v>
      </c>
      <c r="M10" s="18" t="b">
        <f>IF(COUNTIFS('Form Responses 1'!$B:$B,$B10,'Form Responses 1'!$C:$C,2024,'Form Responses 1'!$D:$D,M$2)&gt;0,TRUE)</f>
        <v>1</v>
      </c>
      <c r="N10" s="18" t="b">
        <f>IF(COUNTIFS('Form Responses 1'!$B:$B,$B10,'Form Responses 1'!$C:$C,2024,'Form Responses 1'!$D:$D,N$2)&gt;0,TRUE)</f>
        <v>1</v>
      </c>
      <c r="O10" s="18" t="b">
        <f>IF(COUNTIFS('Form Responses 1'!$B:$B,$B10,'Form Responses 1'!$C:$C,2024,'Form Responses 1'!$D:$D,O$2)&gt;0,TRUE)</f>
        <v>1</v>
      </c>
      <c r="P10" s="18" t="b">
        <f>IF(COUNTIFS('Form Responses 1'!$B:$B,$B10,'Form Responses 1'!$C:$C,2024,'Form Responses 1'!$D:$D,P$2)&gt;0,TRUE)</f>
        <v>1</v>
      </c>
      <c r="Q10" s="18" t="b">
        <f>IF(COUNTIFS('Form Responses 1'!$B:$B,$B10,'Form Responses 1'!$C:$C,2025,'Form Responses 1'!$D:$D,Q$2)&gt;0,TRUE)</f>
        <v>1</v>
      </c>
      <c r="R10" s="18" t="b">
        <f>IF(COUNTIFS('Form Responses 1'!$B:$B,$B10,'Form Responses 1'!$C:$C,2025,'Form Responses 1'!$D:$D,R$2)&gt;0,TRUE)</f>
        <v>1</v>
      </c>
      <c r="S10" s="19" t="b">
        <f>IF(COUNTIFS('Form Responses 1'!$B:$B,$B10,'Form Responses 1'!$C:$C,2025,'Form Responses 1'!$D:$D,S$2)&gt;0,TRUE)</f>
        <v>1</v>
      </c>
      <c r="T10" s="19" t="b">
        <f>IF(COUNTIFS('Form Responses 1'!$B:$B,$B10,'Form Responses 1'!$C:$C,2025,'Form Responses 1'!$D:$D,T$2)&gt;0,TRUE)</f>
        <v>1</v>
      </c>
      <c r="U10" s="19" t="b">
        <f>IF(COUNTIFS('Form Responses 1'!$B:$B,$B10,'Form Responses 1'!$C:$C,2025,'Form Responses 1'!$D:$D,U$2)&gt;0,TRUE)</f>
        <v>1</v>
      </c>
      <c r="V10" s="19" t="b">
        <f>IF(COUNTIFS('Form Responses 1'!$B:$B,$B10,'Form Responses 1'!$C:$C,2025,'Form Responses 1'!$D:$D,V$2)&gt;0,TRUE)</f>
        <v>1</v>
      </c>
      <c r="W10" s="19" t="b">
        <f>IF(COUNTIFS('Form Responses 1'!$B:$B,$B10,'Form Responses 1'!$C:$C,2025,'Form Responses 1'!$D:$D,W$2)&gt;0,TRUE)</f>
        <v>1</v>
      </c>
      <c r="X10" s="19" t="b">
        <f>IF(COUNTIFS('Form Responses 1'!$B:$B,$B10,'Form Responses 1'!$C:$C,2025,'Form Responses 1'!$D:$D,X$2)&gt;0,TRUE)</f>
        <v>1</v>
      </c>
      <c r="Y10" s="19" t="b">
        <f>IF(COUNTIFS('Form Responses 1'!$B:$B,$B10,'Form Responses 1'!$C:$C,2025,'Form Responses 1'!$D:$D,Y$2)&gt;0,TRUE)</f>
        <v>1</v>
      </c>
      <c r="Z10" s="19" t="b">
        <f>IF(COUNTIFS('Form Responses 1'!$B:$B,$B10,'Form Responses 1'!$C:$C,2025,'Form Responses 1'!$D:$D,Z$2)&gt;0,TRUE)</f>
        <v>1</v>
      </c>
      <c r="AA10" s="19" t="b">
        <f>IF(COUNTIFS('Form Responses 1'!$B:$B,$B10,'Form Responses 1'!$C:$C,2025,'Form Responses 1'!$D:$D,AA$2)&gt;0,TRUE)</f>
        <v>1</v>
      </c>
      <c r="AB10" s="19" t="b">
        <f>IF(COUNTIFS('Form Responses 1'!$B:$B,$B10,'Form Responses 1'!$C:$C,2025,'Form Responses 1'!$D:$D,AB$2)&gt;0,TRUE)</f>
        <v>1</v>
      </c>
      <c r="AC10" s="19" t="b">
        <f>IF(COUNTIFS('Form Responses 1'!$B:$B,$B10,'Form Responses 1'!$C:$C,2025,'Form Responses 1'!$D:$D,AC$2)&gt;0,TRUE)</f>
        <v>1</v>
      </c>
      <c r="AD10" s="19" t="b">
        <f>IF(COUNTIFS('Form Responses 1'!$B:$B,$B10,'Form Responses 1'!$C:$C,2025,'Form Responses 1'!$D:$D,AD$2)&gt;0,TRUE)</f>
        <v>1</v>
      </c>
      <c r="AE10" s="19" t="b">
        <f>IF(COUNTIFS('Form Responses 1'!$B:$B,$B10,'Form Responses 1'!$C:$C,2025,'Form Responses 1'!$D:$D,AE$2)&gt;0,TRUE)</f>
        <v>1</v>
      </c>
      <c r="AF10" s="19" t="b">
        <f>IF(COUNTIFS('Form Responses 1'!$B:$B,$B10,'Form Responses 1'!$C:$C,2025,'Form Responses 1'!$D:$D,AF$2)&gt;0,TRUE)</f>
        <v>1</v>
      </c>
      <c r="AG10" s="19" t="b">
        <f>IF(COUNTIFS('Form Responses 1'!$B:$B,$B10,'Form Responses 1'!$C:$C,2026,'Form Responses 1'!$D:$D,AG$2)&gt;0,TRUE)</f>
        <v>0</v>
      </c>
      <c r="AH10" s="19" t="b">
        <f>IF(COUNTIFS('Form Responses 1'!$B:$B,$B10,'Form Responses 1'!$C:$C,2026,'Form Responses 1'!$D:$D,AH$2)&gt;0,TRUE)</f>
        <v>0</v>
      </c>
      <c r="AI10" s="19" t="b">
        <f>IF(COUNTIFS('Form Responses 1'!$B:$B,$B10,'Form Responses 1'!$C:$C,2026,'Form Responses 1'!$D:$D,AI$2)&gt;0,TRUE)</f>
        <v>0</v>
      </c>
      <c r="AJ10" s="19" t="b">
        <f>IF(COUNTIFS('Form Responses 1'!$B:$B,$B10,'Form Responses 1'!$C:$C,2026,'Form Responses 1'!$D:$D,AJ$2)&gt;0,TRUE)</f>
        <v>0</v>
      </c>
      <c r="AK10" s="19" t="b">
        <f>IF(COUNTIFS('Form Responses 1'!$B:$B,$B10,'Form Responses 1'!$C:$C,2026,'Form Responses 1'!$D:$D,AK$2)&gt;0,TRUE)</f>
        <v>0</v>
      </c>
      <c r="AL10" s="19" t="b">
        <f>IF(COUNTIFS('Form Responses 1'!$B:$B,$B10,'Form Responses 1'!$C:$C,2026,'Form Responses 1'!$D:$D,AL$2)&gt;0,TRUE)</f>
        <v>0</v>
      </c>
      <c r="AM10" s="19" t="b">
        <f>IF(COUNTIFS('Form Responses 1'!$B:$B,$B10,'Form Responses 1'!$C:$C,2026,'Form Responses 1'!$D:$D,AM$2)&gt;0,TRUE)</f>
        <v>0</v>
      </c>
      <c r="AN10" s="19" t="b">
        <f>IF(COUNTIFS('Form Responses 1'!$B:$B,$B10,'Form Responses 1'!$C:$C,2026,'Form Responses 1'!$D:$D,AN$2)&gt;0,TRUE)</f>
        <v>0</v>
      </c>
      <c r="AO10" s="19" t="b">
        <f>IF(COUNTIFS('Form Responses 1'!$B:$B,$B10,'Form Responses 1'!$C:$C,2026,'Form Responses 1'!$D:$D,AO$2)&gt;0,TRUE)</f>
        <v>0</v>
      </c>
      <c r="AP10" s="19" t="b">
        <f>IF(COUNTIFS('Form Responses 1'!$B:$B,$B10,'Form Responses 1'!$C:$C,2026,'Form Responses 1'!$D:$D,AP$2)&gt;0,TRUE)</f>
        <v>0</v>
      </c>
      <c r="AQ10" s="19" t="b">
        <f>IF(COUNTIFS('Form Responses 1'!$B:$B,$B10,'Form Responses 1'!$C:$C,2026,'Form Responses 1'!$D:$D,AQ$2)&gt;0,TRUE)</f>
        <v>0</v>
      </c>
      <c r="AR10" s="19" t="b">
        <f>IF(COUNTIFS('Form Responses 1'!$B:$B,$B10,'Form Responses 1'!$C:$C,2026,'Form Responses 1'!$D:$D,AR$2)&gt;0,TRUE)</f>
        <v>0</v>
      </c>
      <c r="AS10" s="19" t="b">
        <f>IF(COUNTIFS('Form Responses 1'!$B:$B,$B10,'Form Responses 1'!$C:$C,2026,'Form Responses 1'!$D:$D,AS$2)&gt;0,TRUE)</f>
        <v>0</v>
      </c>
      <c r="AT10" s="19" t="b">
        <f>IF(COUNTIFS('Form Responses 1'!$B:$B,$B10,'Form Responses 1'!$C:$C,2026,'Form Responses 1'!$D:$D,AT$2)&gt;0,TRUE)</f>
        <v>0</v>
      </c>
      <c r="AU10" s="19" t="b">
        <f>IF(COUNTIFS('Form Responses 1'!$B:$B,$B10,'Form Responses 1'!$C:$C,2026,'Form Responses 1'!$D:$D,AU$2)&gt;0,TRUE)</f>
        <v>0</v>
      </c>
    </row>
    <row r="11" spans="1:47" ht="12.75" x14ac:dyDescent="0.2">
      <c r="A11" s="9">
        <v>9</v>
      </c>
      <c r="B11" s="10" t="s">
        <v>68</v>
      </c>
      <c r="C11" s="18" t="b">
        <f>IF(COUNTIFS('Form Responses 1'!$B:$B,$B11,'Form Responses 1'!$C:$C,2024,'Form Responses 1'!$D:$D,C$2)&gt;0,TRUE)</f>
        <v>1</v>
      </c>
      <c r="D11" s="18" t="b">
        <f>IF(COUNTIFS('Form Responses 1'!$B:$B,$B11,'Form Responses 1'!$C:$C,2024,'Form Responses 1'!$D:$D,D$2)&gt;0,TRUE)</f>
        <v>1</v>
      </c>
      <c r="E11" s="18" t="b">
        <f>IF(COUNTIFS('Form Responses 1'!$B:$B,$B11,'Form Responses 1'!$C:$C,2024,'Form Responses 1'!$D:$D,E$2)&gt;0,TRUE)</f>
        <v>1</v>
      </c>
      <c r="F11" s="18" t="b">
        <f>IF(COUNTIFS('Form Responses 1'!$B:$B,$B11,'Form Responses 1'!$C:$C,2024,'Form Responses 1'!$D:$D,F$2)&gt;0,TRUE)</f>
        <v>1</v>
      </c>
      <c r="G11" s="18" t="b">
        <f>IF(COUNTIFS('Form Responses 1'!$B:$B,$B11,'Form Responses 1'!$C:$C,2024,'Form Responses 1'!$D:$D,G$2)&gt;0,TRUE)</f>
        <v>1</v>
      </c>
      <c r="H11" s="18" t="b">
        <f>IF(COUNTIFS('Form Responses 1'!$B:$B,$B11,'Form Responses 1'!$C:$C,2024,'Form Responses 1'!$D:$D,H$2)&gt;0,TRUE)</f>
        <v>1</v>
      </c>
      <c r="I11" s="18" t="b">
        <f>IF(COUNTIFS('Form Responses 1'!$B:$B,$B11,'Form Responses 1'!$C:$C,2024,'Form Responses 1'!$D:$D,I$2)&gt;0,TRUE)</f>
        <v>1</v>
      </c>
      <c r="J11" s="18" t="b">
        <f>IF(COUNTIFS('Form Responses 1'!$B:$B,$B11,'Form Responses 1'!$C:$C,2024,'Form Responses 1'!$D:$D,J$2)&gt;0,TRUE)</f>
        <v>1</v>
      </c>
      <c r="K11" s="18" t="b">
        <f>IF(COUNTIFS('Form Responses 1'!$B:$B,$B11,'Form Responses 1'!$C:$C,2024,'Form Responses 1'!$D:$D,K$2)&gt;0,TRUE)</f>
        <v>1</v>
      </c>
      <c r="L11" s="18" t="b">
        <f>IF(COUNTIFS('Form Responses 1'!$B:$B,$B11,'Form Responses 1'!$C:$C,2024,'Form Responses 1'!$D:$D,L$2)&gt;0,TRUE)</f>
        <v>1</v>
      </c>
      <c r="M11" s="18" t="b">
        <f>IF(COUNTIFS('Form Responses 1'!$B:$B,$B11,'Form Responses 1'!$C:$C,2024,'Form Responses 1'!$D:$D,M$2)&gt;0,TRUE)</f>
        <v>1</v>
      </c>
      <c r="N11" s="18" t="b">
        <f>IF(COUNTIFS('Form Responses 1'!$B:$B,$B11,'Form Responses 1'!$C:$C,2024,'Form Responses 1'!$D:$D,N$2)&gt;0,TRUE)</f>
        <v>1</v>
      </c>
      <c r="O11" s="18" t="b">
        <f>IF(COUNTIFS('Form Responses 1'!$B:$B,$B11,'Form Responses 1'!$C:$C,2024,'Form Responses 1'!$D:$D,O$2)&gt;0,TRUE)</f>
        <v>1</v>
      </c>
      <c r="P11" s="18" t="b">
        <f>IF(COUNTIFS('Form Responses 1'!$B:$B,$B11,'Form Responses 1'!$C:$C,2024,'Form Responses 1'!$D:$D,P$2)&gt;0,TRUE)</f>
        <v>1</v>
      </c>
      <c r="Q11" s="18" t="b">
        <f>IF(COUNTIFS('Form Responses 1'!$B:$B,$B11,'Form Responses 1'!$C:$C,2025,'Form Responses 1'!$D:$D,Q$2)&gt;0,TRUE)</f>
        <v>1</v>
      </c>
      <c r="R11" s="18" t="b">
        <f>IF(COUNTIFS('Form Responses 1'!$B:$B,$B11,'Form Responses 1'!$C:$C,2025,'Form Responses 1'!$D:$D,R$2)&gt;0,TRUE)</f>
        <v>1</v>
      </c>
      <c r="S11" s="19" t="b">
        <f>IF(COUNTIFS('Form Responses 1'!$B:$B,$B11,'Form Responses 1'!$C:$C,2025,'Form Responses 1'!$D:$D,S$2)&gt;0,TRUE)</f>
        <v>1</v>
      </c>
      <c r="T11" s="19" t="b">
        <f>IF(COUNTIFS('Form Responses 1'!$B:$B,$B11,'Form Responses 1'!$C:$C,2025,'Form Responses 1'!$D:$D,T$2)&gt;0,TRUE)</f>
        <v>1</v>
      </c>
      <c r="U11" s="19" t="b">
        <f>IF(COUNTIFS('Form Responses 1'!$B:$B,$B11,'Form Responses 1'!$C:$C,2025,'Form Responses 1'!$D:$D,U$2)&gt;0,TRUE)</f>
        <v>1</v>
      </c>
      <c r="V11" s="19" t="b">
        <f>IF(COUNTIFS('Form Responses 1'!$B:$B,$B11,'Form Responses 1'!$C:$C,2025,'Form Responses 1'!$D:$D,V$2)&gt;0,TRUE)</f>
        <v>1</v>
      </c>
      <c r="W11" s="19" t="b">
        <f>IF(COUNTIFS('Form Responses 1'!$B:$B,$B11,'Form Responses 1'!$C:$C,2025,'Form Responses 1'!$D:$D,W$2)&gt;0,TRUE)</f>
        <v>1</v>
      </c>
      <c r="X11" s="19" t="b">
        <f>IF(COUNTIFS('Form Responses 1'!$B:$B,$B11,'Form Responses 1'!$C:$C,2025,'Form Responses 1'!$D:$D,X$2)&gt;0,TRUE)</f>
        <v>1</v>
      </c>
      <c r="Y11" s="19" t="b">
        <f>IF(COUNTIFS('Form Responses 1'!$B:$B,$B11,'Form Responses 1'!$C:$C,2025,'Form Responses 1'!$D:$D,Y$2)&gt;0,TRUE)</f>
        <v>1</v>
      </c>
      <c r="Z11" s="19" t="b">
        <f>IF(COUNTIFS('Form Responses 1'!$B:$B,$B11,'Form Responses 1'!$C:$C,2025,'Form Responses 1'!$D:$D,Z$2)&gt;0,TRUE)</f>
        <v>1</v>
      </c>
      <c r="AA11" s="19" t="b">
        <f>IF(COUNTIFS('Form Responses 1'!$B:$B,$B11,'Form Responses 1'!$C:$C,2025,'Form Responses 1'!$D:$D,AA$2)&gt;0,TRUE)</f>
        <v>1</v>
      </c>
      <c r="AB11" s="19" t="b">
        <f>IF(COUNTIFS('Form Responses 1'!$B:$B,$B11,'Form Responses 1'!$C:$C,2025,'Form Responses 1'!$D:$D,AB$2)&gt;0,TRUE)</f>
        <v>1</v>
      </c>
      <c r="AC11" s="19" t="b">
        <f>IF(COUNTIFS('Form Responses 1'!$B:$B,$B11,'Form Responses 1'!$C:$C,2025,'Form Responses 1'!$D:$D,AC$2)&gt;0,TRUE)</f>
        <v>1</v>
      </c>
      <c r="AD11" s="19" t="b">
        <f>IF(COUNTIFS('Form Responses 1'!$B:$B,$B11,'Form Responses 1'!$C:$C,2025,'Form Responses 1'!$D:$D,AD$2)&gt;0,TRUE)</f>
        <v>1</v>
      </c>
      <c r="AE11" s="19" t="b">
        <f>IF(COUNTIFS('Form Responses 1'!$B:$B,$B11,'Form Responses 1'!$C:$C,2025,'Form Responses 1'!$D:$D,AE$2)&gt;0,TRUE)</f>
        <v>1</v>
      </c>
      <c r="AF11" s="19" t="b">
        <f>IF(COUNTIFS('Form Responses 1'!$B:$B,$B11,'Form Responses 1'!$C:$C,2025,'Form Responses 1'!$D:$D,AF$2)&gt;0,TRUE)</f>
        <v>1</v>
      </c>
      <c r="AG11" s="19" t="b">
        <f>IF(COUNTIFS('Form Responses 1'!$B:$B,$B11,'Form Responses 1'!$C:$C,2026,'Form Responses 1'!$D:$D,AG$2)&gt;0,TRUE)</f>
        <v>0</v>
      </c>
      <c r="AH11" s="19" t="b">
        <f>IF(COUNTIFS('Form Responses 1'!$B:$B,$B11,'Form Responses 1'!$C:$C,2026,'Form Responses 1'!$D:$D,AH$2)&gt;0,TRUE)</f>
        <v>0</v>
      </c>
      <c r="AI11" s="19" t="b">
        <f>IF(COUNTIFS('Form Responses 1'!$B:$B,$B11,'Form Responses 1'!$C:$C,2026,'Form Responses 1'!$D:$D,AI$2)&gt;0,TRUE)</f>
        <v>0</v>
      </c>
      <c r="AJ11" s="19" t="b">
        <f>IF(COUNTIFS('Form Responses 1'!$B:$B,$B11,'Form Responses 1'!$C:$C,2026,'Form Responses 1'!$D:$D,AJ$2)&gt;0,TRUE)</f>
        <v>0</v>
      </c>
      <c r="AK11" s="19" t="b">
        <f>IF(COUNTIFS('Form Responses 1'!$B:$B,$B11,'Form Responses 1'!$C:$C,2026,'Form Responses 1'!$D:$D,AK$2)&gt;0,TRUE)</f>
        <v>0</v>
      </c>
      <c r="AL11" s="19" t="b">
        <f>IF(COUNTIFS('Form Responses 1'!$B:$B,$B11,'Form Responses 1'!$C:$C,2026,'Form Responses 1'!$D:$D,AL$2)&gt;0,TRUE)</f>
        <v>0</v>
      </c>
      <c r="AM11" s="19" t="b">
        <f>IF(COUNTIFS('Form Responses 1'!$B:$B,$B11,'Form Responses 1'!$C:$C,2026,'Form Responses 1'!$D:$D,AM$2)&gt;0,TRUE)</f>
        <v>0</v>
      </c>
      <c r="AN11" s="19" t="b">
        <f>IF(COUNTIFS('Form Responses 1'!$B:$B,$B11,'Form Responses 1'!$C:$C,2026,'Form Responses 1'!$D:$D,AN$2)&gt;0,TRUE)</f>
        <v>0</v>
      </c>
      <c r="AO11" s="19" t="b">
        <f>IF(COUNTIFS('Form Responses 1'!$B:$B,$B11,'Form Responses 1'!$C:$C,2026,'Form Responses 1'!$D:$D,AO$2)&gt;0,TRUE)</f>
        <v>0</v>
      </c>
      <c r="AP11" s="19" t="b">
        <f>IF(COUNTIFS('Form Responses 1'!$B:$B,$B11,'Form Responses 1'!$C:$C,2026,'Form Responses 1'!$D:$D,AP$2)&gt;0,TRUE)</f>
        <v>0</v>
      </c>
      <c r="AQ11" s="19" t="b">
        <f>IF(COUNTIFS('Form Responses 1'!$B:$B,$B11,'Form Responses 1'!$C:$C,2026,'Form Responses 1'!$D:$D,AQ$2)&gt;0,TRUE)</f>
        <v>0</v>
      </c>
      <c r="AR11" s="19" t="b">
        <f>IF(COUNTIFS('Form Responses 1'!$B:$B,$B11,'Form Responses 1'!$C:$C,2026,'Form Responses 1'!$D:$D,AR$2)&gt;0,TRUE)</f>
        <v>0</v>
      </c>
      <c r="AS11" s="19" t="b">
        <f>IF(COUNTIFS('Form Responses 1'!$B:$B,$B11,'Form Responses 1'!$C:$C,2026,'Form Responses 1'!$D:$D,AS$2)&gt;0,TRUE)</f>
        <v>0</v>
      </c>
      <c r="AT11" s="19" t="b">
        <f>IF(COUNTIFS('Form Responses 1'!$B:$B,$B11,'Form Responses 1'!$C:$C,2026,'Form Responses 1'!$D:$D,AT$2)&gt;0,TRUE)</f>
        <v>0</v>
      </c>
      <c r="AU11" s="19" t="b">
        <f>IF(COUNTIFS('Form Responses 1'!$B:$B,$B11,'Form Responses 1'!$C:$C,2026,'Form Responses 1'!$D:$D,AU$2)&gt;0,TRUE)</f>
        <v>0</v>
      </c>
    </row>
    <row r="12" spans="1:47" ht="12.75" x14ac:dyDescent="0.2">
      <c r="A12" s="11">
        <v>10</v>
      </c>
      <c r="B12" s="10" t="s">
        <v>8</v>
      </c>
      <c r="C12" s="18" t="b">
        <f>IF(COUNTIFS('Form Responses 1'!$B:$B,$B12,'Form Responses 1'!$C:$C,2024,'Form Responses 1'!$D:$D,C$2)&gt;0,TRUE)</f>
        <v>0</v>
      </c>
      <c r="D12" s="18" t="b">
        <f>IF(COUNTIFS('Form Responses 1'!$B:$B,$B12,'Form Responses 1'!$C:$C,2024,'Form Responses 1'!$D:$D,D$2)&gt;0,TRUE)</f>
        <v>1</v>
      </c>
      <c r="E12" s="18" t="b">
        <f>IF(COUNTIFS('Form Responses 1'!$B:$B,$B12,'Form Responses 1'!$C:$C,2024,'Form Responses 1'!$D:$D,E$2)&gt;0,TRUE)</f>
        <v>1</v>
      </c>
      <c r="F12" s="18" t="b">
        <f>IF(COUNTIFS('Form Responses 1'!$B:$B,$B12,'Form Responses 1'!$C:$C,2024,'Form Responses 1'!$D:$D,F$2)&gt;0,TRUE)</f>
        <v>1</v>
      </c>
      <c r="G12" s="18" t="b">
        <f>IF(COUNTIFS('Form Responses 1'!$B:$B,$B12,'Form Responses 1'!$C:$C,2024,'Form Responses 1'!$D:$D,G$2)&gt;0,TRUE)</f>
        <v>1</v>
      </c>
      <c r="H12" s="18" t="b">
        <f>IF(COUNTIFS('Form Responses 1'!$B:$B,$B12,'Form Responses 1'!$C:$C,2024,'Form Responses 1'!$D:$D,H$2)&gt;0,TRUE)</f>
        <v>1</v>
      </c>
      <c r="I12" s="18" t="b">
        <f>IF(COUNTIFS('Form Responses 1'!$B:$B,$B12,'Form Responses 1'!$C:$C,2024,'Form Responses 1'!$D:$D,I$2)&gt;0,TRUE)</f>
        <v>1</v>
      </c>
      <c r="J12" s="18" t="b">
        <f>IF(COUNTIFS('Form Responses 1'!$B:$B,$B12,'Form Responses 1'!$C:$C,2024,'Form Responses 1'!$D:$D,J$2)&gt;0,TRUE)</f>
        <v>1</v>
      </c>
      <c r="K12" s="18" t="b">
        <f>IF(COUNTIFS('Form Responses 1'!$B:$B,$B12,'Form Responses 1'!$C:$C,2024,'Form Responses 1'!$D:$D,K$2)&gt;0,TRUE)</f>
        <v>1</v>
      </c>
      <c r="L12" s="18" t="b">
        <f>IF(COUNTIFS('Form Responses 1'!$B:$B,$B12,'Form Responses 1'!$C:$C,2024,'Form Responses 1'!$D:$D,L$2)&gt;0,TRUE)</f>
        <v>1</v>
      </c>
      <c r="M12" s="18" t="b">
        <f>IF(COUNTIFS('Form Responses 1'!$B:$B,$B12,'Form Responses 1'!$C:$C,2024,'Form Responses 1'!$D:$D,M$2)&gt;0,TRUE)</f>
        <v>1</v>
      </c>
      <c r="N12" s="18" t="b">
        <f>IF(COUNTIFS('Form Responses 1'!$B:$B,$B12,'Form Responses 1'!$C:$C,2024,'Form Responses 1'!$D:$D,N$2)&gt;0,TRUE)</f>
        <v>0</v>
      </c>
      <c r="O12" s="18" t="b">
        <f>IF(COUNTIFS('Form Responses 1'!$B:$B,$B12,'Form Responses 1'!$C:$C,2024,'Form Responses 1'!$D:$D,O$2)&gt;0,TRUE)</f>
        <v>1</v>
      </c>
      <c r="P12" s="18" t="b">
        <f>IF(COUNTIFS('Form Responses 1'!$B:$B,$B12,'Form Responses 1'!$C:$C,2024,'Form Responses 1'!$D:$D,P$2)&gt;0,TRUE)</f>
        <v>1</v>
      </c>
      <c r="Q12" s="18" t="b">
        <f>IF(COUNTIFS('Form Responses 1'!$B:$B,$B12,'Form Responses 1'!$C:$C,2025,'Form Responses 1'!$D:$D,Q$2)&gt;0,TRUE)</f>
        <v>1</v>
      </c>
      <c r="R12" s="18" t="b">
        <f>IF(COUNTIFS('Form Responses 1'!$B:$B,$B12,'Form Responses 1'!$C:$C,2025,'Form Responses 1'!$D:$D,R$2)&gt;0,TRUE)</f>
        <v>1</v>
      </c>
      <c r="S12" s="19" t="b">
        <f>IF(COUNTIFS('Form Responses 1'!$B:$B,$B12,'Form Responses 1'!$C:$C,2025,'Form Responses 1'!$D:$D,S$2)&gt;0,TRUE)</f>
        <v>1</v>
      </c>
      <c r="T12" s="19" t="b">
        <f>IF(COUNTIFS('Form Responses 1'!$B:$B,$B12,'Form Responses 1'!$C:$C,2025,'Form Responses 1'!$D:$D,T$2)&gt;0,TRUE)</f>
        <v>1</v>
      </c>
      <c r="U12" s="19" t="b">
        <f>IF(COUNTIFS('Form Responses 1'!$B:$B,$B12,'Form Responses 1'!$C:$C,2025,'Form Responses 1'!$D:$D,U$2)&gt;0,TRUE)</f>
        <v>1</v>
      </c>
      <c r="V12" s="19" t="b">
        <f>IF(COUNTIFS('Form Responses 1'!$B:$B,$B12,'Form Responses 1'!$C:$C,2025,'Form Responses 1'!$D:$D,V$2)&gt;0,TRUE)</f>
        <v>1</v>
      </c>
      <c r="W12" s="19" t="b">
        <f>IF(COUNTIFS('Form Responses 1'!$B:$B,$B12,'Form Responses 1'!$C:$C,2025,'Form Responses 1'!$D:$D,W$2)&gt;0,TRUE)</f>
        <v>1</v>
      </c>
      <c r="X12" s="19" t="b">
        <f>IF(COUNTIFS('Form Responses 1'!$B:$B,$B12,'Form Responses 1'!$C:$C,2025,'Form Responses 1'!$D:$D,X$2)&gt;0,TRUE)</f>
        <v>1</v>
      </c>
      <c r="Y12" s="19" t="b">
        <f>IF(COUNTIFS('Form Responses 1'!$B:$B,$B12,'Form Responses 1'!$C:$C,2025,'Form Responses 1'!$D:$D,Y$2)&gt;0,TRUE)</f>
        <v>1</v>
      </c>
      <c r="Z12" s="19" t="b">
        <f>IF(COUNTIFS('Form Responses 1'!$B:$B,$B12,'Form Responses 1'!$C:$C,2025,'Form Responses 1'!$D:$D,Z$2)&gt;0,TRUE)</f>
        <v>1</v>
      </c>
      <c r="AA12" s="19" t="b">
        <f>IF(COUNTIFS('Form Responses 1'!$B:$B,$B12,'Form Responses 1'!$C:$C,2025,'Form Responses 1'!$D:$D,AA$2)&gt;0,TRUE)</f>
        <v>1</v>
      </c>
      <c r="AB12" s="19" t="b">
        <f>IF(COUNTIFS('Form Responses 1'!$B:$B,$B12,'Form Responses 1'!$C:$C,2025,'Form Responses 1'!$D:$D,AB$2)&gt;0,TRUE)</f>
        <v>1</v>
      </c>
      <c r="AC12" s="19" t="b">
        <f>IF(COUNTIFS('Form Responses 1'!$B:$B,$B12,'Form Responses 1'!$C:$C,2025,'Form Responses 1'!$D:$D,AC$2)&gt;0,TRUE)</f>
        <v>1</v>
      </c>
      <c r="AD12" s="19" t="b">
        <f>IF(COUNTIFS('Form Responses 1'!$B:$B,$B12,'Form Responses 1'!$C:$C,2025,'Form Responses 1'!$D:$D,AD$2)&gt;0,TRUE)</f>
        <v>1</v>
      </c>
      <c r="AE12" s="19" t="b">
        <f>IF(COUNTIFS('Form Responses 1'!$B:$B,$B12,'Form Responses 1'!$C:$C,2025,'Form Responses 1'!$D:$D,AE$2)&gt;0,TRUE)</f>
        <v>1</v>
      </c>
      <c r="AF12" s="19" t="b">
        <f>IF(COUNTIFS('Form Responses 1'!$B:$B,$B12,'Form Responses 1'!$C:$C,2025,'Form Responses 1'!$D:$D,AF$2)&gt;0,TRUE)</f>
        <v>1</v>
      </c>
      <c r="AG12" s="19" t="b">
        <f>IF(COUNTIFS('Form Responses 1'!$B:$B,$B12,'Form Responses 1'!$C:$C,2026,'Form Responses 1'!$D:$D,AG$2)&gt;0,TRUE)</f>
        <v>0</v>
      </c>
      <c r="AH12" s="19" t="b">
        <f>IF(COUNTIFS('Form Responses 1'!$B:$B,$B12,'Form Responses 1'!$C:$C,2026,'Form Responses 1'!$D:$D,AH$2)&gt;0,TRUE)</f>
        <v>0</v>
      </c>
      <c r="AI12" s="19" t="b">
        <f>IF(COUNTIFS('Form Responses 1'!$B:$B,$B12,'Form Responses 1'!$C:$C,2026,'Form Responses 1'!$D:$D,AI$2)&gt;0,TRUE)</f>
        <v>0</v>
      </c>
      <c r="AJ12" s="19" t="b">
        <f>IF(COUNTIFS('Form Responses 1'!$B:$B,$B12,'Form Responses 1'!$C:$C,2026,'Form Responses 1'!$D:$D,AJ$2)&gt;0,TRUE)</f>
        <v>0</v>
      </c>
      <c r="AK12" s="19" t="b">
        <f>IF(COUNTIFS('Form Responses 1'!$B:$B,$B12,'Form Responses 1'!$C:$C,2026,'Form Responses 1'!$D:$D,AK$2)&gt;0,TRUE)</f>
        <v>0</v>
      </c>
      <c r="AL12" s="19" t="b">
        <f>IF(COUNTIFS('Form Responses 1'!$B:$B,$B12,'Form Responses 1'!$C:$C,2026,'Form Responses 1'!$D:$D,AL$2)&gt;0,TRUE)</f>
        <v>0</v>
      </c>
      <c r="AM12" s="19" t="b">
        <f>IF(COUNTIFS('Form Responses 1'!$B:$B,$B12,'Form Responses 1'!$C:$C,2026,'Form Responses 1'!$D:$D,AM$2)&gt;0,TRUE)</f>
        <v>0</v>
      </c>
      <c r="AN12" s="19" t="b">
        <f>IF(COUNTIFS('Form Responses 1'!$B:$B,$B12,'Form Responses 1'!$C:$C,2026,'Form Responses 1'!$D:$D,AN$2)&gt;0,TRUE)</f>
        <v>0</v>
      </c>
      <c r="AO12" s="19" t="b">
        <f>IF(COUNTIFS('Form Responses 1'!$B:$B,$B12,'Form Responses 1'!$C:$C,2026,'Form Responses 1'!$D:$D,AO$2)&gt;0,TRUE)</f>
        <v>0</v>
      </c>
      <c r="AP12" s="19" t="b">
        <f>IF(COUNTIFS('Form Responses 1'!$B:$B,$B12,'Form Responses 1'!$C:$C,2026,'Form Responses 1'!$D:$D,AP$2)&gt;0,TRUE)</f>
        <v>0</v>
      </c>
      <c r="AQ12" s="19" t="b">
        <f>IF(COUNTIFS('Form Responses 1'!$B:$B,$B12,'Form Responses 1'!$C:$C,2026,'Form Responses 1'!$D:$D,AQ$2)&gt;0,TRUE)</f>
        <v>0</v>
      </c>
      <c r="AR12" s="19" t="b">
        <f>IF(COUNTIFS('Form Responses 1'!$B:$B,$B12,'Form Responses 1'!$C:$C,2026,'Form Responses 1'!$D:$D,AR$2)&gt;0,TRUE)</f>
        <v>0</v>
      </c>
      <c r="AS12" s="19" t="b">
        <f>IF(COUNTIFS('Form Responses 1'!$B:$B,$B12,'Form Responses 1'!$C:$C,2026,'Form Responses 1'!$D:$D,AS$2)&gt;0,TRUE)</f>
        <v>0</v>
      </c>
      <c r="AT12" s="19" t="b">
        <f>IF(COUNTIFS('Form Responses 1'!$B:$B,$B12,'Form Responses 1'!$C:$C,2026,'Form Responses 1'!$D:$D,AT$2)&gt;0,TRUE)</f>
        <v>0</v>
      </c>
      <c r="AU12" s="19" t="b">
        <f>IF(COUNTIFS('Form Responses 1'!$B:$B,$B12,'Form Responses 1'!$C:$C,2026,'Form Responses 1'!$D:$D,AU$2)&gt;0,TRUE)</f>
        <v>0</v>
      </c>
    </row>
    <row r="13" spans="1:47" ht="12.75" x14ac:dyDescent="0.2">
      <c r="A13" s="9">
        <v>11</v>
      </c>
      <c r="B13" s="10" t="s">
        <v>45</v>
      </c>
      <c r="C13" s="18" t="b">
        <f>IF(COUNTIFS('Form Responses 1'!$B:$B,$B13,'Form Responses 1'!$C:$C,2024,'Form Responses 1'!$D:$D,C$2)&gt;0,TRUE)</f>
        <v>0</v>
      </c>
      <c r="D13" s="18" t="b">
        <f>IF(COUNTIFS('Form Responses 1'!$B:$B,$B13,'Form Responses 1'!$C:$C,2024,'Form Responses 1'!$D:$D,D$2)&gt;0,TRUE)</f>
        <v>1</v>
      </c>
      <c r="E13" s="18" t="b">
        <f>IF(COUNTIFS('Form Responses 1'!$B:$B,$B13,'Form Responses 1'!$C:$C,2024,'Form Responses 1'!$D:$D,E$2)&gt;0,TRUE)</f>
        <v>1</v>
      </c>
      <c r="F13" s="18" t="b">
        <f>IF(COUNTIFS('Form Responses 1'!$B:$B,$B13,'Form Responses 1'!$C:$C,2024,'Form Responses 1'!$D:$D,F$2)&gt;0,TRUE)</f>
        <v>1</v>
      </c>
      <c r="G13" s="18" t="b">
        <f>IF(COUNTIFS('Form Responses 1'!$B:$B,$B13,'Form Responses 1'!$C:$C,2024,'Form Responses 1'!$D:$D,G$2)&gt;0,TRUE)</f>
        <v>1</v>
      </c>
      <c r="H13" s="18" t="b">
        <f>IF(COUNTIFS('Form Responses 1'!$B:$B,$B13,'Form Responses 1'!$C:$C,2024,'Form Responses 1'!$D:$D,H$2)&gt;0,TRUE)</f>
        <v>1</v>
      </c>
      <c r="I13" s="18" t="b">
        <f>IF(COUNTIFS('Form Responses 1'!$B:$B,$B13,'Form Responses 1'!$C:$C,2024,'Form Responses 1'!$D:$D,I$2)&gt;0,TRUE)</f>
        <v>1</v>
      </c>
      <c r="J13" s="18" t="b">
        <f>IF(COUNTIFS('Form Responses 1'!$B:$B,$B13,'Form Responses 1'!$C:$C,2024,'Form Responses 1'!$D:$D,J$2)&gt;0,TRUE)</f>
        <v>1</v>
      </c>
      <c r="K13" s="18" t="b">
        <f>IF(COUNTIFS('Form Responses 1'!$B:$B,$B13,'Form Responses 1'!$C:$C,2024,'Form Responses 1'!$D:$D,K$2)&gt;0,TRUE)</f>
        <v>1</v>
      </c>
      <c r="L13" s="18" t="b">
        <f>IF(COUNTIFS('Form Responses 1'!$B:$B,$B13,'Form Responses 1'!$C:$C,2024,'Form Responses 1'!$D:$D,L$2)&gt;0,TRUE)</f>
        <v>1</v>
      </c>
      <c r="M13" s="18" t="b">
        <f>IF(COUNTIFS('Form Responses 1'!$B:$B,$B13,'Form Responses 1'!$C:$C,2024,'Form Responses 1'!$D:$D,M$2)&gt;0,TRUE)</f>
        <v>1</v>
      </c>
      <c r="N13" s="18" t="b">
        <f>IF(COUNTIFS('Form Responses 1'!$B:$B,$B13,'Form Responses 1'!$C:$C,2024,'Form Responses 1'!$D:$D,N$2)&gt;0,TRUE)</f>
        <v>1</v>
      </c>
      <c r="O13" s="18" t="b">
        <f>IF(COUNTIFS('Form Responses 1'!$B:$B,$B13,'Form Responses 1'!$C:$C,2024,'Form Responses 1'!$D:$D,O$2)&gt;0,TRUE)</f>
        <v>0</v>
      </c>
      <c r="P13" s="18" t="b">
        <f>IF(COUNTIFS('Form Responses 1'!$B:$B,$B13,'Form Responses 1'!$C:$C,2024,'Form Responses 1'!$D:$D,P$2)&gt;0,TRUE)</f>
        <v>0</v>
      </c>
      <c r="Q13" s="18" t="b">
        <f>IF(COUNTIFS('Form Responses 1'!$B:$B,$B13,'Form Responses 1'!$C:$C,2025,'Form Responses 1'!$D:$D,Q$2)&gt;0,TRUE)</f>
        <v>1</v>
      </c>
      <c r="R13" s="18" t="b">
        <f>IF(COUNTIFS('Form Responses 1'!$B:$B,$B13,'Form Responses 1'!$C:$C,2025,'Form Responses 1'!$D:$D,R$2)&gt;0,TRUE)</f>
        <v>1</v>
      </c>
      <c r="S13" s="19" t="b">
        <f>IF(COUNTIFS('Form Responses 1'!$B:$B,$B13,'Form Responses 1'!$C:$C,2025,'Form Responses 1'!$D:$D,S$2)&gt;0,TRUE)</f>
        <v>1</v>
      </c>
      <c r="T13" s="19" t="b">
        <f>IF(COUNTIFS('Form Responses 1'!$B:$B,$B13,'Form Responses 1'!$C:$C,2025,'Form Responses 1'!$D:$D,T$2)&gt;0,TRUE)</f>
        <v>1</v>
      </c>
      <c r="U13" s="19" t="b">
        <f>IF(COUNTIFS('Form Responses 1'!$B:$B,$B13,'Form Responses 1'!$C:$C,2025,'Form Responses 1'!$D:$D,U$2)&gt;0,TRUE)</f>
        <v>1</v>
      </c>
      <c r="V13" s="19" t="b">
        <f>IF(COUNTIFS('Form Responses 1'!$B:$B,$B13,'Form Responses 1'!$C:$C,2025,'Form Responses 1'!$D:$D,V$2)&gt;0,TRUE)</f>
        <v>1</v>
      </c>
      <c r="W13" s="19" t="b">
        <f>IF(COUNTIFS('Form Responses 1'!$B:$B,$B13,'Form Responses 1'!$C:$C,2025,'Form Responses 1'!$D:$D,W$2)&gt;0,TRUE)</f>
        <v>1</v>
      </c>
      <c r="X13" s="19" t="b">
        <f>IF(COUNTIFS('Form Responses 1'!$B:$B,$B13,'Form Responses 1'!$C:$C,2025,'Form Responses 1'!$D:$D,X$2)&gt;0,TRUE)</f>
        <v>1</v>
      </c>
      <c r="Y13" s="19" t="b">
        <f>IF(COUNTIFS('Form Responses 1'!$B:$B,$B13,'Form Responses 1'!$C:$C,2025,'Form Responses 1'!$D:$D,Y$2)&gt;0,TRUE)</f>
        <v>1</v>
      </c>
      <c r="Z13" s="19" t="b">
        <f>IF(COUNTIFS('Form Responses 1'!$B:$B,$B13,'Form Responses 1'!$C:$C,2025,'Form Responses 1'!$D:$D,Z$2)&gt;0,TRUE)</f>
        <v>1</v>
      </c>
      <c r="AA13" s="19" t="b">
        <f>IF(COUNTIFS('Form Responses 1'!$B:$B,$B13,'Form Responses 1'!$C:$C,2025,'Form Responses 1'!$D:$D,AA$2)&gt;0,TRUE)</f>
        <v>1</v>
      </c>
      <c r="AB13" s="19" t="b">
        <f>IF(COUNTIFS('Form Responses 1'!$B:$B,$B13,'Form Responses 1'!$C:$C,2025,'Form Responses 1'!$D:$D,AB$2)&gt;0,TRUE)</f>
        <v>1</v>
      </c>
      <c r="AC13" s="19" t="b">
        <f>IF(COUNTIFS('Form Responses 1'!$B:$B,$B13,'Form Responses 1'!$C:$C,2025,'Form Responses 1'!$D:$D,AC$2)&gt;0,TRUE)</f>
        <v>1</v>
      </c>
      <c r="AD13" s="19" t="b">
        <f>IF(COUNTIFS('Form Responses 1'!$B:$B,$B13,'Form Responses 1'!$C:$C,2025,'Form Responses 1'!$D:$D,AD$2)&gt;0,TRUE)</f>
        <v>1</v>
      </c>
      <c r="AE13" s="19" t="b">
        <f>IF(COUNTIFS('Form Responses 1'!$B:$B,$B13,'Form Responses 1'!$C:$C,2025,'Form Responses 1'!$D:$D,AE$2)&gt;0,TRUE)</f>
        <v>1</v>
      </c>
      <c r="AF13" s="19" t="b">
        <f>IF(COUNTIFS('Form Responses 1'!$B:$B,$B13,'Form Responses 1'!$C:$C,2025,'Form Responses 1'!$D:$D,AF$2)&gt;0,TRUE)</f>
        <v>1</v>
      </c>
      <c r="AG13" s="19" t="b">
        <f>IF(COUNTIFS('Form Responses 1'!$B:$B,$B13,'Form Responses 1'!$C:$C,2026,'Form Responses 1'!$D:$D,AG$2)&gt;0,TRUE)</f>
        <v>0</v>
      </c>
      <c r="AH13" s="19" t="b">
        <f>IF(COUNTIFS('Form Responses 1'!$B:$B,$B13,'Form Responses 1'!$C:$C,2026,'Form Responses 1'!$D:$D,AH$2)&gt;0,TRUE)</f>
        <v>0</v>
      </c>
      <c r="AI13" s="19" t="b">
        <f>IF(COUNTIFS('Form Responses 1'!$B:$B,$B13,'Form Responses 1'!$C:$C,2026,'Form Responses 1'!$D:$D,AI$2)&gt;0,TRUE)</f>
        <v>0</v>
      </c>
      <c r="AJ13" s="19" t="b">
        <f>IF(COUNTIFS('Form Responses 1'!$B:$B,$B13,'Form Responses 1'!$C:$C,2026,'Form Responses 1'!$D:$D,AJ$2)&gt;0,TRUE)</f>
        <v>0</v>
      </c>
      <c r="AK13" s="19" t="b">
        <f>IF(COUNTIFS('Form Responses 1'!$B:$B,$B13,'Form Responses 1'!$C:$C,2026,'Form Responses 1'!$D:$D,AK$2)&gt;0,TRUE)</f>
        <v>0</v>
      </c>
      <c r="AL13" s="19" t="b">
        <f>IF(COUNTIFS('Form Responses 1'!$B:$B,$B13,'Form Responses 1'!$C:$C,2026,'Form Responses 1'!$D:$D,AL$2)&gt;0,TRUE)</f>
        <v>0</v>
      </c>
      <c r="AM13" s="19" t="b">
        <f>IF(COUNTIFS('Form Responses 1'!$B:$B,$B13,'Form Responses 1'!$C:$C,2026,'Form Responses 1'!$D:$D,AM$2)&gt;0,TRUE)</f>
        <v>0</v>
      </c>
      <c r="AN13" s="19" t="b">
        <f>IF(COUNTIFS('Form Responses 1'!$B:$B,$B13,'Form Responses 1'!$C:$C,2026,'Form Responses 1'!$D:$D,AN$2)&gt;0,TRUE)</f>
        <v>0</v>
      </c>
      <c r="AO13" s="19" t="b">
        <f>IF(COUNTIFS('Form Responses 1'!$B:$B,$B13,'Form Responses 1'!$C:$C,2026,'Form Responses 1'!$D:$D,AO$2)&gt;0,TRUE)</f>
        <v>0</v>
      </c>
      <c r="AP13" s="19" t="b">
        <f>IF(COUNTIFS('Form Responses 1'!$B:$B,$B13,'Form Responses 1'!$C:$C,2026,'Form Responses 1'!$D:$D,AP$2)&gt;0,TRUE)</f>
        <v>0</v>
      </c>
      <c r="AQ13" s="19" t="b">
        <f>IF(COUNTIFS('Form Responses 1'!$B:$B,$B13,'Form Responses 1'!$C:$C,2026,'Form Responses 1'!$D:$D,AQ$2)&gt;0,TRUE)</f>
        <v>0</v>
      </c>
      <c r="AR13" s="19" t="b">
        <f>IF(COUNTIFS('Form Responses 1'!$B:$B,$B13,'Form Responses 1'!$C:$C,2026,'Form Responses 1'!$D:$D,AR$2)&gt;0,TRUE)</f>
        <v>0</v>
      </c>
      <c r="AS13" s="19" t="b">
        <f>IF(COUNTIFS('Form Responses 1'!$B:$B,$B13,'Form Responses 1'!$C:$C,2026,'Form Responses 1'!$D:$D,AS$2)&gt;0,TRUE)</f>
        <v>0</v>
      </c>
      <c r="AT13" s="19" t="b">
        <f>IF(COUNTIFS('Form Responses 1'!$B:$B,$B13,'Form Responses 1'!$C:$C,2026,'Form Responses 1'!$D:$D,AT$2)&gt;0,TRUE)</f>
        <v>0</v>
      </c>
      <c r="AU13" s="19" t="b">
        <f>IF(COUNTIFS('Form Responses 1'!$B:$B,$B13,'Form Responses 1'!$C:$C,2026,'Form Responses 1'!$D:$D,AU$2)&gt;0,TRUE)</f>
        <v>0</v>
      </c>
    </row>
    <row r="14" spans="1:47" ht="12.75" x14ac:dyDescent="0.2">
      <c r="A14" s="11">
        <v>12</v>
      </c>
      <c r="B14" s="10" t="s">
        <v>35</v>
      </c>
      <c r="C14" s="18" t="b">
        <f>IF(COUNTIFS('Form Responses 1'!$B:$B,$B14,'Form Responses 1'!$C:$C,2024,'Form Responses 1'!$D:$D,C$2)&gt;0,TRUE)</f>
        <v>0</v>
      </c>
      <c r="D14" s="18" t="b">
        <f>IF(COUNTIFS('Form Responses 1'!$B:$B,$B14,'Form Responses 1'!$C:$C,2024,'Form Responses 1'!$D:$D,D$2)&gt;0,TRUE)</f>
        <v>1</v>
      </c>
      <c r="E14" s="18" t="b">
        <f>IF(COUNTIFS('Form Responses 1'!$B:$B,$B14,'Form Responses 1'!$C:$C,2024,'Form Responses 1'!$D:$D,E$2)&gt;0,TRUE)</f>
        <v>1</v>
      </c>
      <c r="F14" s="18" t="b">
        <f>IF(COUNTIFS('Form Responses 1'!$B:$B,$B14,'Form Responses 1'!$C:$C,2024,'Form Responses 1'!$D:$D,F$2)&gt;0,TRUE)</f>
        <v>1</v>
      </c>
      <c r="G14" s="18" t="b">
        <f>IF(COUNTIFS('Form Responses 1'!$B:$B,$B14,'Form Responses 1'!$C:$C,2024,'Form Responses 1'!$D:$D,G$2)&gt;0,TRUE)</f>
        <v>1</v>
      </c>
      <c r="H14" s="18" t="b">
        <f>IF(COUNTIFS('Form Responses 1'!$B:$B,$B14,'Form Responses 1'!$C:$C,2024,'Form Responses 1'!$D:$D,H$2)&gt;0,TRUE)</f>
        <v>1</v>
      </c>
      <c r="I14" s="18" t="b">
        <f>IF(COUNTIFS('Form Responses 1'!$B:$B,$B14,'Form Responses 1'!$C:$C,2024,'Form Responses 1'!$D:$D,I$2)&gt;0,TRUE)</f>
        <v>1</v>
      </c>
      <c r="J14" s="18" t="b">
        <f>IF(COUNTIFS('Form Responses 1'!$B:$B,$B14,'Form Responses 1'!$C:$C,2024,'Form Responses 1'!$D:$D,J$2)&gt;0,TRUE)</f>
        <v>1</v>
      </c>
      <c r="K14" s="18" t="b">
        <f>IF(COUNTIFS('Form Responses 1'!$B:$B,$B14,'Form Responses 1'!$C:$C,2024,'Form Responses 1'!$D:$D,K$2)&gt;0,TRUE)</f>
        <v>1</v>
      </c>
      <c r="L14" s="18" t="b">
        <f>IF(COUNTIFS('Form Responses 1'!$B:$B,$B14,'Form Responses 1'!$C:$C,2024,'Form Responses 1'!$D:$D,L$2)&gt;0,TRUE)</f>
        <v>1</v>
      </c>
      <c r="M14" s="18" t="b">
        <f>IF(COUNTIFS('Form Responses 1'!$B:$B,$B14,'Form Responses 1'!$C:$C,2024,'Form Responses 1'!$D:$D,M$2)&gt;0,TRUE)</f>
        <v>1</v>
      </c>
      <c r="N14" s="18" t="b">
        <f>IF(COUNTIFS('Form Responses 1'!$B:$B,$B14,'Form Responses 1'!$C:$C,2024,'Form Responses 1'!$D:$D,N$2)&gt;0,TRUE)</f>
        <v>1</v>
      </c>
      <c r="O14" s="18" t="b">
        <f>IF(COUNTIFS('Form Responses 1'!$B:$B,$B14,'Form Responses 1'!$C:$C,2024,'Form Responses 1'!$D:$D,O$2)&gt;0,TRUE)</f>
        <v>1</v>
      </c>
      <c r="P14" s="18" t="b">
        <f>IF(COUNTIFS('Form Responses 1'!$B:$B,$B14,'Form Responses 1'!$C:$C,2024,'Form Responses 1'!$D:$D,P$2)&gt;0,TRUE)</f>
        <v>1</v>
      </c>
      <c r="Q14" s="18" t="b">
        <f>IF(COUNTIFS('Form Responses 1'!$B:$B,$B14,'Form Responses 1'!$C:$C,2025,'Form Responses 1'!$D:$D,Q$2)&gt;0,TRUE)</f>
        <v>1</v>
      </c>
      <c r="R14" s="18" t="b">
        <f>IF(COUNTIFS('Form Responses 1'!$B:$B,$B14,'Form Responses 1'!$C:$C,2025,'Form Responses 1'!$D:$D,R$2)&gt;0,TRUE)</f>
        <v>1</v>
      </c>
      <c r="S14" s="19" t="b">
        <f>IF(COUNTIFS('Form Responses 1'!$B:$B,$B14,'Form Responses 1'!$C:$C,2025,'Form Responses 1'!$D:$D,S$2)&gt;0,TRUE)</f>
        <v>1</v>
      </c>
      <c r="T14" s="19" t="b">
        <f>IF(COUNTIFS('Form Responses 1'!$B:$B,$B14,'Form Responses 1'!$C:$C,2025,'Form Responses 1'!$D:$D,T$2)&gt;0,TRUE)</f>
        <v>1</v>
      </c>
      <c r="U14" s="19" t="b">
        <f>IF(COUNTIFS('Form Responses 1'!$B:$B,$B14,'Form Responses 1'!$C:$C,2025,'Form Responses 1'!$D:$D,U$2)&gt;0,TRUE)</f>
        <v>1</v>
      </c>
      <c r="V14" s="19" t="b">
        <f>IF(COUNTIFS('Form Responses 1'!$B:$B,$B14,'Form Responses 1'!$C:$C,2025,'Form Responses 1'!$D:$D,V$2)&gt;0,TRUE)</f>
        <v>1</v>
      </c>
      <c r="W14" s="19" t="b">
        <f>IF(COUNTIFS('Form Responses 1'!$B:$B,$B14,'Form Responses 1'!$C:$C,2025,'Form Responses 1'!$D:$D,W$2)&gt;0,TRUE)</f>
        <v>1</v>
      </c>
      <c r="X14" s="19" t="b">
        <f>IF(COUNTIFS('Form Responses 1'!$B:$B,$B14,'Form Responses 1'!$C:$C,2025,'Form Responses 1'!$D:$D,X$2)&gt;0,TRUE)</f>
        <v>1</v>
      </c>
      <c r="Y14" s="19" t="b">
        <f>IF(COUNTIFS('Form Responses 1'!$B:$B,$B14,'Form Responses 1'!$C:$C,2025,'Form Responses 1'!$D:$D,Y$2)&gt;0,TRUE)</f>
        <v>1</v>
      </c>
      <c r="Z14" s="19" t="b">
        <f>IF(COUNTIFS('Form Responses 1'!$B:$B,$B14,'Form Responses 1'!$C:$C,2025,'Form Responses 1'!$D:$D,Z$2)&gt;0,TRUE)</f>
        <v>1</v>
      </c>
      <c r="AA14" s="19" t="b">
        <f>IF(COUNTIFS('Form Responses 1'!$B:$B,$B14,'Form Responses 1'!$C:$C,2025,'Form Responses 1'!$D:$D,AA$2)&gt;0,TRUE)</f>
        <v>1</v>
      </c>
      <c r="AB14" s="19" t="b">
        <f>IF(COUNTIFS('Form Responses 1'!$B:$B,$B14,'Form Responses 1'!$C:$C,2025,'Form Responses 1'!$D:$D,AB$2)&gt;0,TRUE)</f>
        <v>1</v>
      </c>
      <c r="AC14" s="19" t="b">
        <f>IF(COUNTIFS('Form Responses 1'!$B:$B,$B14,'Form Responses 1'!$C:$C,2025,'Form Responses 1'!$D:$D,AC$2)&gt;0,TRUE)</f>
        <v>1</v>
      </c>
      <c r="AD14" s="19" t="b">
        <f>IF(COUNTIFS('Form Responses 1'!$B:$B,$B14,'Form Responses 1'!$C:$C,2025,'Form Responses 1'!$D:$D,AD$2)&gt;0,TRUE)</f>
        <v>1</v>
      </c>
      <c r="AE14" s="19" t="b">
        <f>IF(COUNTIFS('Form Responses 1'!$B:$B,$B14,'Form Responses 1'!$C:$C,2025,'Form Responses 1'!$D:$D,AE$2)&gt;0,TRUE)</f>
        <v>1</v>
      </c>
      <c r="AF14" s="19" t="b">
        <f>IF(COUNTIFS('Form Responses 1'!$B:$B,$B14,'Form Responses 1'!$C:$C,2025,'Form Responses 1'!$D:$D,AF$2)&gt;0,TRUE)</f>
        <v>1</v>
      </c>
      <c r="AG14" s="19" t="b">
        <f>IF(COUNTIFS('Form Responses 1'!$B:$B,$B14,'Form Responses 1'!$C:$C,2026,'Form Responses 1'!$D:$D,AG$2)&gt;0,TRUE)</f>
        <v>0</v>
      </c>
      <c r="AH14" s="19" t="b">
        <f>IF(COUNTIFS('Form Responses 1'!$B:$B,$B14,'Form Responses 1'!$C:$C,2026,'Form Responses 1'!$D:$D,AH$2)&gt;0,TRUE)</f>
        <v>0</v>
      </c>
      <c r="AI14" s="19" t="b">
        <f>IF(COUNTIFS('Form Responses 1'!$B:$B,$B14,'Form Responses 1'!$C:$C,2026,'Form Responses 1'!$D:$D,AI$2)&gt;0,TRUE)</f>
        <v>0</v>
      </c>
      <c r="AJ14" s="19" t="b">
        <f>IF(COUNTIFS('Form Responses 1'!$B:$B,$B14,'Form Responses 1'!$C:$C,2026,'Form Responses 1'!$D:$D,AJ$2)&gt;0,TRUE)</f>
        <v>0</v>
      </c>
      <c r="AK14" s="19" t="b">
        <f>IF(COUNTIFS('Form Responses 1'!$B:$B,$B14,'Form Responses 1'!$C:$C,2026,'Form Responses 1'!$D:$D,AK$2)&gt;0,TRUE)</f>
        <v>0</v>
      </c>
      <c r="AL14" s="19" t="b">
        <f>IF(COUNTIFS('Form Responses 1'!$B:$B,$B14,'Form Responses 1'!$C:$C,2026,'Form Responses 1'!$D:$D,AL$2)&gt;0,TRUE)</f>
        <v>0</v>
      </c>
      <c r="AM14" s="19" t="b">
        <f>IF(COUNTIFS('Form Responses 1'!$B:$B,$B14,'Form Responses 1'!$C:$C,2026,'Form Responses 1'!$D:$D,AM$2)&gt;0,TRUE)</f>
        <v>0</v>
      </c>
      <c r="AN14" s="19" t="b">
        <f>IF(COUNTIFS('Form Responses 1'!$B:$B,$B14,'Form Responses 1'!$C:$C,2026,'Form Responses 1'!$D:$D,AN$2)&gt;0,TRUE)</f>
        <v>0</v>
      </c>
      <c r="AO14" s="19" t="b">
        <f>IF(COUNTIFS('Form Responses 1'!$B:$B,$B14,'Form Responses 1'!$C:$C,2026,'Form Responses 1'!$D:$D,AO$2)&gt;0,TRUE)</f>
        <v>0</v>
      </c>
      <c r="AP14" s="19" t="b">
        <f>IF(COUNTIFS('Form Responses 1'!$B:$B,$B14,'Form Responses 1'!$C:$C,2026,'Form Responses 1'!$D:$D,AP$2)&gt;0,TRUE)</f>
        <v>0</v>
      </c>
      <c r="AQ14" s="19" t="b">
        <f>IF(COUNTIFS('Form Responses 1'!$B:$B,$B14,'Form Responses 1'!$C:$C,2026,'Form Responses 1'!$D:$D,AQ$2)&gt;0,TRUE)</f>
        <v>0</v>
      </c>
      <c r="AR14" s="19" t="b">
        <f>IF(COUNTIFS('Form Responses 1'!$B:$B,$B14,'Form Responses 1'!$C:$C,2026,'Form Responses 1'!$D:$D,AR$2)&gt;0,TRUE)</f>
        <v>0</v>
      </c>
      <c r="AS14" s="19" t="b">
        <f>IF(COUNTIFS('Form Responses 1'!$B:$B,$B14,'Form Responses 1'!$C:$C,2026,'Form Responses 1'!$D:$D,AS$2)&gt;0,TRUE)</f>
        <v>0</v>
      </c>
      <c r="AT14" s="19" t="b">
        <f>IF(COUNTIFS('Form Responses 1'!$B:$B,$B14,'Form Responses 1'!$C:$C,2026,'Form Responses 1'!$D:$D,AT$2)&gt;0,TRUE)</f>
        <v>0</v>
      </c>
      <c r="AU14" s="19" t="b">
        <f>IF(COUNTIFS('Form Responses 1'!$B:$B,$B14,'Form Responses 1'!$C:$C,2026,'Form Responses 1'!$D:$D,AU$2)&gt;0,TRUE)</f>
        <v>0</v>
      </c>
    </row>
    <row r="15" spans="1:47" ht="12.75" x14ac:dyDescent="0.2">
      <c r="A15" s="9">
        <v>13</v>
      </c>
      <c r="B15" s="10" t="s">
        <v>47</v>
      </c>
      <c r="C15" s="18" t="b">
        <f>IF(COUNTIFS('Form Responses 1'!$B:$B,$B15,'Form Responses 1'!$C:$C,2024,'Form Responses 1'!$D:$D,C$2)&gt;0,TRUE)</f>
        <v>1</v>
      </c>
      <c r="D15" s="18" t="b">
        <f>IF(COUNTIFS('Form Responses 1'!$B:$B,$B15,'Form Responses 1'!$C:$C,2024,'Form Responses 1'!$D:$D,D$2)&gt;0,TRUE)</f>
        <v>1</v>
      </c>
      <c r="E15" s="18" t="b">
        <f>IF(COUNTIFS('Form Responses 1'!$B:$B,$B15,'Form Responses 1'!$C:$C,2024,'Form Responses 1'!$D:$D,E$2)&gt;0,TRUE)</f>
        <v>1</v>
      </c>
      <c r="F15" s="18" t="b">
        <f>IF(COUNTIFS('Form Responses 1'!$B:$B,$B15,'Form Responses 1'!$C:$C,2024,'Form Responses 1'!$D:$D,F$2)&gt;0,TRUE)</f>
        <v>1</v>
      </c>
      <c r="G15" s="18" t="b">
        <f>IF(COUNTIFS('Form Responses 1'!$B:$B,$B15,'Form Responses 1'!$C:$C,2024,'Form Responses 1'!$D:$D,G$2)&gt;0,TRUE)</f>
        <v>1</v>
      </c>
      <c r="H15" s="18" t="b">
        <f>IF(COUNTIFS('Form Responses 1'!$B:$B,$B15,'Form Responses 1'!$C:$C,2024,'Form Responses 1'!$D:$D,H$2)&gt;0,TRUE)</f>
        <v>1</v>
      </c>
      <c r="I15" s="18" t="b">
        <f>IF(COUNTIFS('Form Responses 1'!$B:$B,$B15,'Form Responses 1'!$C:$C,2024,'Form Responses 1'!$D:$D,I$2)&gt;0,TRUE)</f>
        <v>1</v>
      </c>
      <c r="J15" s="18" t="b">
        <f>IF(COUNTIFS('Form Responses 1'!$B:$B,$B15,'Form Responses 1'!$C:$C,2024,'Form Responses 1'!$D:$D,J$2)&gt;0,TRUE)</f>
        <v>1</v>
      </c>
      <c r="K15" s="18" t="b">
        <f>IF(COUNTIFS('Form Responses 1'!$B:$B,$B15,'Form Responses 1'!$C:$C,2024,'Form Responses 1'!$D:$D,K$2)&gt;0,TRUE)</f>
        <v>1</v>
      </c>
      <c r="L15" s="18" t="b">
        <f>IF(COUNTIFS('Form Responses 1'!$B:$B,$B15,'Form Responses 1'!$C:$C,2024,'Form Responses 1'!$D:$D,L$2)&gt;0,TRUE)</f>
        <v>1</v>
      </c>
      <c r="M15" s="18" t="b">
        <f>IF(COUNTIFS('Form Responses 1'!$B:$B,$B15,'Form Responses 1'!$C:$C,2024,'Form Responses 1'!$D:$D,M$2)&gt;0,TRUE)</f>
        <v>1</v>
      </c>
      <c r="N15" s="18" t="b">
        <f>IF(COUNTIFS('Form Responses 1'!$B:$B,$B15,'Form Responses 1'!$C:$C,2024,'Form Responses 1'!$D:$D,N$2)&gt;0,TRUE)</f>
        <v>1</v>
      </c>
      <c r="O15" s="18" t="b">
        <f>IF(COUNTIFS('Form Responses 1'!$B:$B,$B15,'Form Responses 1'!$C:$C,2024,'Form Responses 1'!$D:$D,O$2)&gt;0,TRUE)</f>
        <v>0</v>
      </c>
      <c r="P15" s="18" t="b">
        <f>IF(COUNTIFS('Form Responses 1'!$B:$B,$B15,'Form Responses 1'!$C:$C,2024,'Form Responses 1'!$D:$D,P$2)&gt;0,TRUE)</f>
        <v>0</v>
      </c>
      <c r="Q15" s="18" t="b">
        <f>IF(COUNTIFS('Form Responses 1'!$B:$B,$B15,'Form Responses 1'!$C:$C,2025,'Form Responses 1'!$D:$D,Q$2)&gt;0,TRUE)</f>
        <v>1</v>
      </c>
      <c r="R15" s="18" t="b">
        <f>IF(COUNTIFS('Form Responses 1'!$B:$B,$B15,'Form Responses 1'!$C:$C,2025,'Form Responses 1'!$D:$D,R$2)&gt;0,TRUE)</f>
        <v>1</v>
      </c>
      <c r="S15" s="19" t="b">
        <f>IF(COUNTIFS('Form Responses 1'!$B:$B,$B15,'Form Responses 1'!$C:$C,2025,'Form Responses 1'!$D:$D,S$2)&gt;0,TRUE)</f>
        <v>1</v>
      </c>
      <c r="T15" s="19" t="b">
        <f>IF(COUNTIFS('Form Responses 1'!$B:$B,$B15,'Form Responses 1'!$C:$C,2025,'Form Responses 1'!$D:$D,T$2)&gt;0,TRUE)</f>
        <v>1</v>
      </c>
      <c r="U15" s="19" t="b">
        <f>IF(COUNTIFS('Form Responses 1'!$B:$B,$B15,'Form Responses 1'!$C:$C,2025,'Form Responses 1'!$D:$D,U$2)&gt;0,TRUE)</f>
        <v>1</v>
      </c>
      <c r="V15" s="19" t="b">
        <f>IF(COUNTIFS('Form Responses 1'!$B:$B,$B15,'Form Responses 1'!$C:$C,2025,'Form Responses 1'!$D:$D,V$2)&gt;0,TRUE)</f>
        <v>1</v>
      </c>
      <c r="W15" s="19" t="b">
        <f>IF(COUNTIFS('Form Responses 1'!$B:$B,$B15,'Form Responses 1'!$C:$C,2025,'Form Responses 1'!$D:$D,W$2)&gt;0,TRUE)</f>
        <v>1</v>
      </c>
      <c r="X15" s="19" t="b">
        <f>IF(COUNTIFS('Form Responses 1'!$B:$B,$B15,'Form Responses 1'!$C:$C,2025,'Form Responses 1'!$D:$D,X$2)&gt;0,TRUE)</f>
        <v>1</v>
      </c>
      <c r="Y15" s="19" t="b">
        <f>IF(COUNTIFS('Form Responses 1'!$B:$B,$B15,'Form Responses 1'!$C:$C,2025,'Form Responses 1'!$D:$D,Y$2)&gt;0,TRUE)</f>
        <v>1</v>
      </c>
      <c r="Z15" s="19" t="b">
        <f>IF(COUNTIFS('Form Responses 1'!$B:$B,$B15,'Form Responses 1'!$C:$C,2025,'Form Responses 1'!$D:$D,Z$2)&gt;0,TRUE)</f>
        <v>1</v>
      </c>
      <c r="AA15" s="19" t="b">
        <f>IF(COUNTIFS('Form Responses 1'!$B:$B,$B15,'Form Responses 1'!$C:$C,2025,'Form Responses 1'!$D:$D,AA$2)&gt;0,TRUE)</f>
        <v>1</v>
      </c>
      <c r="AB15" s="19" t="b">
        <f>IF(COUNTIFS('Form Responses 1'!$B:$B,$B15,'Form Responses 1'!$C:$C,2025,'Form Responses 1'!$D:$D,AB$2)&gt;0,TRUE)</f>
        <v>1</v>
      </c>
      <c r="AC15" s="19" t="b">
        <f>IF(COUNTIFS('Form Responses 1'!$B:$B,$B15,'Form Responses 1'!$C:$C,2025,'Form Responses 1'!$D:$D,AC$2)&gt;0,TRUE)</f>
        <v>1</v>
      </c>
      <c r="AD15" s="19" t="b">
        <f>IF(COUNTIFS('Form Responses 1'!$B:$B,$B15,'Form Responses 1'!$C:$C,2025,'Form Responses 1'!$D:$D,AD$2)&gt;0,TRUE)</f>
        <v>1</v>
      </c>
      <c r="AE15" s="19" t="b">
        <f>IF(COUNTIFS('Form Responses 1'!$B:$B,$B15,'Form Responses 1'!$C:$C,2025,'Form Responses 1'!$D:$D,AE$2)&gt;0,TRUE)</f>
        <v>1</v>
      </c>
      <c r="AF15" s="19" t="b">
        <f>IF(COUNTIFS('Form Responses 1'!$B:$B,$B15,'Form Responses 1'!$C:$C,2025,'Form Responses 1'!$D:$D,AF$2)&gt;0,TRUE)</f>
        <v>1</v>
      </c>
      <c r="AG15" s="19" t="b">
        <f>IF(COUNTIFS('Form Responses 1'!$B:$B,$B15,'Form Responses 1'!$C:$C,2026,'Form Responses 1'!$D:$D,AG$2)&gt;0,TRUE)</f>
        <v>0</v>
      </c>
      <c r="AH15" s="19" t="b">
        <f>IF(COUNTIFS('Form Responses 1'!$B:$B,$B15,'Form Responses 1'!$C:$C,2026,'Form Responses 1'!$D:$D,AH$2)&gt;0,TRUE)</f>
        <v>0</v>
      </c>
      <c r="AI15" s="19" t="b">
        <f>IF(COUNTIFS('Form Responses 1'!$B:$B,$B15,'Form Responses 1'!$C:$C,2026,'Form Responses 1'!$D:$D,AI$2)&gt;0,TRUE)</f>
        <v>0</v>
      </c>
      <c r="AJ15" s="19" t="b">
        <f>IF(COUNTIFS('Form Responses 1'!$B:$B,$B15,'Form Responses 1'!$C:$C,2026,'Form Responses 1'!$D:$D,AJ$2)&gt;0,TRUE)</f>
        <v>0</v>
      </c>
      <c r="AK15" s="19" t="b">
        <f>IF(COUNTIFS('Form Responses 1'!$B:$B,$B15,'Form Responses 1'!$C:$C,2026,'Form Responses 1'!$D:$D,AK$2)&gt;0,TRUE)</f>
        <v>0</v>
      </c>
      <c r="AL15" s="19" t="b">
        <f>IF(COUNTIFS('Form Responses 1'!$B:$B,$B15,'Form Responses 1'!$C:$C,2026,'Form Responses 1'!$D:$D,AL$2)&gt;0,TRUE)</f>
        <v>0</v>
      </c>
      <c r="AM15" s="19" t="b">
        <f>IF(COUNTIFS('Form Responses 1'!$B:$B,$B15,'Form Responses 1'!$C:$C,2026,'Form Responses 1'!$D:$D,AM$2)&gt;0,TRUE)</f>
        <v>0</v>
      </c>
      <c r="AN15" s="19" t="b">
        <f>IF(COUNTIFS('Form Responses 1'!$B:$B,$B15,'Form Responses 1'!$C:$C,2026,'Form Responses 1'!$D:$D,AN$2)&gt;0,TRUE)</f>
        <v>0</v>
      </c>
      <c r="AO15" s="19" t="b">
        <f>IF(COUNTIFS('Form Responses 1'!$B:$B,$B15,'Form Responses 1'!$C:$C,2026,'Form Responses 1'!$D:$D,AO$2)&gt;0,TRUE)</f>
        <v>0</v>
      </c>
      <c r="AP15" s="19" t="b">
        <f>IF(COUNTIFS('Form Responses 1'!$B:$B,$B15,'Form Responses 1'!$C:$C,2026,'Form Responses 1'!$D:$D,AP$2)&gt;0,TRUE)</f>
        <v>0</v>
      </c>
      <c r="AQ15" s="19" t="b">
        <f>IF(COUNTIFS('Form Responses 1'!$B:$B,$B15,'Form Responses 1'!$C:$C,2026,'Form Responses 1'!$D:$D,AQ$2)&gt;0,TRUE)</f>
        <v>0</v>
      </c>
      <c r="AR15" s="19" t="b">
        <f>IF(COUNTIFS('Form Responses 1'!$B:$B,$B15,'Form Responses 1'!$C:$C,2026,'Form Responses 1'!$D:$D,AR$2)&gt;0,TRUE)</f>
        <v>0</v>
      </c>
      <c r="AS15" s="19" t="b">
        <f>IF(COUNTIFS('Form Responses 1'!$B:$B,$B15,'Form Responses 1'!$C:$C,2026,'Form Responses 1'!$D:$D,AS$2)&gt;0,TRUE)</f>
        <v>0</v>
      </c>
      <c r="AT15" s="19" t="b">
        <f>IF(COUNTIFS('Form Responses 1'!$B:$B,$B15,'Form Responses 1'!$C:$C,2026,'Form Responses 1'!$D:$D,AT$2)&gt;0,TRUE)</f>
        <v>0</v>
      </c>
      <c r="AU15" s="19" t="b">
        <f>IF(COUNTIFS('Form Responses 1'!$B:$B,$B15,'Form Responses 1'!$C:$C,2026,'Form Responses 1'!$D:$D,AU$2)&gt;0,TRUE)</f>
        <v>0</v>
      </c>
    </row>
    <row r="16" spans="1:47" ht="12.75" x14ac:dyDescent="0.2">
      <c r="A16" s="11">
        <v>14</v>
      </c>
      <c r="B16" s="20" t="s">
        <v>22</v>
      </c>
      <c r="C16" s="18" t="b">
        <f>IF(COUNTIFS('Form Responses 1'!$B:$B,$B16,'Form Responses 1'!$C:$C,2024,'Form Responses 1'!$D:$D,C$2)&gt;0,TRUE)</f>
        <v>1</v>
      </c>
      <c r="D16" s="18" t="b">
        <f>IF(COUNTIFS('Form Responses 1'!$B:$B,$B16,'Form Responses 1'!$C:$C,2024,'Form Responses 1'!$D:$D,D$2)&gt;0,TRUE)</f>
        <v>1</v>
      </c>
      <c r="E16" s="18" t="b">
        <f>IF(COUNTIFS('Form Responses 1'!$B:$B,$B16,'Form Responses 1'!$C:$C,2024,'Form Responses 1'!$D:$D,E$2)&gt;0,TRUE)</f>
        <v>1</v>
      </c>
      <c r="F16" s="18" t="b">
        <f>IF(COUNTIFS('Form Responses 1'!$B:$B,$B16,'Form Responses 1'!$C:$C,2024,'Form Responses 1'!$D:$D,F$2)&gt;0,TRUE)</f>
        <v>1</v>
      </c>
      <c r="G16" s="18" t="b">
        <f>IF(COUNTIFS('Form Responses 1'!$B:$B,$B16,'Form Responses 1'!$C:$C,2024,'Form Responses 1'!$D:$D,G$2)&gt;0,TRUE)</f>
        <v>1</v>
      </c>
      <c r="H16" s="18" t="b">
        <f>IF(COUNTIFS('Form Responses 1'!$B:$B,$B16,'Form Responses 1'!$C:$C,2024,'Form Responses 1'!$D:$D,H$2)&gt;0,TRUE)</f>
        <v>1</v>
      </c>
      <c r="I16" s="18" t="b">
        <f>IF(COUNTIFS('Form Responses 1'!$B:$B,$B16,'Form Responses 1'!$C:$C,2024,'Form Responses 1'!$D:$D,I$2)&gt;0,TRUE)</f>
        <v>1</v>
      </c>
      <c r="J16" s="18" t="b">
        <f>IF(COUNTIFS('Form Responses 1'!$B:$B,$B16,'Form Responses 1'!$C:$C,2024,'Form Responses 1'!$D:$D,J$2)&gt;0,TRUE)</f>
        <v>1</v>
      </c>
      <c r="K16" s="18" t="b">
        <f>IF(COUNTIFS('Form Responses 1'!$B:$B,$B16,'Form Responses 1'!$C:$C,2024,'Form Responses 1'!$D:$D,K$2)&gt;0,TRUE)</f>
        <v>1</v>
      </c>
      <c r="L16" s="18" t="b">
        <f>IF(COUNTIFS('Form Responses 1'!$B:$B,$B16,'Form Responses 1'!$C:$C,2024,'Form Responses 1'!$D:$D,L$2)&gt;0,TRUE)</f>
        <v>1</v>
      </c>
      <c r="M16" s="18" t="b">
        <f>IF(COUNTIFS('Form Responses 1'!$B:$B,$B16,'Form Responses 1'!$C:$C,2024,'Form Responses 1'!$D:$D,M$2)&gt;0,TRUE)</f>
        <v>1</v>
      </c>
      <c r="N16" s="18" t="b">
        <f>IF(COUNTIFS('Form Responses 1'!$B:$B,$B16,'Form Responses 1'!$C:$C,2024,'Form Responses 1'!$D:$D,N$2)&gt;0,TRUE)</f>
        <v>1</v>
      </c>
      <c r="O16" s="18" t="b">
        <f>IF(COUNTIFS('Form Responses 1'!$B:$B,$B16,'Form Responses 1'!$C:$C,2024,'Form Responses 1'!$D:$D,O$2)&gt;0,TRUE)</f>
        <v>1</v>
      </c>
      <c r="P16" s="18" t="b">
        <f>IF(COUNTIFS('Form Responses 1'!$B:$B,$B16,'Form Responses 1'!$C:$C,2024,'Form Responses 1'!$D:$D,P$2)&gt;0,TRUE)</f>
        <v>1</v>
      </c>
      <c r="Q16" s="18" t="b">
        <f>IF(COUNTIFS('Form Responses 1'!$B:$B,$B16,'Form Responses 1'!$C:$C,2025,'Form Responses 1'!$D:$D,Q$2)&gt;0,TRUE)</f>
        <v>1</v>
      </c>
      <c r="R16" s="18" t="b">
        <f>IF(COUNTIFS('Form Responses 1'!$B:$B,$B16,'Form Responses 1'!$C:$C,2025,'Form Responses 1'!$D:$D,R$2)&gt;0,TRUE)</f>
        <v>1</v>
      </c>
      <c r="S16" s="19" t="b">
        <f>IF(COUNTIFS('Form Responses 1'!$B:$B,$B16,'Form Responses 1'!$C:$C,2025,'Form Responses 1'!$D:$D,S$2)&gt;0,TRUE)</f>
        <v>1</v>
      </c>
      <c r="T16" s="19" t="b">
        <f>IF(COUNTIFS('Form Responses 1'!$B:$B,$B16,'Form Responses 1'!$C:$C,2025,'Form Responses 1'!$D:$D,T$2)&gt;0,TRUE)</f>
        <v>1</v>
      </c>
      <c r="U16" s="19" t="b">
        <f>IF(COUNTIFS('Form Responses 1'!$B:$B,$B16,'Form Responses 1'!$C:$C,2025,'Form Responses 1'!$D:$D,U$2)&gt;0,TRUE)</f>
        <v>1</v>
      </c>
      <c r="V16" s="19" t="b">
        <f>IF(COUNTIFS('Form Responses 1'!$B:$B,$B16,'Form Responses 1'!$C:$C,2025,'Form Responses 1'!$D:$D,V$2)&gt;0,TRUE)</f>
        <v>1</v>
      </c>
      <c r="W16" s="19" t="b">
        <f>IF(COUNTIFS('Form Responses 1'!$B:$B,$B16,'Form Responses 1'!$C:$C,2025,'Form Responses 1'!$D:$D,W$2)&gt;0,TRUE)</f>
        <v>1</v>
      </c>
      <c r="X16" s="19" t="b">
        <f>IF(COUNTIFS('Form Responses 1'!$B:$B,$B16,'Form Responses 1'!$C:$C,2025,'Form Responses 1'!$D:$D,X$2)&gt;0,TRUE)</f>
        <v>1</v>
      </c>
      <c r="Y16" s="19" t="b">
        <f>IF(COUNTIFS('Form Responses 1'!$B:$B,$B16,'Form Responses 1'!$C:$C,2025,'Form Responses 1'!$D:$D,Y$2)&gt;0,TRUE)</f>
        <v>1</v>
      </c>
      <c r="Z16" s="19" t="b">
        <f>IF(COUNTIFS('Form Responses 1'!$B:$B,$B16,'Form Responses 1'!$C:$C,2025,'Form Responses 1'!$D:$D,Z$2)&gt;0,TRUE)</f>
        <v>1</v>
      </c>
      <c r="AA16" s="19" t="b">
        <f>IF(COUNTIFS('Form Responses 1'!$B:$B,$B16,'Form Responses 1'!$C:$C,2025,'Form Responses 1'!$D:$D,AA$2)&gt;0,TRUE)</f>
        <v>1</v>
      </c>
      <c r="AB16" s="19" t="b">
        <f>IF(COUNTIFS('Form Responses 1'!$B:$B,$B16,'Form Responses 1'!$C:$C,2025,'Form Responses 1'!$D:$D,AB$2)&gt;0,TRUE)</f>
        <v>1</v>
      </c>
      <c r="AC16" s="19" t="b">
        <f>IF(COUNTIFS('Form Responses 1'!$B:$B,$B16,'Form Responses 1'!$C:$C,2025,'Form Responses 1'!$D:$D,AC$2)&gt;0,TRUE)</f>
        <v>1</v>
      </c>
      <c r="AD16" s="19" t="b">
        <f>IF(COUNTIFS('Form Responses 1'!$B:$B,$B16,'Form Responses 1'!$C:$C,2025,'Form Responses 1'!$D:$D,AD$2)&gt;0,TRUE)</f>
        <v>1</v>
      </c>
      <c r="AE16" s="19" t="b">
        <f>IF(COUNTIFS('Form Responses 1'!$B:$B,$B16,'Form Responses 1'!$C:$C,2025,'Form Responses 1'!$D:$D,AE$2)&gt;0,TRUE)</f>
        <v>1</v>
      </c>
      <c r="AF16" s="19" t="b">
        <f>IF(COUNTIFS('Form Responses 1'!$B:$B,$B16,'Form Responses 1'!$C:$C,2025,'Form Responses 1'!$D:$D,AF$2)&gt;0,TRUE)</f>
        <v>1</v>
      </c>
      <c r="AG16" s="19" t="b">
        <f>IF(COUNTIFS('Form Responses 1'!$B:$B,$B16,'Form Responses 1'!$C:$C,2026,'Form Responses 1'!$D:$D,AG$2)&gt;0,TRUE)</f>
        <v>0</v>
      </c>
      <c r="AH16" s="19" t="b">
        <f>IF(COUNTIFS('Form Responses 1'!$B:$B,$B16,'Form Responses 1'!$C:$C,2026,'Form Responses 1'!$D:$D,AH$2)&gt;0,TRUE)</f>
        <v>0</v>
      </c>
      <c r="AI16" s="19" t="b">
        <f>IF(COUNTIFS('Form Responses 1'!$B:$B,$B16,'Form Responses 1'!$C:$C,2026,'Form Responses 1'!$D:$D,AI$2)&gt;0,TRUE)</f>
        <v>0</v>
      </c>
      <c r="AJ16" s="19" t="b">
        <f>IF(COUNTIFS('Form Responses 1'!$B:$B,$B16,'Form Responses 1'!$C:$C,2026,'Form Responses 1'!$D:$D,AJ$2)&gt;0,TRUE)</f>
        <v>0</v>
      </c>
      <c r="AK16" s="19" t="b">
        <f>IF(COUNTIFS('Form Responses 1'!$B:$B,$B16,'Form Responses 1'!$C:$C,2026,'Form Responses 1'!$D:$D,AK$2)&gt;0,TRUE)</f>
        <v>0</v>
      </c>
      <c r="AL16" s="19" t="b">
        <f>IF(COUNTIFS('Form Responses 1'!$B:$B,$B16,'Form Responses 1'!$C:$C,2026,'Form Responses 1'!$D:$D,AL$2)&gt;0,TRUE)</f>
        <v>0</v>
      </c>
      <c r="AM16" s="19" t="b">
        <f>IF(COUNTIFS('Form Responses 1'!$B:$B,$B16,'Form Responses 1'!$C:$C,2026,'Form Responses 1'!$D:$D,AM$2)&gt;0,TRUE)</f>
        <v>0</v>
      </c>
      <c r="AN16" s="19" t="b">
        <f>IF(COUNTIFS('Form Responses 1'!$B:$B,$B16,'Form Responses 1'!$C:$C,2026,'Form Responses 1'!$D:$D,AN$2)&gt;0,TRUE)</f>
        <v>0</v>
      </c>
      <c r="AO16" s="19" t="b">
        <f>IF(COUNTIFS('Form Responses 1'!$B:$B,$B16,'Form Responses 1'!$C:$C,2026,'Form Responses 1'!$D:$D,AO$2)&gt;0,TRUE)</f>
        <v>0</v>
      </c>
      <c r="AP16" s="19" t="b">
        <f>IF(COUNTIFS('Form Responses 1'!$B:$B,$B16,'Form Responses 1'!$C:$C,2026,'Form Responses 1'!$D:$D,AP$2)&gt;0,TRUE)</f>
        <v>0</v>
      </c>
      <c r="AQ16" s="19" t="b">
        <f>IF(COUNTIFS('Form Responses 1'!$B:$B,$B16,'Form Responses 1'!$C:$C,2026,'Form Responses 1'!$D:$D,AQ$2)&gt;0,TRUE)</f>
        <v>0</v>
      </c>
      <c r="AR16" s="19" t="b">
        <f>IF(COUNTIFS('Form Responses 1'!$B:$B,$B16,'Form Responses 1'!$C:$C,2026,'Form Responses 1'!$D:$D,AR$2)&gt;0,TRUE)</f>
        <v>0</v>
      </c>
      <c r="AS16" s="19" t="b">
        <f>IF(COUNTIFS('Form Responses 1'!$B:$B,$B16,'Form Responses 1'!$C:$C,2026,'Form Responses 1'!$D:$D,AS$2)&gt;0,TRUE)</f>
        <v>0</v>
      </c>
      <c r="AT16" s="19" t="b">
        <f>IF(COUNTIFS('Form Responses 1'!$B:$B,$B16,'Form Responses 1'!$C:$C,2026,'Form Responses 1'!$D:$D,AT$2)&gt;0,TRUE)</f>
        <v>0</v>
      </c>
      <c r="AU16" s="19" t="b">
        <f>IF(COUNTIFS('Form Responses 1'!$B:$B,$B16,'Form Responses 1'!$C:$C,2026,'Form Responses 1'!$D:$D,AU$2)&gt;0,TRUE)</f>
        <v>0</v>
      </c>
    </row>
    <row r="17" spans="1:47" ht="12.75" x14ac:dyDescent="0.2">
      <c r="A17" s="9">
        <v>15</v>
      </c>
      <c r="B17" s="20" t="s">
        <v>13</v>
      </c>
      <c r="C17" s="18" t="b">
        <f>IF(COUNTIFS('Form Responses 1'!$B:$B,$B17,'Form Responses 1'!$C:$C,2024,'Form Responses 1'!$D:$D,C$2)&gt;0,TRUE)</f>
        <v>1</v>
      </c>
      <c r="D17" s="18" t="b">
        <f>IF(COUNTIFS('Form Responses 1'!$B:$B,$B17,'Form Responses 1'!$C:$C,2024,'Form Responses 1'!$D:$D,D$2)&gt;0,TRUE)</f>
        <v>1</v>
      </c>
      <c r="E17" s="18" t="b">
        <f>IF(COUNTIFS('Form Responses 1'!$B:$B,$B17,'Form Responses 1'!$C:$C,2024,'Form Responses 1'!$D:$D,E$2)&gt;0,TRUE)</f>
        <v>1</v>
      </c>
      <c r="F17" s="18" t="b">
        <f>IF(COUNTIFS('Form Responses 1'!$B:$B,$B17,'Form Responses 1'!$C:$C,2024,'Form Responses 1'!$D:$D,F$2)&gt;0,TRUE)</f>
        <v>1</v>
      </c>
      <c r="G17" s="18" t="b">
        <f>IF(COUNTIFS('Form Responses 1'!$B:$B,$B17,'Form Responses 1'!$C:$C,2024,'Form Responses 1'!$D:$D,G$2)&gt;0,TRUE)</f>
        <v>1</v>
      </c>
      <c r="H17" s="18" t="b">
        <f>IF(COUNTIFS('Form Responses 1'!$B:$B,$B17,'Form Responses 1'!$C:$C,2024,'Form Responses 1'!$D:$D,H$2)&gt;0,TRUE)</f>
        <v>1</v>
      </c>
      <c r="I17" s="18" t="b">
        <f>IF(COUNTIFS('Form Responses 1'!$B:$B,$B17,'Form Responses 1'!$C:$C,2024,'Form Responses 1'!$D:$D,I$2)&gt;0,TRUE)</f>
        <v>1</v>
      </c>
      <c r="J17" s="18" t="b">
        <f>IF(COUNTIFS('Form Responses 1'!$B:$B,$B17,'Form Responses 1'!$C:$C,2024,'Form Responses 1'!$D:$D,J$2)&gt;0,TRUE)</f>
        <v>1</v>
      </c>
      <c r="K17" s="18" t="b">
        <f>IF(COUNTIFS('Form Responses 1'!$B:$B,$B17,'Form Responses 1'!$C:$C,2024,'Form Responses 1'!$D:$D,K$2)&gt;0,TRUE)</f>
        <v>1</v>
      </c>
      <c r="L17" s="18" t="b">
        <f>IF(COUNTIFS('Form Responses 1'!$B:$B,$B17,'Form Responses 1'!$C:$C,2024,'Form Responses 1'!$D:$D,L$2)&gt;0,TRUE)</f>
        <v>1</v>
      </c>
      <c r="M17" s="18" t="b">
        <f>IF(COUNTIFS('Form Responses 1'!$B:$B,$B17,'Form Responses 1'!$C:$C,2024,'Form Responses 1'!$D:$D,M$2)&gt;0,TRUE)</f>
        <v>1</v>
      </c>
      <c r="N17" s="18" t="b">
        <f>IF(COUNTIFS('Form Responses 1'!$B:$B,$B17,'Form Responses 1'!$C:$C,2024,'Form Responses 1'!$D:$D,N$2)&gt;0,TRUE)</f>
        <v>1</v>
      </c>
      <c r="O17" s="18" t="b">
        <f>IF(COUNTIFS('Form Responses 1'!$B:$B,$B17,'Form Responses 1'!$C:$C,2024,'Form Responses 1'!$D:$D,O$2)&gt;0,TRUE)</f>
        <v>1</v>
      </c>
      <c r="P17" s="18" t="b">
        <f>IF(COUNTIFS('Form Responses 1'!$B:$B,$B17,'Form Responses 1'!$C:$C,2024,'Form Responses 1'!$D:$D,P$2)&gt;0,TRUE)</f>
        <v>1</v>
      </c>
      <c r="Q17" s="18" t="b">
        <f>IF(COUNTIFS('Form Responses 1'!$B:$B,$B17,'Form Responses 1'!$C:$C,2025,'Form Responses 1'!$D:$D,Q$2)&gt;0,TRUE)</f>
        <v>1</v>
      </c>
      <c r="R17" s="18" t="b">
        <f>IF(COUNTIFS('Form Responses 1'!$B:$B,$B17,'Form Responses 1'!$C:$C,2025,'Form Responses 1'!$D:$D,R$2)&gt;0,TRUE)</f>
        <v>1</v>
      </c>
      <c r="S17" s="19" t="b">
        <f>IF(COUNTIFS('Form Responses 1'!$B:$B,$B17,'Form Responses 1'!$C:$C,2025,'Form Responses 1'!$D:$D,S$2)&gt;0,TRUE)</f>
        <v>1</v>
      </c>
      <c r="T17" s="19" t="b">
        <f>IF(COUNTIFS('Form Responses 1'!$B:$B,$B17,'Form Responses 1'!$C:$C,2025,'Form Responses 1'!$D:$D,T$2)&gt;0,TRUE)</f>
        <v>1</v>
      </c>
      <c r="U17" s="19" t="b">
        <f>IF(COUNTIFS('Form Responses 1'!$B:$B,$B17,'Form Responses 1'!$C:$C,2025,'Form Responses 1'!$D:$D,U$2)&gt;0,TRUE)</f>
        <v>1</v>
      </c>
      <c r="V17" s="19" t="b">
        <f>IF(COUNTIFS('Form Responses 1'!$B:$B,$B17,'Form Responses 1'!$C:$C,2025,'Form Responses 1'!$D:$D,V$2)&gt;0,TRUE)</f>
        <v>1</v>
      </c>
      <c r="W17" s="19" t="b">
        <f>IF(COUNTIFS('Form Responses 1'!$B:$B,$B17,'Form Responses 1'!$C:$C,2025,'Form Responses 1'!$D:$D,W$2)&gt;0,TRUE)</f>
        <v>1</v>
      </c>
      <c r="X17" s="19" t="b">
        <f>IF(COUNTIFS('Form Responses 1'!$B:$B,$B17,'Form Responses 1'!$C:$C,2025,'Form Responses 1'!$D:$D,X$2)&gt;0,TRUE)</f>
        <v>1</v>
      </c>
      <c r="Y17" s="19" t="b">
        <f>IF(COUNTIFS('Form Responses 1'!$B:$B,$B17,'Form Responses 1'!$C:$C,2025,'Form Responses 1'!$D:$D,Y$2)&gt;0,TRUE)</f>
        <v>1</v>
      </c>
      <c r="Z17" s="19" t="b">
        <f>IF(COUNTIFS('Form Responses 1'!$B:$B,$B17,'Form Responses 1'!$C:$C,2025,'Form Responses 1'!$D:$D,Z$2)&gt;0,TRUE)</f>
        <v>1</v>
      </c>
      <c r="AA17" s="19" t="b">
        <f>IF(COUNTIFS('Form Responses 1'!$B:$B,$B17,'Form Responses 1'!$C:$C,2025,'Form Responses 1'!$D:$D,AA$2)&gt;0,TRUE)</f>
        <v>1</v>
      </c>
      <c r="AB17" s="19" t="b">
        <f>IF(COUNTIFS('Form Responses 1'!$B:$B,$B17,'Form Responses 1'!$C:$C,2025,'Form Responses 1'!$D:$D,AB$2)&gt;0,TRUE)</f>
        <v>1</v>
      </c>
      <c r="AC17" s="19" t="b">
        <f>IF(COUNTIFS('Form Responses 1'!$B:$B,$B17,'Form Responses 1'!$C:$C,2025,'Form Responses 1'!$D:$D,AC$2)&gt;0,TRUE)</f>
        <v>1</v>
      </c>
      <c r="AD17" s="19" t="b">
        <f>IF(COUNTIFS('Form Responses 1'!$B:$B,$B17,'Form Responses 1'!$C:$C,2025,'Form Responses 1'!$D:$D,AD$2)&gt;0,TRUE)</f>
        <v>1</v>
      </c>
      <c r="AE17" s="19" t="b">
        <f>IF(COUNTIFS('Form Responses 1'!$B:$B,$B17,'Form Responses 1'!$C:$C,2025,'Form Responses 1'!$D:$D,AE$2)&gt;0,TRUE)</f>
        <v>1</v>
      </c>
      <c r="AF17" s="19" t="b">
        <f>IF(COUNTIFS('Form Responses 1'!$B:$B,$B17,'Form Responses 1'!$C:$C,2025,'Form Responses 1'!$D:$D,AF$2)&gt;0,TRUE)</f>
        <v>1</v>
      </c>
      <c r="AG17" s="19" t="b">
        <f>IF(COUNTIFS('Form Responses 1'!$B:$B,$B17,'Form Responses 1'!$C:$C,2026,'Form Responses 1'!$D:$D,AG$2)&gt;0,TRUE)</f>
        <v>0</v>
      </c>
      <c r="AH17" s="19" t="b">
        <f>IF(COUNTIFS('Form Responses 1'!$B:$B,$B17,'Form Responses 1'!$C:$C,2026,'Form Responses 1'!$D:$D,AH$2)&gt;0,TRUE)</f>
        <v>0</v>
      </c>
      <c r="AI17" s="19" t="b">
        <f>IF(COUNTIFS('Form Responses 1'!$B:$B,$B17,'Form Responses 1'!$C:$C,2026,'Form Responses 1'!$D:$D,AI$2)&gt;0,TRUE)</f>
        <v>0</v>
      </c>
      <c r="AJ17" s="19" t="b">
        <f>IF(COUNTIFS('Form Responses 1'!$B:$B,$B17,'Form Responses 1'!$C:$C,2026,'Form Responses 1'!$D:$D,AJ$2)&gt;0,TRUE)</f>
        <v>0</v>
      </c>
      <c r="AK17" s="19" t="b">
        <f>IF(COUNTIFS('Form Responses 1'!$B:$B,$B17,'Form Responses 1'!$C:$C,2026,'Form Responses 1'!$D:$D,AK$2)&gt;0,TRUE)</f>
        <v>0</v>
      </c>
      <c r="AL17" s="19" t="b">
        <f>IF(COUNTIFS('Form Responses 1'!$B:$B,$B17,'Form Responses 1'!$C:$C,2026,'Form Responses 1'!$D:$D,AL$2)&gt;0,TRUE)</f>
        <v>0</v>
      </c>
      <c r="AM17" s="19" t="b">
        <f>IF(COUNTIFS('Form Responses 1'!$B:$B,$B17,'Form Responses 1'!$C:$C,2026,'Form Responses 1'!$D:$D,AM$2)&gt;0,TRUE)</f>
        <v>0</v>
      </c>
      <c r="AN17" s="19" t="b">
        <f>IF(COUNTIFS('Form Responses 1'!$B:$B,$B17,'Form Responses 1'!$C:$C,2026,'Form Responses 1'!$D:$D,AN$2)&gt;0,TRUE)</f>
        <v>0</v>
      </c>
      <c r="AO17" s="19" t="b">
        <f>IF(COUNTIFS('Form Responses 1'!$B:$B,$B17,'Form Responses 1'!$C:$C,2026,'Form Responses 1'!$D:$D,AO$2)&gt;0,TRUE)</f>
        <v>0</v>
      </c>
      <c r="AP17" s="19" t="b">
        <f>IF(COUNTIFS('Form Responses 1'!$B:$B,$B17,'Form Responses 1'!$C:$C,2026,'Form Responses 1'!$D:$D,AP$2)&gt;0,TRUE)</f>
        <v>0</v>
      </c>
      <c r="AQ17" s="19" t="b">
        <f>IF(COUNTIFS('Form Responses 1'!$B:$B,$B17,'Form Responses 1'!$C:$C,2026,'Form Responses 1'!$D:$D,AQ$2)&gt;0,TRUE)</f>
        <v>0</v>
      </c>
      <c r="AR17" s="19" t="b">
        <f>IF(COUNTIFS('Form Responses 1'!$B:$B,$B17,'Form Responses 1'!$C:$C,2026,'Form Responses 1'!$D:$D,AR$2)&gt;0,TRUE)</f>
        <v>0</v>
      </c>
      <c r="AS17" s="19" t="b">
        <f>IF(COUNTIFS('Form Responses 1'!$B:$B,$B17,'Form Responses 1'!$C:$C,2026,'Form Responses 1'!$D:$D,AS$2)&gt;0,TRUE)</f>
        <v>0</v>
      </c>
      <c r="AT17" s="19" t="b">
        <f>IF(COUNTIFS('Form Responses 1'!$B:$B,$B17,'Form Responses 1'!$C:$C,2026,'Form Responses 1'!$D:$D,AT$2)&gt;0,TRUE)</f>
        <v>0</v>
      </c>
      <c r="AU17" s="19" t="b">
        <f>IF(COUNTIFS('Form Responses 1'!$B:$B,$B17,'Form Responses 1'!$C:$C,2026,'Form Responses 1'!$D:$D,AU$2)&gt;0,TRUE)</f>
        <v>0</v>
      </c>
    </row>
    <row r="18" spans="1:47" ht="12.75" x14ac:dyDescent="0.2">
      <c r="A18" s="9">
        <v>16</v>
      </c>
      <c r="B18" s="20" t="s">
        <v>3656</v>
      </c>
      <c r="C18" s="18" t="b">
        <f>IF(COUNTIFS('Form Responses 1'!$B:$B,$B18,'Form Responses 1'!$C:$C,2024,'Form Responses 1'!$D:$D,C$2)&gt;0,TRUE)</f>
        <v>0</v>
      </c>
      <c r="D18" s="18" t="b">
        <f>IF(COUNTIFS('Form Responses 1'!$B:$B,$B18,'Form Responses 1'!$C:$C,2024,'Form Responses 1'!$D:$D,D$2)&gt;0,TRUE)</f>
        <v>0</v>
      </c>
      <c r="E18" s="18" t="b">
        <f>IF(COUNTIFS('Form Responses 1'!$B:$B,$B18,'Form Responses 1'!$C:$C,2024,'Form Responses 1'!$D:$D,E$2)&gt;0,TRUE)</f>
        <v>0</v>
      </c>
      <c r="F18" s="18" t="b">
        <f>IF(COUNTIFS('Form Responses 1'!$B:$B,$B18,'Form Responses 1'!$C:$C,2024,'Form Responses 1'!$D:$D,F$2)&gt;0,TRUE)</f>
        <v>0</v>
      </c>
      <c r="G18" s="18" t="b">
        <f>IF(COUNTIFS('Form Responses 1'!$B:$B,$B18,'Form Responses 1'!$C:$C,2024,'Form Responses 1'!$D:$D,G$2)&gt;0,TRUE)</f>
        <v>0</v>
      </c>
      <c r="H18" s="18" t="b">
        <f>IF(COUNTIFS('Form Responses 1'!$B:$B,$B18,'Form Responses 1'!$C:$C,2024,'Form Responses 1'!$D:$D,H$2)&gt;0,TRUE)</f>
        <v>0</v>
      </c>
      <c r="I18" s="18" t="b">
        <f>IF(COUNTIFS('Form Responses 1'!$B:$B,$B18,'Form Responses 1'!$C:$C,2024,'Form Responses 1'!$D:$D,I$2)&gt;0,TRUE)</f>
        <v>0</v>
      </c>
      <c r="J18" s="18" t="b">
        <f>IF(COUNTIFS('Form Responses 1'!$B:$B,$B18,'Form Responses 1'!$C:$C,2024,'Form Responses 1'!$D:$D,J$2)&gt;0,TRUE)</f>
        <v>0</v>
      </c>
      <c r="K18" s="18" t="b">
        <f>IF(COUNTIFS('Form Responses 1'!$B:$B,$B18,'Form Responses 1'!$C:$C,2024,'Form Responses 1'!$D:$D,K$2)&gt;0,TRUE)</f>
        <v>0</v>
      </c>
      <c r="L18" s="18" t="b">
        <f>IF(COUNTIFS('Form Responses 1'!$B:$B,$B18,'Form Responses 1'!$C:$C,2024,'Form Responses 1'!$D:$D,L$2)&gt;0,TRUE)</f>
        <v>0</v>
      </c>
      <c r="M18" s="18" t="b">
        <f>IF(COUNTIFS('Form Responses 1'!$B:$B,$B18,'Form Responses 1'!$C:$C,2024,'Form Responses 1'!$D:$D,M$2)&gt;0,TRUE)</f>
        <v>0</v>
      </c>
      <c r="N18" s="18" t="b">
        <f>IF(COUNTIFS('Form Responses 1'!$B:$B,$B18,'Form Responses 1'!$C:$C,2024,'Form Responses 1'!$D:$D,N$2)&gt;0,TRUE)</f>
        <v>0</v>
      </c>
      <c r="O18" s="18" t="b">
        <f>IF(COUNTIFS('Form Responses 1'!$B:$B,$B18,'Form Responses 1'!$C:$C,2024,'Form Responses 1'!$D:$D,O$2)&gt;0,TRUE)</f>
        <v>0</v>
      </c>
      <c r="P18" s="18" t="b">
        <f>IF(COUNTIFS('Form Responses 1'!$B:$B,$B18,'Form Responses 1'!$C:$C,2024,'Form Responses 1'!$D:$D,P$2)&gt;0,TRUE)</f>
        <v>0</v>
      </c>
      <c r="Q18" s="18" t="b">
        <f>IF(COUNTIFS('Form Responses 1'!$B:$B,$B18,'Form Responses 1'!$C:$C,2025,'Form Responses 1'!$D:$D,Q$2)&gt;0,TRUE)</f>
        <v>0</v>
      </c>
      <c r="R18" s="18" t="b">
        <f>IF(COUNTIFS('Form Responses 1'!$B:$B,$B18,'Form Responses 1'!$C:$C,2025,'Form Responses 1'!$D:$D,R$2)&gt;0,TRUE)</f>
        <v>1</v>
      </c>
      <c r="S18" s="19" t="b">
        <f>IF(COUNTIFS('Form Responses 1'!$B:$B,$B18,'Form Responses 1'!$C:$C,2025,'Form Responses 1'!$D:$D,S$2)&gt;0,TRUE)</f>
        <v>0</v>
      </c>
      <c r="T18" s="19" t="b">
        <f>IF(COUNTIFS('Form Responses 1'!$B:$B,$B18,'Form Responses 1'!$C:$C,2025,'Form Responses 1'!$D:$D,T$2)&gt;0,TRUE)</f>
        <v>0</v>
      </c>
      <c r="U18" s="19" t="b">
        <f>IF(COUNTIFS('Form Responses 1'!$B:$B,$B18,'Form Responses 1'!$C:$C,2025,'Form Responses 1'!$D:$D,U$2)&gt;0,TRUE)</f>
        <v>0</v>
      </c>
      <c r="V18" s="19" t="b">
        <f>IF(COUNTIFS('Form Responses 1'!$B:$B,$B18,'Form Responses 1'!$C:$C,2025,'Form Responses 1'!$D:$D,V$2)&gt;0,TRUE)</f>
        <v>0</v>
      </c>
      <c r="W18" s="19" t="b">
        <f>IF(COUNTIFS('Form Responses 1'!$B:$B,$B18,'Form Responses 1'!$C:$C,2025,'Form Responses 1'!$D:$D,W$2)&gt;0,TRUE)</f>
        <v>0</v>
      </c>
      <c r="X18" s="19" t="b">
        <f>IF(COUNTIFS('Form Responses 1'!$B:$B,$B18,'Form Responses 1'!$C:$C,2025,'Form Responses 1'!$D:$D,X$2)&gt;0,TRUE)</f>
        <v>1</v>
      </c>
      <c r="Y18" s="19" t="b">
        <f>IF(COUNTIFS('Form Responses 1'!$B:$B,$B18,'Form Responses 1'!$C:$C,2025,'Form Responses 1'!$D:$D,Y$2)&gt;0,TRUE)</f>
        <v>1</v>
      </c>
      <c r="Z18" s="19" t="b">
        <f>IF(COUNTIFS('Form Responses 1'!$B:$B,$B18,'Form Responses 1'!$C:$C,2025,'Form Responses 1'!$D:$D,Z$2)&gt;0,TRUE)</f>
        <v>1</v>
      </c>
      <c r="AA18" s="19" t="b">
        <f>IF(COUNTIFS('Form Responses 1'!$B:$B,$B18,'Form Responses 1'!$C:$C,2025,'Form Responses 1'!$D:$D,AA$2)&gt;0,TRUE)</f>
        <v>1</v>
      </c>
      <c r="AB18" s="19" t="b">
        <f>IF(COUNTIFS('Form Responses 1'!$B:$B,$B18,'Form Responses 1'!$C:$C,2025,'Form Responses 1'!$D:$D,AB$2)&gt;0,TRUE)</f>
        <v>1</v>
      </c>
      <c r="AC18" s="19" t="b">
        <f>IF(COUNTIFS('Form Responses 1'!$B:$B,$B18,'Form Responses 1'!$C:$C,2025,'Form Responses 1'!$D:$D,AC$2)&gt;0,TRUE)</f>
        <v>1</v>
      </c>
      <c r="AD18" s="19" t="b">
        <f>IF(COUNTIFS('Form Responses 1'!$B:$B,$B18,'Form Responses 1'!$C:$C,2025,'Form Responses 1'!$D:$D,AD$2)&gt;0,TRUE)</f>
        <v>1</v>
      </c>
      <c r="AE18" s="19" t="b">
        <f>IF(COUNTIFS('Form Responses 1'!$B:$B,$B18,'Form Responses 1'!$C:$C,2025,'Form Responses 1'!$D:$D,AE$2)&gt;0,TRUE)</f>
        <v>1</v>
      </c>
      <c r="AF18" s="19" t="b">
        <f>IF(COUNTIFS('Form Responses 1'!$B:$B,$B18,'Form Responses 1'!$C:$C,2025,'Form Responses 1'!$D:$D,AF$2)&gt;0,TRUE)</f>
        <v>1</v>
      </c>
      <c r="AG18" s="19" t="b">
        <f>IF(COUNTIFS('Form Responses 1'!$B:$B,$B18,'Form Responses 1'!$C:$C,2026,'Form Responses 1'!$D:$D,AG$2)&gt;0,TRUE)</f>
        <v>0</v>
      </c>
      <c r="AH18" s="19" t="b">
        <f>IF(COUNTIFS('Form Responses 1'!$B:$B,$B18,'Form Responses 1'!$C:$C,2026,'Form Responses 1'!$D:$D,AH$2)&gt;0,TRUE)</f>
        <v>0</v>
      </c>
      <c r="AI18" s="19" t="b">
        <f>IF(COUNTIFS('Form Responses 1'!$B:$B,$B18,'Form Responses 1'!$C:$C,2026,'Form Responses 1'!$D:$D,AI$2)&gt;0,TRUE)</f>
        <v>0</v>
      </c>
      <c r="AJ18" s="19" t="b">
        <f>IF(COUNTIFS('Form Responses 1'!$B:$B,$B18,'Form Responses 1'!$C:$C,2026,'Form Responses 1'!$D:$D,AJ$2)&gt;0,TRUE)</f>
        <v>0</v>
      </c>
      <c r="AK18" s="19" t="b">
        <f>IF(COUNTIFS('Form Responses 1'!$B:$B,$B18,'Form Responses 1'!$C:$C,2026,'Form Responses 1'!$D:$D,AK$2)&gt;0,TRUE)</f>
        <v>0</v>
      </c>
      <c r="AL18" s="19" t="b">
        <f>IF(COUNTIFS('Form Responses 1'!$B:$B,$B18,'Form Responses 1'!$C:$C,2026,'Form Responses 1'!$D:$D,AL$2)&gt;0,TRUE)</f>
        <v>0</v>
      </c>
      <c r="AM18" s="19" t="b">
        <f>IF(COUNTIFS('Form Responses 1'!$B:$B,$B18,'Form Responses 1'!$C:$C,2026,'Form Responses 1'!$D:$D,AM$2)&gt;0,TRUE)</f>
        <v>0</v>
      </c>
      <c r="AN18" s="19" t="b">
        <f>IF(COUNTIFS('Form Responses 1'!$B:$B,$B18,'Form Responses 1'!$C:$C,2026,'Form Responses 1'!$D:$D,AN$2)&gt;0,TRUE)</f>
        <v>0</v>
      </c>
      <c r="AO18" s="19" t="b">
        <f>IF(COUNTIFS('Form Responses 1'!$B:$B,$B18,'Form Responses 1'!$C:$C,2026,'Form Responses 1'!$D:$D,AO$2)&gt;0,TRUE)</f>
        <v>0</v>
      </c>
      <c r="AP18" s="19" t="b">
        <f>IF(COUNTIFS('Form Responses 1'!$B:$B,$B18,'Form Responses 1'!$C:$C,2026,'Form Responses 1'!$D:$D,AP$2)&gt;0,TRUE)</f>
        <v>0</v>
      </c>
      <c r="AQ18" s="19" t="b">
        <f>IF(COUNTIFS('Form Responses 1'!$B:$B,$B18,'Form Responses 1'!$C:$C,2026,'Form Responses 1'!$D:$D,AQ$2)&gt;0,TRUE)</f>
        <v>0</v>
      </c>
      <c r="AR18" s="19" t="b">
        <f>IF(COUNTIFS('Form Responses 1'!$B:$B,$B18,'Form Responses 1'!$C:$C,2026,'Form Responses 1'!$D:$D,AR$2)&gt;0,TRUE)</f>
        <v>0</v>
      </c>
      <c r="AS18" s="19" t="b">
        <f>IF(COUNTIFS('Form Responses 1'!$B:$B,$B18,'Form Responses 1'!$C:$C,2026,'Form Responses 1'!$D:$D,AS$2)&gt;0,TRUE)</f>
        <v>0</v>
      </c>
      <c r="AT18" s="19" t="b">
        <f>IF(COUNTIFS('Form Responses 1'!$B:$B,$B18,'Form Responses 1'!$C:$C,2026,'Form Responses 1'!$D:$D,AT$2)&gt;0,TRUE)</f>
        <v>0</v>
      </c>
      <c r="AU18" s="19" t="b">
        <f>IF(COUNTIFS('Form Responses 1'!$B:$B,$B18,'Form Responses 1'!$C:$C,2026,'Form Responses 1'!$D:$D,AU$2)&gt;0,TRUE)</f>
        <v>0</v>
      </c>
    </row>
    <row r="19" spans="1:47" ht="12.75" x14ac:dyDescent="0.2">
      <c r="A19" s="11">
        <v>17</v>
      </c>
      <c r="B19" s="20" t="s">
        <v>112</v>
      </c>
      <c r="C19" s="18" t="b">
        <f>IF(COUNTIFS('Form Responses 1'!$B:$B,$B19,'Form Responses 1'!$C:$C,2024,'Form Responses 1'!$D:$D,C$2)&gt;0,TRUE)</f>
        <v>1</v>
      </c>
      <c r="D19" s="18" t="b">
        <f>IF(COUNTIFS('Form Responses 1'!$B:$B,$B19,'Form Responses 1'!$C:$C,2024,'Form Responses 1'!$D:$D,D$2)&gt;0,TRUE)</f>
        <v>1</v>
      </c>
      <c r="E19" s="18" t="b">
        <f>IF(COUNTIFS('Form Responses 1'!$B:$B,$B19,'Form Responses 1'!$C:$C,2024,'Form Responses 1'!$D:$D,E$2)&gt;0,TRUE)</f>
        <v>1</v>
      </c>
      <c r="F19" s="18" t="b">
        <f>IF(COUNTIFS('Form Responses 1'!$B:$B,$B19,'Form Responses 1'!$C:$C,2024,'Form Responses 1'!$D:$D,F$2)&gt;0,TRUE)</f>
        <v>1</v>
      </c>
      <c r="G19" s="18" t="b">
        <f>IF(COUNTIFS('Form Responses 1'!$B:$B,$B19,'Form Responses 1'!$C:$C,2024,'Form Responses 1'!$D:$D,G$2)&gt;0,TRUE)</f>
        <v>1</v>
      </c>
      <c r="H19" s="18" t="b">
        <f>IF(COUNTIFS('Form Responses 1'!$B:$B,$B19,'Form Responses 1'!$C:$C,2024,'Form Responses 1'!$D:$D,H$2)&gt;0,TRUE)</f>
        <v>1</v>
      </c>
      <c r="I19" s="18" t="b">
        <f>IF(COUNTIFS('Form Responses 1'!$B:$B,$B19,'Form Responses 1'!$C:$C,2024,'Form Responses 1'!$D:$D,I$2)&gt;0,TRUE)</f>
        <v>1</v>
      </c>
      <c r="J19" s="18" t="b">
        <f>IF(COUNTIFS('Form Responses 1'!$B:$B,$B19,'Form Responses 1'!$C:$C,2024,'Form Responses 1'!$D:$D,J$2)&gt;0,TRUE)</f>
        <v>0</v>
      </c>
      <c r="K19" s="18" t="b">
        <f>IF(COUNTIFS('Form Responses 1'!$B:$B,$B19,'Form Responses 1'!$C:$C,2024,'Form Responses 1'!$D:$D,K$2)&gt;0,TRUE)</f>
        <v>0</v>
      </c>
      <c r="L19" s="18" t="b">
        <f>IF(COUNTIFS('Form Responses 1'!$B:$B,$B19,'Form Responses 1'!$C:$C,2024,'Form Responses 1'!$D:$D,L$2)&gt;0,TRUE)</f>
        <v>1</v>
      </c>
      <c r="M19" s="18" t="b">
        <f>IF(COUNTIFS('Form Responses 1'!$B:$B,$B19,'Form Responses 1'!$C:$C,2024,'Form Responses 1'!$D:$D,M$2)&gt;0,TRUE)</f>
        <v>1</v>
      </c>
      <c r="N19" s="18" t="b">
        <f>IF(COUNTIFS('Form Responses 1'!$B:$B,$B19,'Form Responses 1'!$C:$C,2024,'Form Responses 1'!$D:$D,N$2)&gt;0,TRUE)</f>
        <v>1</v>
      </c>
      <c r="O19" s="18" t="b">
        <f>IF(COUNTIFS('Form Responses 1'!$B:$B,$B19,'Form Responses 1'!$C:$C,2024,'Form Responses 1'!$D:$D,O$2)&gt;0,TRUE)</f>
        <v>1</v>
      </c>
      <c r="P19" s="18" t="b">
        <f>IF(COUNTIFS('Form Responses 1'!$B:$B,$B19,'Form Responses 1'!$C:$C,2024,'Form Responses 1'!$D:$D,P$2)&gt;0,TRUE)</f>
        <v>1</v>
      </c>
      <c r="Q19" s="18" t="b">
        <f>IF(COUNTIFS('Form Responses 1'!$B:$B,$B19,'Form Responses 1'!$C:$C,2025,'Form Responses 1'!$D:$D,Q$2)&gt;0,TRUE)</f>
        <v>1</v>
      </c>
      <c r="R19" s="18" t="b">
        <f>IF(COUNTIFS('Form Responses 1'!$B:$B,$B19,'Form Responses 1'!$C:$C,2025,'Form Responses 1'!$D:$D,R$2)&gt;0,TRUE)</f>
        <v>1</v>
      </c>
      <c r="S19" s="19" t="b">
        <f>IF(COUNTIFS('Form Responses 1'!$B:$B,$B19,'Form Responses 1'!$C:$C,2025,'Form Responses 1'!$D:$D,S$2)&gt;0,TRUE)</f>
        <v>1</v>
      </c>
      <c r="T19" s="19" t="b">
        <f>IF(COUNTIFS('Form Responses 1'!$B:$B,$B19,'Form Responses 1'!$C:$C,2025,'Form Responses 1'!$D:$D,T$2)&gt;0,TRUE)</f>
        <v>1</v>
      </c>
      <c r="U19" s="19" t="b">
        <f>IF(COUNTIFS('Form Responses 1'!$B:$B,$B19,'Form Responses 1'!$C:$C,2025,'Form Responses 1'!$D:$D,U$2)&gt;0,TRUE)</f>
        <v>1</v>
      </c>
      <c r="V19" s="19" t="b">
        <f>IF(COUNTIFS('Form Responses 1'!$B:$B,$B19,'Form Responses 1'!$C:$C,2025,'Form Responses 1'!$D:$D,V$2)&gt;0,TRUE)</f>
        <v>1</v>
      </c>
      <c r="W19" s="19" t="b">
        <f>IF(COUNTIFS('Form Responses 1'!$B:$B,$B19,'Form Responses 1'!$C:$C,2025,'Form Responses 1'!$D:$D,W$2)&gt;0,TRUE)</f>
        <v>1</v>
      </c>
      <c r="X19" s="19" t="b">
        <f>IF(COUNTIFS('Form Responses 1'!$B:$B,$B19,'Form Responses 1'!$C:$C,2025,'Form Responses 1'!$D:$D,X$2)&gt;0,TRUE)</f>
        <v>1</v>
      </c>
      <c r="Y19" s="19" t="b">
        <f>IF(COUNTIFS('Form Responses 1'!$B:$B,$B19,'Form Responses 1'!$C:$C,2025,'Form Responses 1'!$D:$D,Y$2)&gt;0,TRUE)</f>
        <v>1</v>
      </c>
      <c r="Z19" s="19" t="b">
        <f>IF(COUNTIFS('Form Responses 1'!$B:$B,$B19,'Form Responses 1'!$C:$C,2025,'Form Responses 1'!$D:$D,Z$2)&gt;0,TRUE)</f>
        <v>1</v>
      </c>
      <c r="AA19" s="19" t="b">
        <f>IF(COUNTIFS('Form Responses 1'!$B:$B,$B19,'Form Responses 1'!$C:$C,2025,'Form Responses 1'!$D:$D,AA$2)&gt;0,TRUE)</f>
        <v>1</v>
      </c>
      <c r="AB19" s="19" t="b">
        <f>IF(COUNTIFS('Form Responses 1'!$B:$B,$B19,'Form Responses 1'!$C:$C,2025,'Form Responses 1'!$D:$D,AB$2)&gt;0,TRUE)</f>
        <v>1</v>
      </c>
      <c r="AC19" s="19" t="b">
        <f>IF(COUNTIFS('Form Responses 1'!$B:$B,$B19,'Form Responses 1'!$C:$C,2025,'Form Responses 1'!$D:$D,AC$2)&gt;0,TRUE)</f>
        <v>1</v>
      </c>
      <c r="AD19" s="19" t="b">
        <f>IF(COUNTIFS('Form Responses 1'!$B:$B,$B19,'Form Responses 1'!$C:$C,2025,'Form Responses 1'!$D:$D,AD$2)&gt;0,TRUE)</f>
        <v>1</v>
      </c>
      <c r="AE19" s="19" t="b">
        <f>IF(COUNTIFS('Form Responses 1'!$B:$B,$B19,'Form Responses 1'!$C:$C,2025,'Form Responses 1'!$D:$D,AE$2)&gt;0,TRUE)</f>
        <v>1</v>
      </c>
      <c r="AF19" s="19" t="b">
        <f>IF(COUNTIFS('Form Responses 1'!$B:$B,$B19,'Form Responses 1'!$C:$C,2025,'Form Responses 1'!$D:$D,AF$2)&gt;0,TRUE)</f>
        <v>1</v>
      </c>
      <c r="AG19" s="19" t="b">
        <f>IF(COUNTIFS('Form Responses 1'!$B:$B,$B19,'Form Responses 1'!$C:$C,2026,'Form Responses 1'!$D:$D,AG$2)&gt;0,TRUE)</f>
        <v>0</v>
      </c>
      <c r="AH19" s="19" t="b">
        <f>IF(COUNTIFS('Form Responses 1'!$B:$B,$B19,'Form Responses 1'!$C:$C,2026,'Form Responses 1'!$D:$D,AH$2)&gt;0,TRUE)</f>
        <v>0</v>
      </c>
      <c r="AI19" s="19" t="b">
        <f>IF(COUNTIFS('Form Responses 1'!$B:$B,$B19,'Form Responses 1'!$C:$C,2026,'Form Responses 1'!$D:$D,AI$2)&gt;0,TRUE)</f>
        <v>0</v>
      </c>
      <c r="AJ19" s="19" t="b">
        <f>IF(COUNTIFS('Form Responses 1'!$B:$B,$B19,'Form Responses 1'!$C:$C,2026,'Form Responses 1'!$D:$D,AJ$2)&gt;0,TRUE)</f>
        <v>0</v>
      </c>
      <c r="AK19" s="19" t="b">
        <f>IF(COUNTIFS('Form Responses 1'!$B:$B,$B19,'Form Responses 1'!$C:$C,2026,'Form Responses 1'!$D:$D,AK$2)&gt;0,TRUE)</f>
        <v>0</v>
      </c>
      <c r="AL19" s="19" t="b">
        <f>IF(COUNTIFS('Form Responses 1'!$B:$B,$B19,'Form Responses 1'!$C:$C,2026,'Form Responses 1'!$D:$D,AL$2)&gt;0,TRUE)</f>
        <v>0</v>
      </c>
      <c r="AM19" s="19" t="b">
        <f>IF(COUNTIFS('Form Responses 1'!$B:$B,$B19,'Form Responses 1'!$C:$C,2026,'Form Responses 1'!$D:$D,AM$2)&gt;0,TRUE)</f>
        <v>0</v>
      </c>
      <c r="AN19" s="19" t="b">
        <f>IF(COUNTIFS('Form Responses 1'!$B:$B,$B19,'Form Responses 1'!$C:$C,2026,'Form Responses 1'!$D:$D,AN$2)&gt;0,TRUE)</f>
        <v>0</v>
      </c>
      <c r="AO19" s="19" t="b">
        <f>IF(COUNTIFS('Form Responses 1'!$B:$B,$B19,'Form Responses 1'!$C:$C,2026,'Form Responses 1'!$D:$D,AO$2)&gt;0,TRUE)</f>
        <v>0</v>
      </c>
      <c r="AP19" s="19" t="b">
        <f>IF(COUNTIFS('Form Responses 1'!$B:$B,$B19,'Form Responses 1'!$C:$C,2026,'Form Responses 1'!$D:$D,AP$2)&gt;0,TRUE)</f>
        <v>0</v>
      </c>
      <c r="AQ19" s="19" t="b">
        <f>IF(COUNTIFS('Form Responses 1'!$B:$B,$B19,'Form Responses 1'!$C:$C,2026,'Form Responses 1'!$D:$D,AQ$2)&gt;0,TRUE)</f>
        <v>0</v>
      </c>
      <c r="AR19" s="19" t="b">
        <f>IF(COUNTIFS('Form Responses 1'!$B:$B,$B19,'Form Responses 1'!$C:$C,2026,'Form Responses 1'!$D:$D,AR$2)&gt;0,TRUE)</f>
        <v>0</v>
      </c>
      <c r="AS19" s="19" t="b">
        <f>IF(COUNTIFS('Form Responses 1'!$B:$B,$B19,'Form Responses 1'!$C:$C,2026,'Form Responses 1'!$D:$D,AS$2)&gt;0,TRUE)</f>
        <v>0</v>
      </c>
      <c r="AT19" s="19" t="b">
        <f>IF(COUNTIFS('Form Responses 1'!$B:$B,$B19,'Form Responses 1'!$C:$C,2026,'Form Responses 1'!$D:$D,AT$2)&gt;0,TRUE)</f>
        <v>0</v>
      </c>
      <c r="AU19" s="19" t="b">
        <f>IF(COUNTIFS('Form Responses 1'!$B:$B,$B19,'Form Responses 1'!$C:$C,2026,'Form Responses 1'!$D:$D,AU$2)&gt;0,TRUE)</f>
        <v>0</v>
      </c>
    </row>
    <row r="20" spans="1:47" ht="12.75" x14ac:dyDescent="0.2">
      <c r="A20" s="9">
        <v>18</v>
      </c>
      <c r="B20" s="20" t="s">
        <v>24</v>
      </c>
      <c r="C20" s="18" t="b">
        <f>IF(COUNTIFS('Form Responses 1'!$B:$B,$B20,'Form Responses 1'!$C:$C,2024,'Form Responses 1'!$D:$D,C$2)&gt;0,TRUE)</f>
        <v>0</v>
      </c>
      <c r="D20" s="18" t="b">
        <f>IF(COUNTIFS('Form Responses 1'!$B:$B,$B20,'Form Responses 1'!$C:$C,2024,'Form Responses 1'!$D:$D,D$2)&gt;0,TRUE)</f>
        <v>1</v>
      </c>
      <c r="E20" s="18" t="b">
        <f>IF(COUNTIFS('Form Responses 1'!$B:$B,$B20,'Form Responses 1'!$C:$C,2024,'Form Responses 1'!$D:$D,E$2)&gt;0,TRUE)</f>
        <v>1</v>
      </c>
      <c r="F20" s="18" t="b">
        <f>IF(COUNTIFS('Form Responses 1'!$B:$B,$B20,'Form Responses 1'!$C:$C,2024,'Form Responses 1'!$D:$D,F$2)&gt;0,TRUE)</f>
        <v>1</v>
      </c>
      <c r="G20" s="18" t="b">
        <f>IF(COUNTIFS('Form Responses 1'!$B:$B,$B20,'Form Responses 1'!$C:$C,2024,'Form Responses 1'!$D:$D,G$2)&gt;0,TRUE)</f>
        <v>1</v>
      </c>
      <c r="H20" s="18" t="b">
        <f>IF(COUNTIFS('Form Responses 1'!$B:$B,$B20,'Form Responses 1'!$C:$C,2024,'Form Responses 1'!$D:$D,H$2)&gt;0,TRUE)</f>
        <v>1</v>
      </c>
      <c r="I20" s="18" t="b">
        <f>IF(COUNTIFS('Form Responses 1'!$B:$B,$B20,'Form Responses 1'!$C:$C,2024,'Form Responses 1'!$D:$D,I$2)&gt;0,TRUE)</f>
        <v>1</v>
      </c>
      <c r="J20" s="18" t="b">
        <f>IF(COUNTIFS('Form Responses 1'!$B:$B,$B20,'Form Responses 1'!$C:$C,2024,'Form Responses 1'!$D:$D,J$2)&gt;0,TRUE)</f>
        <v>1</v>
      </c>
      <c r="K20" s="18" t="b">
        <f>IF(COUNTIFS('Form Responses 1'!$B:$B,$B20,'Form Responses 1'!$C:$C,2024,'Form Responses 1'!$D:$D,K$2)&gt;0,TRUE)</f>
        <v>1</v>
      </c>
      <c r="L20" s="18" t="b">
        <f>IF(COUNTIFS('Form Responses 1'!$B:$B,$B20,'Form Responses 1'!$C:$C,2024,'Form Responses 1'!$D:$D,L$2)&gt;0,TRUE)</f>
        <v>1</v>
      </c>
      <c r="M20" s="18" t="b">
        <f>IF(COUNTIFS('Form Responses 1'!$B:$B,$B20,'Form Responses 1'!$C:$C,2024,'Form Responses 1'!$D:$D,M$2)&gt;0,TRUE)</f>
        <v>1</v>
      </c>
      <c r="N20" s="18" t="b">
        <f>IF(COUNTIFS('Form Responses 1'!$B:$B,$B20,'Form Responses 1'!$C:$C,2024,'Form Responses 1'!$D:$D,N$2)&gt;0,TRUE)</f>
        <v>1</v>
      </c>
      <c r="O20" s="18" t="b">
        <f>IF(COUNTIFS('Form Responses 1'!$B:$B,$B20,'Form Responses 1'!$C:$C,2024,'Form Responses 1'!$D:$D,O$2)&gt;0,TRUE)</f>
        <v>1</v>
      </c>
      <c r="P20" s="18" t="b">
        <f>IF(COUNTIFS('Form Responses 1'!$B:$B,$B20,'Form Responses 1'!$C:$C,2024,'Form Responses 1'!$D:$D,P$2)&gt;0,TRUE)</f>
        <v>1</v>
      </c>
      <c r="Q20" s="18" t="b">
        <f>IF(COUNTIFS('Form Responses 1'!$B:$B,$B20,'Form Responses 1'!$C:$C,2025,'Form Responses 1'!$D:$D,Q$2)&gt;0,TRUE)</f>
        <v>1</v>
      </c>
      <c r="R20" s="18" t="b">
        <f>IF(COUNTIFS('Form Responses 1'!$B:$B,$B20,'Form Responses 1'!$C:$C,2025,'Form Responses 1'!$D:$D,R$2)&gt;0,TRUE)</f>
        <v>1</v>
      </c>
      <c r="S20" s="19" t="b">
        <f>IF(COUNTIFS('Form Responses 1'!$B:$B,$B20,'Form Responses 1'!$C:$C,2025,'Form Responses 1'!$D:$D,S$2)&gt;0,TRUE)</f>
        <v>1</v>
      </c>
      <c r="T20" s="19" t="b">
        <f>IF(COUNTIFS('Form Responses 1'!$B:$B,$B20,'Form Responses 1'!$C:$C,2025,'Form Responses 1'!$D:$D,T$2)&gt;0,TRUE)</f>
        <v>1</v>
      </c>
      <c r="U20" s="19" t="b">
        <f>IF(COUNTIFS('Form Responses 1'!$B:$B,$B20,'Form Responses 1'!$C:$C,2025,'Form Responses 1'!$D:$D,U$2)&gt;0,TRUE)</f>
        <v>1</v>
      </c>
      <c r="V20" s="19" t="b">
        <f>IF(COUNTIFS('Form Responses 1'!$B:$B,$B20,'Form Responses 1'!$C:$C,2025,'Form Responses 1'!$D:$D,V$2)&gt;0,TRUE)</f>
        <v>1</v>
      </c>
      <c r="W20" s="19" t="b">
        <f>IF(COUNTIFS('Form Responses 1'!$B:$B,$B20,'Form Responses 1'!$C:$C,2025,'Form Responses 1'!$D:$D,W$2)&gt;0,TRUE)</f>
        <v>1</v>
      </c>
      <c r="X20" s="19" t="b">
        <f>IF(COUNTIFS('Form Responses 1'!$B:$B,$B20,'Form Responses 1'!$C:$C,2025,'Form Responses 1'!$D:$D,X$2)&gt;0,TRUE)</f>
        <v>1</v>
      </c>
      <c r="Y20" s="19" t="b">
        <f>IF(COUNTIFS('Form Responses 1'!$B:$B,$B20,'Form Responses 1'!$C:$C,2025,'Form Responses 1'!$D:$D,Y$2)&gt;0,TRUE)</f>
        <v>1</v>
      </c>
      <c r="Z20" s="19" t="b">
        <f>IF(COUNTIFS('Form Responses 1'!$B:$B,$B20,'Form Responses 1'!$C:$C,2025,'Form Responses 1'!$D:$D,Z$2)&gt;0,TRUE)</f>
        <v>1</v>
      </c>
      <c r="AA20" s="19" t="b">
        <f>IF(COUNTIFS('Form Responses 1'!$B:$B,$B20,'Form Responses 1'!$C:$C,2025,'Form Responses 1'!$D:$D,AA$2)&gt;0,TRUE)</f>
        <v>1</v>
      </c>
      <c r="AB20" s="19" t="b">
        <f>IF(COUNTIFS('Form Responses 1'!$B:$B,$B20,'Form Responses 1'!$C:$C,2025,'Form Responses 1'!$D:$D,AB$2)&gt;0,TRUE)</f>
        <v>1</v>
      </c>
      <c r="AC20" s="19" t="b">
        <f>IF(COUNTIFS('Form Responses 1'!$B:$B,$B20,'Form Responses 1'!$C:$C,2025,'Form Responses 1'!$D:$D,AC$2)&gt;0,TRUE)</f>
        <v>1</v>
      </c>
      <c r="AD20" s="19" t="b">
        <f>IF(COUNTIFS('Form Responses 1'!$B:$B,$B20,'Form Responses 1'!$C:$C,2025,'Form Responses 1'!$D:$D,AD$2)&gt;0,TRUE)</f>
        <v>1</v>
      </c>
      <c r="AE20" s="19" t="b">
        <f>IF(COUNTIFS('Form Responses 1'!$B:$B,$B20,'Form Responses 1'!$C:$C,2025,'Form Responses 1'!$D:$D,AE$2)&gt;0,TRUE)</f>
        <v>1</v>
      </c>
      <c r="AF20" s="19" t="b">
        <f>IF(COUNTIFS('Form Responses 1'!$B:$B,$B20,'Form Responses 1'!$C:$C,2025,'Form Responses 1'!$D:$D,AF$2)&gt;0,TRUE)</f>
        <v>1</v>
      </c>
      <c r="AG20" s="19" t="b">
        <f>IF(COUNTIFS('Form Responses 1'!$B:$B,$B20,'Form Responses 1'!$C:$C,2026,'Form Responses 1'!$D:$D,AG$2)&gt;0,TRUE)</f>
        <v>0</v>
      </c>
      <c r="AH20" s="19" t="b">
        <f>IF(COUNTIFS('Form Responses 1'!$B:$B,$B20,'Form Responses 1'!$C:$C,2026,'Form Responses 1'!$D:$D,AH$2)&gt;0,TRUE)</f>
        <v>0</v>
      </c>
      <c r="AI20" s="19" t="b">
        <f>IF(COUNTIFS('Form Responses 1'!$B:$B,$B20,'Form Responses 1'!$C:$C,2026,'Form Responses 1'!$D:$D,AI$2)&gt;0,TRUE)</f>
        <v>0</v>
      </c>
      <c r="AJ20" s="19" t="b">
        <f>IF(COUNTIFS('Form Responses 1'!$B:$B,$B20,'Form Responses 1'!$C:$C,2026,'Form Responses 1'!$D:$D,AJ$2)&gt;0,TRUE)</f>
        <v>0</v>
      </c>
      <c r="AK20" s="19" t="b">
        <f>IF(COUNTIFS('Form Responses 1'!$B:$B,$B20,'Form Responses 1'!$C:$C,2026,'Form Responses 1'!$D:$D,AK$2)&gt;0,TRUE)</f>
        <v>0</v>
      </c>
      <c r="AL20" s="19" t="b">
        <f>IF(COUNTIFS('Form Responses 1'!$B:$B,$B20,'Form Responses 1'!$C:$C,2026,'Form Responses 1'!$D:$D,AL$2)&gt;0,TRUE)</f>
        <v>0</v>
      </c>
      <c r="AM20" s="19" t="b">
        <f>IF(COUNTIFS('Form Responses 1'!$B:$B,$B20,'Form Responses 1'!$C:$C,2026,'Form Responses 1'!$D:$D,AM$2)&gt;0,TRUE)</f>
        <v>0</v>
      </c>
      <c r="AN20" s="19" t="b">
        <f>IF(COUNTIFS('Form Responses 1'!$B:$B,$B20,'Form Responses 1'!$C:$C,2026,'Form Responses 1'!$D:$D,AN$2)&gt;0,TRUE)</f>
        <v>0</v>
      </c>
      <c r="AO20" s="19" t="b">
        <f>IF(COUNTIFS('Form Responses 1'!$B:$B,$B20,'Form Responses 1'!$C:$C,2026,'Form Responses 1'!$D:$D,AO$2)&gt;0,TRUE)</f>
        <v>0</v>
      </c>
      <c r="AP20" s="19" t="b">
        <f>IF(COUNTIFS('Form Responses 1'!$B:$B,$B20,'Form Responses 1'!$C:$C,2026,'Form Responses 1'!$D:$D,AP$2)&gt;0,TRUE)</f>
        <v>0</v>
      </c>
      <c r="AQ20" s="19" t="b">
        <f>IF(COUNTIFS('Form Responses 1'!$B:$B,$B20,'Form Responses 1'!$C:$C,2026,'Form Responses 1'!$D:$D,AQ$2)&gt;0,TRUE)</f>
        <v>0</v>
      </c>
      <c r="AR20" s="19" t="b">
        <f>IF(COUNTIFS('Form Responses 1'!$B:$B,$B20,'Form Responses 1'!$C:$C,2026,'Form Responses 1'!$D:$D,AR$2)&gt;0,TRUE)</f>
        <v>0</v>
      </c>
      <c r="AS20" s="19" t="b">
        <f>IF(COUNTIFS('Form Responses 1'!$B:$B,$B20,'Form Responses 1'!$C:$C,2026,'Form Responses 1'!$D:$D,AS$2)&gt;0,TRUE)</f>
        <v>0</v>
      </c>
      <c r="AT20" s="19" t="b">
        <f>IF(COUNTIFS('Form Responses 1'!$B:$B,$B20,'Form Responses 1'!$C:$C,2026,'Form Responses 1'!$D:$D,AT$2)&gt;0,TRUE)</f>
        <v>0</v>
      </c>
      <c r="AU20" s="19" t="b">
        <f>IF(COUNTIFS('Form Responses 1'!$B:$B,$B20,'Form Responses 1'!$C:$C,2026,'Form Responses 1'!$D:$D,AU$2)&gt;0,TRUE)</f>
        <v>0</v>
      </c>
    </row>
    <row r="21" spans="1:47" ht="12.75" x14ac:dyDescent="0.2">
      <c r="A21" s="9">
        <v>19</v>
      </c>
      <c r="B21" s="20" t="s">
        <v>62</v>
      </c>
      <c r="C21" s="18" t="b">
        <f>IF(COUNTIFS('Form Responses 1'!$B:$B,$B21,'Form Responses 1'!$C:$C,2024,'Form Responses 1'!$D:$D,C$2)&gt;0,TRUE)</f>
        <v>1</v>
      </c>
      <c r="D21" s="18" t="b">
        <f>IF(COUNTIFS('Form Responses 1'!$B:$B,$B21,'Form Responses 1'!$C:$C,2024,'Form Responses 1'!$D:$D,D$2)&gt;0,TRUE)</f>
        <v>1</v>
      </c>
      <c r="E21" s="18" t="b">
        <f>IF(COUNTIFS('Form Responses 1'!$B:$B,$B21,'Form Responses 1'!$C:$C,2024,'Form Responses 1'!$D:$D,E$2)&gt;0,TRUE)</f>
        <v>1</v>
      </c>
      <c r="F21" s="18" t="b">
        <f>IF(COUNTIFS('Form Responses 1'!$B:$B,$B21,'Form Responses 1'!$C:$C,2024,'Form Responses 1'!$D:$D,F$2)&gt;0,TRUE)</f>
        <v>1</v>
      </c>
      <c r="G21" s="18" t="b">
        <f>IF(COUNTIFS('Form Responses 1'!$B:$B,$B21,'Form Responses 1'!$C:$C,2024,'Form Responses 1'!$D:$D,G$2)&gt;0,TRUE)</f>
        <v>1</v>
      </c>
      <c r="H21" s="18" t="b">
        <f>IF(COUNTIFS('Form Responses 1'!$B:$B,$B21,'Form Responses 1'!$C:$C,2024,'Form Responses 1'!$D:$D,H$2)&gt;0,TRUE)</f>
        <v>1</v>
      </c>
      <c r="I21" s="18" t="b">
        <f>IF(COUNTIFS('Form Responses 1'!$B:$B,$B21,'Form Responses 1'!$C:$C,2024,'Form Responses 1'!$D:$D,I$2)&gt;0,TRUE)</f>
        <v>1</v>
      </c>
      <c r="J21" s="18" t="b">
        <f>IF(COUNTIFS('Form Responses 1'!$B:$B,$B21,'Form Responses 1'!$C:$C,2024,'Form Responses 1'!$D:$D,J$2)&gt;0,TRUE)</f>
        <v>1</v>
      </c>
      <c r="K21" s="18" t="b">
        <f>IF(COUNTIFS('Form Responses 1'!$B:$B,$B21,'Form Responses 1'!$C:$C,2024,'Form Responses 1'!$D:$D,K$2)&gt;0,TRUE)</f>
        <v>1</v>
      </c>
      <c r="L21" s="18" t="b">
        <f>IF(COUNTIFS('Form Responses 1'!$B:$B,$B21,'Form Responses 1'!$C:$C,2024,'Form Responses 1'!$D:$D,L$2)&gt;0,TRUE)</f>
        <v>1</v>
      </c>
      <c r="M21" s="18" t="b">
        <f>IF(COUNTIFS('Form Responses 1'!$B:$B,$B21,'Form Responses 1'!$C:$C,2024,'Form Responses 1'!$D:$D,M$2)&gt;0,TRUE)</f>
        <v>1</v>
      </c>
      <c r="N21" s="18" t="b">
        <f>IF(COUNTIFS('Form Responses 1'!$B:$B,$B21,'Form Responses 1'!$C:$C,2024,'Form Responses 1'!$D:$D,N$2)&gt;0,TRUE)</f>
        <v>1</v>
      </c>
      <c r="O21" s="18" t="b">
        <f>IF(COUNTIFS('Form Responses 1'!$B:$B,$B21,'Form Responses 1'!$C:$C,2024,'Form Responses 1'!$D:$D,O$2)&gt;0,TRUE)</f>
        <v>1</v>
      </c>
      <c r="P21" s="18" t="b">
        <f>IF(COUNTIFS('Form Responses 1'!$B:$B,$B21,'Form Responses 1'!$C:$C,2024,'Form Responses 1'!$D:$D,P$2)&gt;0,TRUE)</f>
        <v>0</v>
      </c>
      <c r="Q21" s="18" t="b">
        <f>IF(COUNTIFS('Form Responses 1'!$B:$B,$B21,'Form Responses 1'!$C:$C,2025,'Form Responses 1'!$D:$D,Q$2)&gt;0,TRUE)</f>
        <v>1</v>
      </c>
      <c r="R21" s="18" t="b">
        <f>IF(COUNTIFS('Form Responses 1'!$B:$B,$B21,'Form Responses 1'!$C:$C,2025,'Form Responses 1'!$D:$D,R$2)&gt;0,TRUE)</f>
        <v>1</v>
      </c>
      <c r="S21" s="19" t="b">
        <f>IF(COUNTIFS('Form Responses 1'!$B:$B,$B21,'Form Responses 1'!$C:$C,2025,'Form Responses 1'!$D:$D,S$2)&gt;0,TRUE)</f>
        <v>1</v>
      </c>
      <c r="T21" s="19" t="b">
        <f>IF(COUNTIFS('Form Responses 1'!$B:$B,$B21,'Form Responses 1'!$C:$C,2025,'Form Responses 1'!$D:$D,T$2)&gt;0,TRUE)</f>
        <v>1</v>
      </c>
      <c r="U21" s="19" t="b">
        <f>IF(COUNTIFS('Form Responses 1'!$B:$B,$B21,'Form Responses 1'!$C:$C,2025,'Form Responses 1'!$D:$D,U$2)&gt;0,TRUE)</f>
        <v>1</v>
      </c>
      <c r="V21" s="19" t="b">
        <f>IF(COUNTIFS('Form Responses 1'!$B:$B,$B21,'Form Responses 1'!$C:$C,2025,'Form Responses 1'!$D:$D,V$2)&gt;0,TRUE)</f>
        <v>1</v>
      </c>
      <c r="W21" s="19" t="b">
        <f>IF(COUNTIFS('Form Responses 1'!$B:$B,$B21,'Form Responses 1'!$C:$C,2025,'Form Responses 1'!$D:$D,W$2)&gt;0,TRUE)</f>
        <v>1</v>
      </c>
      <c r="X21" s="19" t="b">
        <f>IF(COUNTIFS('Form Responses 1'!$B:$B,$B21,'Form Responses 1'!$C:$C,2025,'Form Responses 1'!$D:$D,X$2)&gt;0,TRUE)</f>
        <v>1</v>
      </c>
      <c r="Y21" s="19" t="b">
        <f>IF(COUNTIFS('Form Responses 1'!$B:$B,$B21,'Form Responses 1'!$C:$C,2025,'Form Responses 1'!$D:$D,Y$2)&gt;0,TRUE)</f>
        <v>1</v>
      </c>
      <c r="Z21" s="19" t="b">
        <f>IF(COUNTIFS('Form Responses 1'!$B:$B,$B21,'Form Responses 1'!$C:$C,2025,'Form Responses 1'!$D:$D,Z$2)&gt;0,TRUE)</f>
        <v>1</v>
      </c>
      <c r="AA21" s="19" t="b">
        <f>IF(COUNTIFS('Form Responses 1'!$B:$B,$B21,'Form Responses 1'!$C:$C,2025,'Form Responses 1'!$D:$D,AA$2)&gt;0,TRUE)</f>
        <v>1</v>
      </c>
      <c r="AB21" s="19" t="b">
        <f>IF(COUNTIFS('Form Responses 1'!$B:$B,$B21,'Form Responses 1'!$C:$C,2025,'Form Responses 1'!$D:$D,AB$2)&gt;0,TRUE)</f>
        <v>1</v>
      </c>
      <c r="AC21" s="19" t="b">
        <f>IF(COUNTIFS('Form Responses 1'!$B:$B,$B21,'Form Responses 1'!$C:$C,2025,'Form Responses 1'!$D:$D,AC$2)&gt;0,TRUE)</f>
        <v>1</v>
      </c>
      <c r="AD21" s="19" t="b">
        <f>IF(COUNTIFS('Form Responses 1'!$B:$B,$B21,'Form Responses 1'!$C:$C,2025,'Form Responses 1'!$D:$D,AD$2)&gt;0,TRUE)</f>
        <v>1</v>
      </c>
      <c r="AE21" s="19" t="b">
        <f>IF(COUNTIFS('Form Responses 1'!$B:$B,$B21,'Form Responses 1'!$C:$C,2025,'Form Responses 1'!$D:$D,AE$2)&gt;0,TRUE)</f>
        <v>1</v>
      </c>
      <c r="AF21" s="19" t="b">
        <f>IF(COUNTIFS('Form Responses 1'!$B:$B,$B21,'Form Responses 1'!$C:$C,2025,'Form Responses 1'!$D:$D,AF$2)&gt;0,TRUE)</f>
        <v>1</v>
      </c>
      <c r="AG21" s="19" t="b">
        <f>IF(COUNTIFS('Form Responses 1'!$B:$B,$B21,'Form Responses 1'!$C:$C,2026,'Form Responses 1'!$D:$D,AG$2)&gt;0,TRUE)</f>
        <v>0</v>
      </c>
      <c r="AH21" s="19" t="b">
        <f>IF(COUNTIFS('Form Responses 1'!$B:$B,$B21,'Form Responses 1'!$C:$C,2026,'Form Responses 1'!$D:$D,AH$2)&gt;0,TRUE)</f>
        <v>0</v>
      </c>
      <c r="AI21" s="19" t="b">
        <f>IF(COUNTIFS('Form Responses 1'!$B:$B,$B21,'Form Responses 1'!$C:$C,2026,'Form Responses 1'!$D:$D,AI$2)&gt;0,TRUE)</f>
        <v>0</v>
      </c>
      <c r="AJ21" s="19" t="b">
        <f>IF(COUNTIFS('Form Responses 1'!$B:$B,$B21,'Form Responses 1'!$C:$C,2026,'Form Responses 1'!$D:$D,AJ$2)&gt;0,TRUE)</f>
        <v>0</v>
      </c>
      <c r="AK21" s="19" t="b">
        <f>IF(COUNTIFS('Form Responses 1'!$B:$B,$B21,'Form Responses 1'!$C:$C,2026,'Form Responses 1'!$D:$D,AK$2)&gt;0,TRUE)</f>
        <v>0</v>
      </c>
      <c r="AL21" s="19" t="b">
        <f>IF(COUNTIFS('Form Responses 1'!$B:$B,$B21,'Form Responses 1'!$C:$C,2026,'Form Responses 1'!$D:$D,AL$2)&gt;0,TRUE)</f>
        <v>0</v>
      </c>
      <c r="AM21" s="19" t="b">
        <f>IF(COUNTIFS('Form Responses 1'!$B:$B,$B21,'Form Responses 1'!$C:$C,2026,'Form Responses 1'!$D:$D,AM$2)&gt;0,TRUE)</f>
        <v>0</v>
      </c>
      <c r="AN21" s="19" t="b">
        <f>IF(COUNTIFS('Form Responses 1'!$B:$B,$B21,'Form Responses 1'!$C:$C,2026,'Form Responses 1'!$D:$D,AN$2)&gt;0,TRUE)</f>
        <v>0</v>
      </c>
      <c r="AO21" s="19" t="b">
        <f>IF(COUNTIFS('Form Responses 1'!$B:$B,$B21,'Form Responses 1'!$C:$C,2026,'Form Responses 1'!$D:$D,AO$2)&gt;0,TRUE)</f>
        <v>0</v>
      </c>
      <c r="AP21" s="19" t="b">
        <f>IF(COUNTIFS('Form Responses 1'!$B:$B,$B21,'Form Responses 1'!$C:$C,2026,'Form Responses 1'!$D:$D,AP$2)&gt;0,TRUE)</f>
        <v>0</v>
      </c>
      <c r="AQ21" s="19" t="b">
        <f>IF(COUNTIFS('Form Responses 1'!$B:$B,$B21,'Form Responses 1'!$C:$C,2026,'Form Responses 1'!$D:$D,AQ$2)&gt;0,TRUE)</f>
        <v>0</v>
      </c>
      <c r="AR21" s="19" t="b">
        <f>IF(COUNTIFS('Form Responses 1'!$B:$B,$B21,'Form Responses 1'!$C:$C,2026,'Form Responses 1'!$D:$D,AR$2)&gt;0,TRUE)</f>
        <v>0</v>
      </c>
      <c r="AS21" s="19" t="b">
        <f>IF(COUNTIFS('Form Responses 1'!$B:$B,$B21,'Form Responses 1'!$C:$C,2026,'Form Responses 1'!$D:$D,AS$2)&gt;0,TRUE)</f>
        <v>0</v>
      </c>
      <c r="AT21" s="19" t="b">
        <f>IF(COUNTIFS('Form Responses 1'!$B:$B,$B21,'Form Responses 1'!$C:$C,2026,'Form Responses 1'!$D:$D,AT$2)&gt;0,TRUE)</f>
        <v>0</v>
      </c>
      <c r="AU21" s="19" t="b">
        <f>IF(COUNTIFS('Form Responses 1'!$B:$B,$B21,'Form Responses 1'!$C:$C,2026,'Form Responses 1'!$D:$D,AU$2)&gt;0,TRUE)</f>
        <v>0</v>
      </c>
    </row>
    <row r="22" spans="1:47" ht="12.75" x14ac:dyDescent="0.2">
      <c r="A22" s="11">
        <v>20</v>
      </c>
      <c r="B22" s="20" t="s">
        <v>39</v>
      </c>
      <c r="C22" s="18" t="b">
        <f>IF(COUNTIFS('Form Responses 1'!$B:$B,$B22,'Form Responses 1'!$C:$C,2024,'Form Responses 1'!$D:$D,C$2)&gt;0,TRUE)</f>
        <v>1</v>
      </c>
      <c r="D22" s="18" t="b">
        <f>IF(COUNTIFS('Form Responses 1'!$B:$B,$B22,'Form Responses 1'!$C:$C,2024,'Form Responses 1'!$D:$D,D$2)&gt;0,TRUE)</f>
        <v>1</v>
      </c>
      <c r="E22" s="18" t="b">
        <f>IF(COUNTIFS('Form Responses 1'!$B:$B,$B22,'Form Responses 1'!$C:$C,2024,'Form Responses 1'!$D:$D,E$2)&gt;0,TRUE)</f>
        <v>1</v>
      </c>
      <c r="F22" s="18" t="b">
        <f>IF(COUNTIFS('Form Responses 1'!$B:$B,$B22,'Form Responses 1'!$C:$C,2024,'Form Responses 1'!$D:$D,F$2)&gt;0,TRUE)</f>
        <v>1</v>
      </c>
      <c r="G22" s="18" t="b">
        <f>IF(COUNTIFS('Form Responses 1'!$B:$B,$B22,'Form Responses 1'!$C:$C,2024,'Form Responses 1'!$D:$D,G$2)&gt;0,TRUE)</f>
        <v>1</v>
      </c>
      <c r="H22" s="18" t="b">
        <f>IF(COUNTIFS('Form Responses 1'!$B:$B,$B22,'Form Responses 1'!$C:$C,2024,'Form Responses 1'!$D:$D,H$2)&gt;0,TRUE)</f>
        <v>1</v>
      </c>
      <c r="I22" s="18" t="b">
        <f>IF(COUNTIFS('Form Responses 1'!$B:$B,$B22,'Form Responses 1'!$C:$C,2024,'Form Responses 1'!$D:$D,I$2)&gt;0,TRUE)</f>
        <v>1</v>
      </c>
      <c r="J22" s="18" t="b">
        <f>IF(COUNTIFS('Form Responses 1'!$B:$B,$B22,'Form Responses 1'!$C:$C,2024,'Form Responses 1'!$D:$D,J$2)&gt;0,TRUE)</f>
        <v>1</v>
      </c>
      <c r="K22" s="18" t="b">
        <f>IF(COUNTIFS('Form Responses 1'!$B:$B,$B22,'Form Responses 1'!$C:$C,2024,'Form Responses 1'!$D:$D,K$2)&gt;0,TRUE)</f>
        <v>1</v>
      </c>
      <c r="L22" s="18" t="b">
        <f>IF(COUNTIFS('Form Responses 1'!$B:$B,$B22,'Form Responses 1'!$C:$C,2024,'Form Responses 1'!$D:$D,L$2)&gt;0,TRUE)</f>
        <v>1</v>
      </c>
      <c r="M22" s="18" t="b">
        <f>IF(COUNTIFS('Form Responses 1'!$B:$B,$B22,'Form Responses 1'!$C:$C,2024,'Form Responses 1'!$D:$D,M$2)&gt;0,TRUE)</f>
        <v>1</v>
      </c>
      <c r="N22" s="18" t="b">
        <f>IF(COUNTIFS('Form Responses 1'!$B:$B,$B22,'Form Responses 1'!$C:$C,2024,'Form Responses 1'!$D:$D,N$2)&gt;0,TRUE)</f>
        <v>1</v>
      </c>
      <c r="O22" s="18" t="b">
        <f>IF(COUNTIFS('Form Responses 1'!$B:$B,$B22,'Form Responses 1'!$C:$C,2024,'Form Responses 1'!$D:$D,O$2)&gt;0,TRUE)</f>
        <v>1</v>
      </c>
      <c r="P22" s="18" t="b">
        <f>IF(COUNTIFS('Form Responses 1'!$B:$B,$B22,'Form Responses 1'!$C:$C,2024,'Form Responses 1'!$D:$D,P$2)&gt;0,TRUE)</f>
        <v>1</v>
      </c>
      <c r="Q22" s="18" t="b">
        <f>IF(COUNTIFS('Form Responses 1'!$B:$B,$B22,'Form Responses 1'!$C:$C,2025,'Form Responses 1'!$D:$D,Q$2)&gt;0,TRUE)</f>
        <v>1</v>
      </c>
      <c r="R22" s="18" t="b">
        <f>IF(COUNTIFS('Form Responses 1'!$B:$B,$B22,'Form Responses 1'!$C:$C,2025,'Form Responses 1'!$D:$D,R$2)&gt;0,TRUE)</f>
        <v>1</v>
      </c>
      <c r="S22" s="19" t="b">
        <f>IF(COUNTIFS('Form Responses 1'!$B:$B,$B22,'Form Responses 1'!$C:$C,2025,'Form Responses 1'!$D:$D,S$2)&gt;0,TRUE)</f>
        <v>1</v>
      </c>
      <c r="T22" s="19" t="b">
        <f>IF(COUNTIFS('Form Responses 1'!$B:$B,$B22,'Form Responses 1'!$C:$C,2025,'Form Responses 1'!$D:$D,T$2)&gt;0,TRUE)</f>
        <v>1</v>
      </c>
      <c r="U22" s="19" t="b">
        <f>IF(COUNTIFS('Form Responses 1'!$B:$B,$B22,'Form Responses 1'!$C:$C,2025,'Form Responses 1'!$D:$D,U$2)&gt;0,TRUE)</f>
        <v>1</v>
      </c>
      <c r="V22" s="19" t="b">
        <f>IF(COUNTIFS('Form Responses 1'!$B:$B,$B22,'Form Responses 1'!$C:$C,2025,'Form Responses 1'!$D:$D,V$2)&gt;0,TRUE)</f>
        <v>1</v>
      </c>
      <c r="W22" s="19" t="b">
        <f>IF(COUNTIFS('Form Responses 1'!$B:$B,$B22,'Form Responses 1'!$C:$C,2025,'Form Responses 1'!$D:$D,W$2)&gt;0,TRUE)</f>
        <v>1</v>
      </c>
      <c r="X22" s="19" t="b">
        <f>IF(COUNTIFS('Form Responses 1'!$B:$B,$B22,'Form Responses 1'!$C:$C,2025,'Form Responses 1'!$D:$D,X$2)&gt;0,TRUE)</f>
        <v>1</v>
      </c>
      <c r="Y22" s="19" t="b">
        <f>IF(COUNTIFS('Form Responses 1'!$B:$B,$B22,'Form Responses 1'!$C:$C,2025,'Form Responses 1'!$D:$D,Y$2)&gt;0,TRUE)</f>
        <v>1</v>
      </c>
      <c r="Z22" s="19" t="b">
        <f>IF(COUNTIFS('Form Responses 1'!$B:$B,$B22,'Form Responses 1'!$C:$C,2025,'Form Responses 1'!$D:$D,Z$2)&gt;0,TRUE)</f>
        <v>1</v>
      </c>
      <c r="AA22" s="19" t="b">
        <f>IF(COUNTIFS('Form Responses 1'!$B:$B,$B22,'Form Responses 1'!$C:$C,2025,'Form Responses 1'!$D:$D,AA$2)&gt;0,TRUE)</f>
        <v>1</v>
      </c>
      <c r="AB22" s="19" t="b">
        <f>IF(COUNTIFS('Form Responses 1'!$B:$B,$B22,'Form Responses 1'!$C:$C,2025,'Form Responses 1'!$D:$D,AB$2)&gt;0,TRUE)</f>
        <v>1</v>
      </c>
      <c r="AC22" s="19" t="b">
        <f>IF(COUNTIFS('Form Responses 1'!$B:$B,$B22,'Form Responses 1'!$C:$C,2025,'Form Responses 1'!$D:$D,AC$2)&gt;0,TRUE)</f>
        <v>1</v>
      </c>
      <c r="AD22" s="19" t="b">
        <f>IF(COUNTIFS('Form Responses 1'!$B:$B,$B22,'Form Responses 1'!$C:$C,2025,'Form Responses 1'!$D:$D,AD$2)&gt;0,TRUE)</f>
        <v>1</v>
      </c>
      <c r="AE22" s="19" t="b">
        <f>IF(COUNTIFS('Form Responses 1'!$B:$B,$B22,'Form Responses 1'!$C:$C,2025,'Form Responses 1'!$D:$D,AE$2)&gt;0,TRUE)</f>
        <v>1</v>
      </c>
      <c r="AF22" s="19" t="b">
        <f>IF(COUNTIFS('Form Responses 1'!$B:$B,$B22,'Form Responses 1'!$C:$C,2025,'Form Responses 1'!$D:$D,AF$2)&gt;0,TRUE)</f>
        <v>1</v>
      </c>
      <c r="AG22" s="19" t="b">
        <f>IF(COUNTIFS('Form Responses 1'!$B:$B,$B22,'Form Responses 1'!$C:$C,2026,'Form Responses 1'!$D:$D,AG$2)&gt;0,TRUE)</f>
        <v>0</v>
      </c>
      <c r="AH22" s="19" t="b">
        <f>IF(COUNTIFS('Form Responses 1'!$B:$B,$B22,'Form Responses 1'!$C:$C,2026,'Form Responses 1'!$D:$D,AH$2)&gt;0,TRUE)</f>
        <v>0</v>
      </c>
      <c r="AI22" s="19" t="b">
        <f>IF(COUNTIFS('Form Responses 1'!$B:$B,$B22,'Form Responses 1'!$C:$C,2026,'Form Responses 1'!$D:$D,AI$2)&gt;0,TRUE)</f>
        <v>0</v>
      </c>
      <c r="AJ22" s="19" t="b">
        <f>IF(COUNTIFS('Form Responses 1'!$B:$B,$B22,'Form Responses 1'!$C:$C,2026,'Form Responses 1'!$D:$D,AJ$2)&gt;0,TRUE)</f>
        <v>0</v>
      </c>
      <c r="AK22" s="19" t="b">
        <f>IF(COUNTIFS('Form Responses 1'!$B:$B,$B22,'Form Responses 1'!$C:$C,2026,'Form Responses 1'!$D:$D,AK$2)&gt;0,TRUE)</f>
        <v>0</v>
      </c>
      <c r="AL22" s="19" t="b">
        <f>IF(COUNTIFS('Form Responses 1'!$B:$B,$B22,'Form Responses 1'!$C:$C,2026,'Form Responses 1'!$D:$D,AL$2)&gt;0,TRUE)</f>
        <v>0</v>
      </c>
      <c r="AM22" s="19" t="b">
        <f>IF(COUNTIFS('Form Responses 1'!$B:$B,$B22,'Form Responses 1'!$C:$C,2026,'Form Responses 1'!$D:$D,AM$2)&gt;0,TRUE)</f>
        <v>0</v>
      </c>
      <c r="AN22" s="19" t="b">
        <f>IF(COUNTIFS('Form Responses 1'!$B:$B,$B22,'Form Responses 1'!$C:$C,2026,'Form Responses 1'!$D:$D,AN$2)&gt;0,TRUE)</f>
        <v>0</v>
      </c>
      <c r="AO22" s="19" t="b">
        <f>IF(COUNTIFS('Form Responses 1'!$B:$B,$B22,'Form Responses 1'!$C:$C,2026,'Form Responses 1'!$D:$D,AO$2)&gt;0,TRUE)</f>
        <v>0</v>
      </c>
      <c r="AP22" s="19" t="b">
        <f>IF(COUNTIFS('Form Responses 1'!$B:$B,$B22,'Form Responses 1'!$C:$C,2026,'Form Responses 1'!$D:$D,AP$2)&gt;0,TRUE)</f>
        <v>0</v>
      </c>
      <c r="AQ22" s="19" t="b">
        <f>IF(COUNTIFS('Form Responses 1'!$B:$B,$B22,'Form Responses 1'!$C:$C,2026,'Form Responses 1'!$D:$D,AQ$2)&gt;0,TRUE)</f>
        <v>0</v>
      </c>
      <c r="AR22" s="19" t="b">
        <f>IF(COUNTIFS('Form Responses 1'!$B:$B,$B22,'Form Responses 1'!$C:$C,2026,'Form Responses 1'!$D:$D,AR$2)&gt;0,TRUE)</f>
        <v>0</v>
      </c>
      <c r="AS22" s="19" t="b">
        <f>IF(COUNTIFS('Form Responses 1'!$B:$B,$B22,'Form Responses 1'!$C:$C,2026,'Form Responses 1'!$D:$D,AS$2)&gt;0,TRUE)</f>
        <v>0</v>
      </c>
      <c r="AT22" s="19" t="b">
        <f>IF(COUNTIFS('Form Responses 1'!$B:$B,$B22,'Form Responses 1'!$C:$C,2026,'Form Responses 1'!$D:$D,AT$2)&gt;0,TRUE)</f>
        <v>0</v>
      </c>
      <c r="AU22" s="19" t="b">
        <f>IF(COUNTIFS('Form Responses 1'!$B:$B,$B22,'Form Responses 1'!$C:$C,2026,'Form Responses 1'!$D:$D,AU$2)&gt;0,TRUE)</f>
        <v>0</v>
      </c>
    </row>
    <row r="23" spans="1:47" ht="12.75" x14ac:dyDescent="0.2">
      <c r="A23" s="9">
        <v>21</v>
      </c>
      <c r="B23" s="20" t="s">
        <v>33</v>
      </c>
      <c r="C23" s="18" t="b">
        <f>IF(COUNTIFS('Form Responses 1'!$B:$B,$B23,'Form Responses 1'!$C:$C,2024,'Form Responses 1'!$D:$D,C$2)&gt;0,TRUE)</f>
        <v>1</v>
      </c>
      <c r="D23" s="18" t="b">
        <f>IF(COUNTIFS('Form Responses 1'!$B:$B,$B23,'Form Responses 1'!$C:$C,2024,'Form Responses 1'!$D:$D,D$2)&gt;0,TRUE)</f>
        <v>1</v>
      </c>
      <c r="E23" s="18" t="b">
        <f>IF(COUNTIFS('Form Responses 1'!$B:$B,$B23,'Form Responses 1'!$C:$C,2024,'Form Responses 1'!$D:$D,E$2)&gt;0,TRUE)</f>
        <v>1</v>
      </c>
      <c r="F23" s="18" t="b">
        <f>IF(COUNTIFS('Form Responses 1'!$B:$B,$B23,'Form Responses 1'!$C:$C,2024,'Form Responses 1'!$D:$D,F$2)&gt;0,TRUE)</f>
        <v>1</v>
      </c>
      <c r="G23" s="18" t="b">
        <f>IF(COUNTIFS('Form Responses 1'!$B:$B,$B23,'Form Responses 1'!$C:$C,2024,'Form Responses 1'!$D:$D,G$2)&gt;0,TRUE)</f>
        <v>1</v>
      </c>
      <c r="H23" s="18" t="b">
        <f>IF(COUNTIFS('Form Responses 1'!$B:$B,$B23,'Form Responses 1'!$C:$C,2024,'Form Responses 1'!$D:$D,H$2)&gt;0,TRUE)</f>
        <v>1</v>
      </c>
      <c r="I23" s="18" t="b">
        <f>IF(COUNTIFS('Form Responses 1'!$B:$B,$B23,'Form Responses 1'!$C:$C,2024,'Form Responses 1'!$D:$D,I$2)&gt;0,TRUE)</f>
        <v>1</v>
      </c>
      <c r="J23" s="18" t="b">
        <f>IF(COUNTIFS('Form Responses 1'!$B:$B,$B23,'Form Responses 1'!$C:$C,2024,'Form Responses 1'!$D:$D,J$2)&gt;0,TRUE)</f>
        <v>1</v>
      </c>
      <c r="K23" s="18" t="b">
        <f>IF(COUNTIFS('Form Responses 1'!$B:$B,$B23,'Form Responses 1'!$C:$C,2024,'Form Responses 1'!$D:$D,K$2)&gt;0,TRUE)</f>
        <v>1</v>
      </c>
      <c r="L23" s="18" t="b">
        <f>IF(COUNTIFS('Form Responses 1'!$B:$B,$B23,'Form Responses 1'!$C:$C,2024,'Form Responses 1'!$D:$D,L$2)&gt;0,TRUE)</f>
        <v>1</v>
      </c>
      <c r="M23" s="18" t="b">
        <f>IF(COUNTIFS('Form Responses 1'!$B:$B,$B23,'Form Responses 1'!$C:$C,2024,'Form Responses 1'!$D:$D,M$2)&gt;0,TRUE)</f>
        <v>1</v>
      </c>
      <c r="N23" s="18" t="b">
        <f>IF(COUNTIFS('Form Responses 1'!$B:$B,$B23,'Form Responses 1'!$C:$C,2024,'Form Responses 1'!$D:$D,N$2)&gt;0,TRUE)</f>
        <v>1</v>
      </c>
      <c r="O23" s="18" t="b">
        <f>IF(COUNTIFS('Form Responses 1'!$B:$B,$B23,'Form Responses 1'!$C:$C,2024,'Form Responses 1'!$D:$D,O$2)&gt;0,TRUE)</f>
        <v>0</v>
      </c>
      <c r="P23" s="18" t="b">
        <f>IF(COUNTIFS('Form Responses 1'!$B:$B,$B23,'Form Responses 1'!$C:$C,2024,'Form Responses 1'!$D:$D,P$2)&gt;0,TRUE)</f>
        <v>0</v>
      </c>
      <c r="Q23" s="18" t="b">
        <f>IF(COUNTIFS('Form Responses 1'!$B:$B,$B23,'Form Responses 1'!$C:$C,2025,'Form Responses 1'!$D:$D,Q$2)&gt;0,TRUE)</f>
        <v>1</v>
      </c>
      <c r="R23" s="18" t="b">
        <f>IF(COUNTIFS('Form Responses 1'!$B:$B,$B23,'Form Responses 1'!$C:$C,2025,'Form Responses 1'!$D:$D,R$2)&gt;0,TRUE)</f>
        <v>1</v>
      </c>
      <c r="S23" s="19" t="b">
        <f>IF(COUNTIFS('Form Responses 1'!$B:$B,$B23,'Form Responses 1'!$C:$C,2025,'Form Responses 1'!$D:$D,S$2)&gt;0,TRUE)</f>
        <v>1</v>
      </c>
      <c r="T23" s="19" t="b">
        <f>IF(COUNTIFS('Form Responses 1'!$B:$B,$B23,'Form Responses 1'!$C:$C,2025,'Form Responses 1'!$D:$D,T$2)&gt;0,TRUE)</f>
        <v>1</v>
      </c>
      <c r="U23" s="19" t="b">
        <f>IF(COUNTIFS('Form Responses 1'!$B:$B,$B23,'Form Responses 1'!$C:$C,2025,'Form Responses 1'!$D:$D,U$2)&gt;0,TRUE)</f>
        <v>1</v>
      </c>
      <c r="V23" s="19" t="b">
        <f>IF(COUNTIFS('Form Responses 1'!$B:$B,$B23,'Form Responses 1'!$C:$C,2025,'Form Responses 1'!$D:$D,V$2)&gt;0,TRUE)</f>
        <v>1</v>
      </c>
      <c r="W23" s="19" t="b">
        <f>IF(COUNTIFS('Form Responses 1'!$B:$B,$B23,'Form Responses 1'!$C:$C,2025,'Form Responses 1'!$D:$D,W$2)&gt;0,TRUE)</f>
        <v>1</v>
      </c>
      <c r="X23" s="19" t="b">
        <f>IF(COUNTIFS('Form Responses 1'!$B:$B,$B23,'Form Responses 1'!$C:$C,2025,'Form Responses 1'!$D:$D,X$2)&gt;0,TRUE)</f>
        <v>1</v>
      </c>
      <c r="Y23" s="19" t="b">
        <f>IF(COUNTIFS('Form Responses 1'!$B:$B,$B23,'Form Responses 1'!$C:$C,2025,'Form Responses 1'!$D:$D,Y$2)&gt;0,TRUE)</f>
        <v>1</v>
      </c>
      <c r="Z23" s="19" t="b">
        <f>IF(COUNTIFS('Form Responses 1'!$B:$B,$B23,'Form Responses 1'!$C:$C,2025,'Form Responses 1'!$D:$D,Z$2)&gt;0,TRUE)</f>
        <v>1</v>
      </c>
      <c r="AA23" s="19" t="b">
        <f>IF(COUNTIFS('Form Responses 1'!$B:$B,$B23,'Form Responses 1'!$C:$C,2025,'Form Responses 1'!$D:$D,AA$2)&gt;0,TRUE)</f>
        <v>1</v>
      </c>
      <c r="AB23" s="19" t="b">
        <f>IF(COUNTIFS('Form Responses 1'!$B:$B,$B23,'Form Responses 1'!$C:$C,2025,'Form Responses 1'!$D:$D,AB$2)&gt;0,TRUE)</f>
        <v>1</v>
      </c>
      <c r="AC23" s="19" t="b">
        <f>IF(COUNTIFS('Form Responses 1'!$B:$B,$B23,'Form Responses 1'!$C:$C,2025,'Form Responses 1'!$D:$D,AC$2)&gt;0,TRUE)</f>
        <v>1</v>
      </c>
      <c r="AD23" s="19" t="b">
        <f>IF(COUNTIFS('Form Responses 1'!$B:$B,$B23,'Form Responses 1'!$C:$C,2025,'Form Responses 1'!$D:$D,AD$2)&gt;0,TRUE)</f>
        <v>1</v>
      </c>
      <c r="AE23" s="19" t="b">
        <f>IF(COUNTIFS('Form Responses 1'!$B:$B,$B23,'Form Responses 1'!$C:$C,2025,'Form Responses 1'!$D:$D,AE$2)&gt;0,TRUE)</f>
        <v>1</v>
      </c>
      <c r="AF23" s="19" t="b">
        <f>IF(COUNTIFS('Form Responses 1'!$B:$B,$B23,'Form Responses 1'!$C:$C,2025,'Form Responses 1'!$D:$D,AF$2)&gt;0,TRUE)</f>
        <v>1</v>
      </c>
      <c r="AG23" s="19" t="b">
        <f>IF(COUNTIFS('Form Responses 1'!$B:$B,$B23,'Form Responses 1'!$C:$C,2026,'Form Responses 1'!$D:$D,AG$2)&gt;0,TRUE)</f>
        <v>0</v>
      </c>
      <c r="AH23" s="19" t="b">
        <f>IF(COUNTIFS('Form Responses 1'!$B:$B,$B23,'Form Responses 1'!$C:$C,2026,'Form Responses 1'!$D:$D,AH$2)&gt;0,TRUE)</f>
        <v>0</v>
      </c>
      <c r="AI23" s="19" t="b">
        <f>IF(COUNTIFS('Form Responses 1'!$B:$B,$B23,'Form Responses 1'!$C:$C,2026,'Form Responses 1'!$D:$D,AI$2)&gt;0,TRUE)</f>
        <v>0</v>
      </c>
      <c r="AJ23" s="19" t="b">
        <f>IF(COUNTIFS('Form Responses 1'!$B:$B,$B23,'Form Responses 1'!$C:$C,2026,'Form Responses 1'!$D:$D,AJ$2)&gt;0,TRUE)</f>
        <v>0</v>
      </c>
      <c r="AK23" s="19" t="b">
        <f>IF(COUNTIFS('Form Responses 1'!$B:$B,$B23,'Form Responses 1'!$C:$C,2026,'Form Responses 1'!$D:$D,AK$2)&gt;0,TRUE)</f>
        <v>0</v>
      </c>
      <c r="AL23" s="19" t="b">
        <f>IF(COUNTIFS('Form Responses 1'!$B:$B,$B23,'Form Responses 1'!$C:$C,2026,'Form Responses 1'!$D:$D,AL$2)&gt;0,TRUE)</f>
        <v>0</v>
      </c>
      <c r="AM23" s="19" t="b">
        <f>IF(COUNTIFS('Form Responses 1'!$B:$B,$B23,'Form Responses 1'!$C:$C,2026,'Form Responses 1'!$D:$D,AM$2)&gt;0,TRUE)</f>
        <v>0</v>
      </c>
      <c r="AN23" s="19" t="b">
        <f>IF(COUNTIFS('Form Responses 1'!$B:$B,$B23,'Form Responses 1'!$C:$C,2026,'Form Responses 1'!$D:$D,AN$2)&gt;0,TRUE)</f>
        <v>0</v>
      </c>
      <c r="AO23" s="19" t="b">
        <f>IF(COUNTIFS('Form Responses 1'!$B:$B,$B23,'Form Responses 1'!$C:$C,2026,'Form Responses 1'!$D:$D,AO$2)&gt;0,TRUE)</f>
        <v>0</v>
      </c>
      <c r="AP23" s="19" t="b">
        <f>IF(COUNTIFS('Form Responses 1'!$B:$B,$B23,'Form Responses 1'!$C:$C,2026,'Form Responses 1'!$D:$D,AP$2)&gt;0,TRUE)</f>
        <v>0</v>
      </c>
      <c r="AQ23" s="19" t="b">
        <f>IF(COUNTIFS('Form Responses 1'!$B:$B,$B23,'Form Responses 1'!$C:$C,2026,'Form Responses 1'!$D:$D,AQ$2)&gt;0,TRUE)</f>
        <v>0</v>
      </c>
      <c r="AR23" s="19" t="b">
        <f>IF(COUNTIFS('Form Responses 1'!$B:$B,$B23,'Form Responses 1'!$C:$C,2026,'Form Responses 1'!$D:$D,AR$2)&gt;0,TRUE)</f>
        <v>0</v>
      </c>
      <c r="AS23" s="19" t="b">
        <f>IF(COUNTIFS('Form Responses 1'!$B:$B,$B23,'Form Responses 1'!$C:$C,2026,'Form Responses 1'!$D:$D,AS$2)&gt;0,TRUE)</f>
        <v>0</v>
      </c>
      <c r="AT23" s="19" t="b">
        <f>IF(COUNTIFS('Form Responses 1'!$B:$B,$B23,'Form Responses 1'!$C:$C,2026,'Form Responses 1'!$D:$D,AT$2)&gt;0,TRUE)</f>
        <v>0</v>
      </c>
      <c r="AU23" s="19" t="b">
        <f>IF(COUNTIFS('Form Responses 1'!$B:$B,$B23,'Form Responses 1'!$C:$C,2026,'Form Responses 1'!$D:$D,AU$2)&gt;0,TRUE)</f>
        <v>0</v>
      </c>
    </row>
    <row r="24" spans="1:47" ht="12.75" x14ac:dyDescent="0.2">
      <c r="A24" s="9">
        <v>22</v>
      </c>
      <c r="B24" s="20" t="s">
        <v>666</v>
      </c>
      <c r="C24" s="18" t="b">
        <f>IF(COUNTIFS('Form Responses 1'!$B:$B,$B24,'Form Responses 1'!$C:$C,2024,'Form Responses 1'!$D:$D,C$2)&gt;0,TRUE)</f>
        <v>1</v>
      </c>
      <c r="D24" s="18" t="b">
        <f>IF(COUNTIFS('Form Responses 1'!$B:$B,$B24,'Form Responses 1'!$C:$C,2024,'Form Responses 1'!$D:$D,D$2)&gt;0,TRUE)</f>
        <v>1</v>
      </c>
      <c r="E24" s="18" t="b">
        <f>IF(COUNTIFS('Form Responses 1'!$B:$B,$B24,'Form Responses 1'!$C:$C,2024,'Form Responses 1'!$D:$D,E$2)&gt;0,TRUE)</f>
        <v>1</v>
      </c>
      <c r="F24" s="18" t="b">
        <f>IF(COUNTIFS('Form Responses 1'!$B:$B,$B24,'Form Responses 1'!$C:$C,2024,'Form Responses 1'!$D:$D,F$2)&gt;0,TRUE)</f>
        <v>1</v>
      </c>
      <c r="G24" s="18" t="b">
        <f>IF(COUNTIFS('Form Responses 1'!$B:$B,$B24,'Form Responses 1'!$C:$C,2024,'Form Responses 1'!$D:$D,G$2)&gt;0,TRUE)</f>
        <v>1</v>
      </c>
      <c r="H24" s="18" t="b">
        <f>IF(COUNTIFS('Form Responses 1'!$B:$B,$B24,'Form Responses 1'!$C:$C,2024,'Form Responses 1'!$D:$D,H$2)&gt;0,TRUE)</f>
        <v>1</v>
      </c>
      <c r="I24" s="18" t="b">
        <f>IF(COUNTIFS('Form Responses 1'!$B:$B,$B24,'Form Responses 1'!$C:$C,2024,'Form Responses 1'!$D:$D,I$2)&gt;0,TRUE)</f>
        <v>1</v>
      </c>
      <c r="J24" s="18" t="b">
        <f>IF(COUNTIFS('Form Responses 1'!$B:$B,$B24,'Form Responses 1'!$C:$C,2024,'Form Responses 1'!$D:$D,J$2)&gt;0,TRUE)</f>
        <v>1</v>
      </c>
      <c r="K24" s="18" t="b">
        <f>IF(COUNTIFS('Form Responses 1'!$B:$B,$B24,'Form Responses 1'!$C:$C,2024,'Form Responses 1'!$D:$D,K$2)&gt;0,TRUE)</f>
        <v>1</v>
      </c>
      <c r="L24" s="18" t="b">
        <f>IF(COUNTIFS('Form Responses 1'!$B:$B,$B24,'Form Responses 1'!$C:$C,2024,'Form Responses 1'!$D:$D,L$2)&gt;0,TRUE)</f>
        <v>1</v>
      </c>
      <c r="M24" s="18" t="b">
        <f>IF(COUNTIFS('Form Responses 1'!$B:$B,$B24,'Form Responses 1'!$C:$C,2024,'Form Responses 1'!$D:$D,M$2)&gt;0,TRUE)</f>
        <v>1</v>
      </c>
      <c r="N24" s="18" t="b">
        <f>IF(COUNTIFS('Form Responses 1'!$B:$B,$B24,'Form Responses 1'!$C:$C,2024,'Form Responses 1'!$D:$D,N$2)&gt;0,TRUE)</f>
        <v>1</v>
      </c>
      <c r="O24" s="18" t="b">
        <f>IF(COUNTIFS('Form Responses 1'!$B:$B,$B24,'Form Responses 1'!$C:$C,2024,'Form Responses 1'!$D:$D,O$2)&gt;0,TRUE)</f>
        <v>1</v>
      </c>
      <c r="P24" s="18" t="b">
        <f>IF(COUNTIFS('Form Responses 1'!$B:$B,$B24,'Form Responses 1'!$C:$C,2024,'Form Responses 1'!$D:$D,P$2)&gt;0,TRUE)</f>
        <v>1</v>
      </c>
      <c r="Q24" s="18" t="b">
        <f>IF(COUNTIFS('Form Responses 1'!$B:$B,$B24,'Form Responses 1'!$C:$C,2025,'Form Responses 1'!$D:$D,Q$2)&gt;0,TRUE)</f>
        <v>1</v>
      </c>
      <c r="R24" s="18" t="b">
        <f>IF(COUNTIFS('Form Responses 1'!$B:$B,$B24,'Form Responses 1'!$C:$C,2025,'Form Responses 1'!$D:$D,R$2)&gt;0,TRUE)</f>
        <v>1</v>
      </c>
      <c r="S24" s="19" t="b">
        <f>IF(COUNTIFS('Form Responses 1'!$B:$B,$B24,'Form Responses 1'!$C:$C,2025,'Form Responses 1'!$D:$D,S$2)&gt;0,TRUE)</f>
        <v>1</v>
      </c>
      <c r="T24" s="19" t="b">
        <f>IF(COUNTIFS('Form Responses 1'!$B:$B,$B24,'Form Responses 1'!$C:$C,2025,'Form Responses 1'!$D:$D,T$2)&gt;0,TRUE)</f>
        <v>1</v>
      </c>
      <c r="U24" s="19" t="b">
        <f>IF(COUNTIFS('Form Responses 1'!$B:$B,$B24,'Form Responses 1'!$C:$C,2025,'Form Responses 1'!$D:$D,U$2)&gt;0,TRUE)</f>
        <v>1</v>
      </c>
      <c r="V24" s="19" t="b">
        <f>IF(COUNTIFS('Form Responses 1'!$B:$B,$B24,'Form Responses 1'!$C:$C,2025,'Form Responses 1'!$D:$D,V$2)&gt;0,TRUE)</f>
        <v>1</v>
      </c>
      <c r="W24" s="19" t="b">
        <f>IF(COUNTIFS('Form Responses 1'!$B:$B,$B24,'Form Responses 1'!$C:$C,2025,'Form Responses 1'!$D:$D,W$2)&gt;0,TRUE)</f>
        <v>1</v>
      </c>
      <c r="X24" s="19" t="b">
        <f>IF(COUNTIFS('Form Responses 1'!$B:$B,$B24,'Form Responses 1'!$C:$C,2025,'Form Responses 1'!$D:$D,X$2)&gt;0,TRUE)</f>
        <v>1</v>
      </c>
      <c r="Y24" s="19" t="b">
        <f>IF(COUNTIFS('Form Responses 1'!$B:$B,$B24,'Form Responses 1'!$C:$C,2025,'Form Responses 1'!$D:$D,Y$2)&gt;0,TRUE)</f>
        <v>1</v>
      </c>
      <c r="Z24" s="19" t="b">
        <f>IF(COUNTIFS('Form Responses 1'!$B:$B,$B24,'Form Responses 1'!$C:$C,2025,'Form Responses 1'!$D:$D,Z$2)&gt;0,TRUE)</f>
        <v>1</v>
      </c>
      <c r="AA24" s="19" t="b">
        <f>IF(COUNTIFS('Form Responses 1'!$B:$B,$B24,'Form Responses 1'!$C:$C,2025,'Form Responses 1'!$D:$D,AA$2)&gt;0,TRUE)</f>
        <v>1</v>
      </c>
      <c r="AB24" s="19" t="b">
        <f>IF(COUNTIFS('Form Responses 1'!$B:$B,$B24,'Form Responses 1'!$C:$C,2025,'Form Responses 1'!$D:$D,AB$2)&gt;0,TRUE)</f>
        <v>1</v>
      </c>
      <c r="AC24" s="19" t="b">
        <f>IF(COUNTIFS('Form Responses 1'!$B:$B,$B24,'Form Responses 1'!$C:$C,2025,'Form Responses 1'!$D:$D,AC$2)&gt;0,TRUE)</f>
        <v>1</v>
      </c>
      <c r="AD24" s="19" t="b">
        <f>IF(COUNTIFS('Form Responses 1'!$B:$B,$B24,'Form Responses 1'!$C:$C,2025,'Form Responses 1'!$D:$D,AD$2)&gt;0,TRUE)</f>
        <v>1</v>
      </c>
      <c r="AE24" s="19" t="b">
        <f>IF(COUNTIFS('Form Responses 1'!$B:$B,$B24,'Form Responses 1'!$C:$C,2025,'Form Responses 1'!$D:$D,AE$2)&gt;0,TRUE)</f>
        <v>1</v>
      </c>
      <c r="AF24" s="19" t="b">
        <f>IF(COUNTIFS('Form Responses 1'!$B:$B,$B24,'Form Responses 1'!$C:$C,2025,'Form Responses 1'!$D:$D,AF$2)&gt;0,TRUE)</f>
        <v>1</v>
      </c>
      <c r="AG24" s="19" t="b">
        <f>IF(COUNTIFS('Form Responses 1'!$B:$B,$B24,'Form Responses 1'!$C:$C,2026,'Form Responses 1'!$D:$D,AG$2)&gt;0,TRUE)</f>
        <v>0</v>
      </c>
      <c r="AH24" s="19" t="b">
        <f>IF(COUNTIFS('Form Responses 1'!$B:$B,$B24,'Form Responses 1'!$C:$C,2026,'Form Responses 1'!$D:$D,AH$2)&gt;0,TRUE)</f>
        <v>0</v>
      </c>
      <c r="AI24" s="19" t="b">
        <f>IF(COUNTIFS('Form Responses 1'!$B:$B,$B24,'Form Responses 1'!$C:$C,2026,'Form Responses 1'!$D:$D,AI$2)&gt;0,TRUE)</f>
        <v>0</v>
      </c>
      <c r="AJ24" s="19" t="b">
        <f>IF(COUNTIFS('Form Responses 1'!$B:$B,$B24,'Form Responses 1'!$C:$C,2026,'Form Responses 1'!$D:$D,AJ$2)&gt;0,TRUE)</f>
        <v>0</v>
      </c>
      <c r="AK24" s="19" t="b">
        <f>IF(COUNTIFS('Form Responses 1'!$B:$B,$B24,'Form Responses 1'!$C:$C,2026,'Form Responses 1'!$D:$D,AK$2)&gt;0,TRUE)</f>
        <v>0</v>
      </c>
      <c r="AL24" s="19" t="b">
        <f>IF(COUNTIFS('Form Responses 1'!$B:$B,$B24,'Form Responses 1'!$C:$C,2026,'Form Responses 1'!$D:$D,AL$2)&gt;0,TRUE)</f>
        <v>0</v>
      </c>
      <c r="AM24" s="19" t="b">
        <f>IF(COUNTIFS('Form Responses 1'!$B:$B,$B24,'Form Responses 1'!$C:$C,2026,'Form Responses 1'!$D:$D,AM$2)&gt;0,TRUE)</f>
        <v>0</v>
      </c>
      <c r="AN24" s="19" t="b">
        <f>IF(COUNTIFS('Form Responses 1'!$B:$B,$B24,'Form Responses 1'!$C:$C,2026,'Form Responses 1'!$D:$D,AN$2)&gt;0,TRUE)</f>
        <v>0</v>
      </c>
      <c r="AO24" s="19" t="b">
        <f>IF(COUNTIFS('Form Responses 1'!$B:$B,$B24,'Form Responses 1'!$C:$C,2026,'Form Responses 1'!$D:$D,AO$2)&gt;0,TRUE)</f>
        <v>0</v>
      </c>
      <c r="AP24" s="19" t="b">
        <f>IF(COUNTIFS('Form Responses 1'!$B:$B,$B24,'Form Responses 1'!$C:$C,2026,'Form Responses 1'!$D:$D,AP$2)&gt;0,TRUE)</f>
        <v>0</v>
      </c>
      <c r="AQ24" s="19" t="b">
        <f>IF(COUNTIFS('Form Responses 1'!$B:$B,$B24,'Form Responses 1'!$C:$C,2026,'Form Responses 1'!$D:$D,AQ$2)&gt;0,TRUE)</f>
        <v>0</v>
      </c>
      <c r="AR24" s="19" t="b">
        <f>IF(COUNTIFS('Form Responses 1'!$B:$B,$B24,'Form Responses 1'!$C:$C,2026,'Form Responses 1'!$D:$D,AR$2)&gt;0,TRUE)</f>
        <v>0</v>
      </c>
      <c r="AS24" s="19" t="b">
        <f>IF(COUNTIFS('Form Responses 1'!$B:$B,$B24,'Form Responses 1'!$C:$C,2026,'Form Responses 1'!$D:$D,AS$2)&gt;0,TRUE)</f>
        <v>0</v>
      </c>
      <c r="AT24" s="19" t="b">
        <f>IF(COUNTIFS('Form Responses 1'!$B:$B,$B24,'Form Responses 1'!$C:$C,2026,'Form Responses 1'!$D:$D,AT$2)&gt;0,TRUE)</f>
        <v>0</v>
      </c>
      <c r="AU24" s="19" t="b">
        <f>IF(COUNTIFS('Form Responses 1'!$B:$B,$B24,'Form Responses 1'!$C:$C,2026,'Form Responses 1'!$D:$D,AU$2)&gt;0,TRUE)</f>
        <v>0</v>
      </c>
    </row>
    <row r="25" spans="1:47" ht="12.75" x14ac:dyDescent="0.2">
      <c r="A25" s="11">
        <v>23</v>
      </c>
      <c r="B25" s="10" t="s">
        <v>66</v>
      </c>
      <c r="C25" s="18" t="b">
        <f>IF(COUNTIFS('Form Responses 1'!$B:$B,$B25,'Form Responses 1'!$C:$C,2024,'Form Responses 1'!$D:$D,C$2)&gt;0,TRUE)</f>
        <v>1</v>
      </c>
      <c r="D25" s="18" t="b">
        <f>IF(COUNTIFS('Form Responses 1'!$B:$B,$B25,'Form Responses 1'!$C:$C,2024,'Form Responses 1'!$D:$D,D$2)&gt;0,TRUE)</f>
        <v>1</v>
      </c>
      <c r="E25" s="18" t="b">
        <f>IF(COUNTIFS('Form Responses 1'!$B:$B,$B25,'Form Responses 1'!$C:$C,2024,'Form Responses 1'!$D:$D,E$2)&gt;0,TRUE)</f>
        <v>1</v>
      </c>
      <c r="F25" s="18" t="b">
        <f>IF(COUNTIFS('Form Responses 1'!$B:$B,$B25,'Form Responses 1'!$C:$C,2024,'Form Responses 1'!$D:$D,F$2)&gt;0,TRUE)</f>
        <v>1</v>
      </c>
      <c r="G25" s="18" t="b">
        <f>IF(COUNTIFS('Form Responses 1'!$B:$B,$B25,'Form Responses 1'!$C:$C,2024,'Form Responses 1'!$D:$D,G$2)&gt;0,TRUE)</f>
        <v>1</v>
      </c>
      <c r="H25" s="18" t="b">
        <f>IF(COUNTIFS('Form Responses 1'!$B:$B,$B25,'Form Responses 1'!$C:$C,2024,'Form Responses 1'!$D:$D,H$2)&gt;0,TRUE)</f>
        <v>1</v>
      </c>
      <c r="I25" s="18" t="b">
        <f>IF(COUNTIFS('Form Responses 1'!$B:$B,$B25,'Form Responses 1'!$C:$C,2024,'Form Responses 1'!$D:$D,I$2)&gt;0,TRUE)</f>
        <v>1</v>
      </c>
      <c r="J25" s="18" t="b">
        <f>IF(COUNTIFS('Form Responses 1'!$B:$B,$B25,'Form Responses 1'!$C:$C,2024,'Form Responses 1'!$D:$D,J$2)&gt;0,TRUE)</f>
        <v>1</v>
      </c>
      <c r="K25" s="18" t="b">
        <f>IF(COUNTIFS('Form Responses 1'!$B:$B,$B25,'Form Responses 1'!$C:$C,2024,'Form Responses 1'!$D:$D,K$2)&gt;0,TRUE)</f>
        <v>1</v>
      </c>
      <c r="L25" s="18" t="b">
        <f>IF(COUNTIFS('Form Responses 1'!$B:$B,$B25,'Form Responses 1'!$C:$C,2024,'Form Responses 1'!$D:$D,L$2)&gt;0,TRUE)</f>
        <v>1</v>
      </c>
      <c r="M25" s="18" t="b">
        <f>IF(COUNTIFS('Form Responses 1'!$B:$B,$B25,'Form Responses 1'!$C:$C,2024,'Form Responses 1'!$D:$D,M$2)&gt;0,TRUE)</f>
        <v>1</v>
      </c>
      <c r="N25" s="18" t="b">
        <f>IF(COUNTIFS('Form Responses 1'!$B:$B,$B25,'Form Responses 1'!$C:$C,2024,'Form Responses 1'!$D:$D,N$2)&gt;0,TRUE)</f>
        <v>1</v>
      </c>
      <c r="O25" s="18" t="b">
        <f>IF(COUNTIFS('Form Responses 1'!$B:$B,$B25,'Form Responses 1'!$C:$C,2024,'Form Responses 1'!$D:$D,O$2)&gt;0,TRUE)</f>
        <v>1</v>
      </c>
      <c r="P25" s="18" t="b">
        <f>IF(COUNTIFS('Form Responses 1'!$B:$B,$B25,'Form Responses 1'!$C:$C,2024,'Form Responses 1'!$D:$D,P$2)&gt;0,TRUE)</f>
        <v>0</v>
      </c>
      <c r="Q25" s="18" t="b">
        <f>IF(COUNTIFS('Form Responses 1'!$B:$B,$B25,'Form Responses 1'!$C:$C,2025,'Form Responses 1'!$D:$D,Q$2)&gt;0,TRUE)</f>
        <v>1</v>
      </c>
      <c r="R25" s="18" t="b">
        <f>IF(COUNTIFS('Form Responses 1'!$B:$B,$B25,'Form Responses 1'!$C:$C,2025,'Form Responses 1'!$D:$D,R$2)&gt;0,TRUE)</f>
        <v>1</v>
      </c>
      <c r="S25" s="19" t="b">
        <f>IF(COUNTIFS('Form Responses 1'!$B:$B,$B25,'Form Responses 1'!$C:$C,2025,'Form Responses 1'!$D:$D,S$2)&gt;0,TRUE)</f>
        <v>1</v>
      </c>
      <c r="T25" s="19" t="b">
        <f>IF(COUNTIFS('Form Responses 1'!$B:$B,$B25,'Form Responses 1'!$C:$C,2025,'Form Responses 1'!$D:$D,T$2)&gt;0,TRUE)</f>
        <v>1</v>
      </c>
      <c r="U25" s="19" t="b">
        <f>IF(COUNTIFS('Form Responses 1'!$B:$B,$B25,'Form Responses 1'!$C:$C,2025,'Form Responses 1'!$D:$D,U$2)&gt;0,TRUE)</f>
        <v>1</v>
      </c>
      <c r="V25" s="19" t="b">
        <f>IF(COUNTIFS('Form Responses 1'!$B:$B,$B25,'Form Responses 1'!$C:$C,2025,'Form Responses 1'!$D:$D,V$2)&gt;0,TRUE)</f>
        <v>1</v>
      </c>
      <c r="W25" s="19" t="b">
        <f>IF(COUNTIFS('Form Responses 1'!$B:$B,$B25,'Form Responses 1'!$C:$C,2025,'Form Responses 1'!$D:$D,W$2)&gt;0,TRUE)</f>
        <v>1</v>
      </c>
      <c r="X25" s="19" t="b">
        <f>IF(COUNTIFS('Form Responses 1'!$B:$B,$B25,'Form Responses 1'!$C:$C,2025,'Form Responses 1'!$D:$D,X$2)&gt;0,TRUE)</f>
        <v>1</v>
      </c>
      <c r="Y25" s="19" t="b">
        <f>IF(COUNTIFS('Form Responses 1'!$B:$B,$B25,'Form Responses 1'!$C:$C,2025,'Form Responses 1'!$D:$D,Y$2)&gt;0,TRUE)</f>
        <v>1</v>
      </c>
      <c r="Z25" s="19" t="b">
        <f>IF(COUNTIFS('Form Responses 1'!$B:$B,$B25,'Form Responses 1'!$C:$C,2025,'Form Responses 1'!$D:$D,Z$2)&gt;0,TRUE)</f>
        <v>1</v>
      </c>
      <c r="AA25" s="19" t="b">
        <f>IF(COUNTIFS('Form Responses 1'!$B:$B,$B25,'Form Responses 1'!$C:$C,2025,'Form Responses 1'!$D:$D,AA$2)&gt;0,TRUE)</f>
        <v>1</v>
      </c>
      <c r="AB25" s="19" t="b">
        <f>IF(COUNTIFS('Form Responses 1'!$B:$B,$B25,'Form Responses 1'!$C:$C,2025,'Form Responses 1'!$D:$D,AB$2)&gt;0,TRUE)</f>
        <v>1</v>
      </c>
      <c r="AC25" s="19" t="b">
        <f>IF(COUNTIFS('Form Responses 1'!$B:$B,$B25,'Form Responses 1'!$C:$C,2025,'Form Responses 1'!$D:$D,AC$2)&gt;0,TRUE)</f>
        <v>1</v>
      </c>
      <c r="AD25" s="19" t="b">
        <f>IF(COUNTIFS('Form Responses 1'!$B:$B,$B25,'Form Responses 1'!$C:$C,2025,'Form Responses 1'!$D:$D,AD$2)&gt;0,TRUE)</f>
        <v>1</v>
      </c>
      <c r="AE25" s="19" t="b">
        <f>IF(COUNTIFS('Form Responses 1'!$B:$B,$B25,'Form Responses 1'!$C:$C,2025,'Form Responses 1'!$D:$D,AE$2)&gt;0,TRUE)</f>
        <v>1</v>
      </c>
      <c r="AF25" s="19" t="b">
        <f>IF(COUNTIFS('Form Responses 1'!$B:$B,$B25,'Form Responses 1'!$C:$C,2025,'Form Responses 1'!$D:$D,AF$2)&gt;0,TRUE)</f>
        <v>1</v>
      </c>
      <c r="AG25" s="19" t="b">
        <f>IF(COUNTIFS('Form Responses 1'!$B:$B,$B25,'Form Responses 1'!$C:$C,2026,'Form Responses 1'!$D:$D,AG$2)&gt;0,TRUE)</f>
        <v>0</v>
      </c>
      <c r="AH25" s="19" t="b">
        <f>IF(COUNTIFS('Form Responses 1'!$B:$B,$B25,'Form Responses 1'!$C:$C,2026,'Form Responses 1'!$D:$D,AH$2)&gt;0,TRUE)</f>
        <v>0</v>
      </c>
      <c r="AI25" s="19" t="b">
        <f>IF(COUNTIFS('Form Responses 1'!$B:$B,$B25,'Form Responses 1'!$C:$C,2026,'Form Responses 1'!$D:$D,AI$2)&gt;0,TRUE)</f>
        <v>0</v>
      </c>
      <c r="AJ25" s="19" t="b">
        <f>IF(COUNTIFS('Form Responses 1'!$B:$B,$B25,'Form Responses 1'!$C:$C,2026,'Form Responses 1'!$D:$D,AJ$2)&gt;0,TRUE)</f>
        <v>0</v>
      </c>
      <c r="AK25" s="19" t="b">
        <f>IF(COUNTIFS('Form Responses 1'!$B:$B,$B25,'Form Responses 1'!$C:$C,2026,'Form Responses 1'!$D:$D,AK$2)&gt;0,TRUE)</f>
        <v>0</v>
      </c>
      <c r="AL25" s="19" t="b">
        <f>IF(COUNTIFS('Form Responses 1'!$B:$B,$B25,'Form Responses 1'!$C:$C,2026,'Form Responses 1'!$D:$D,AL$2)&gt;0,TRUE)</f>
        <v>0</v>
      </c>
      <c r="AM25" s="19" t="b">
        <f>IF(COUNTIFS('Form Responses 1'!$B:$B,$B25,'Form Responses 1'!$C:$C,2026,'Form Responses 1'!$D:$D,AM$2)&gt;0,TRUE)</f>
        <v>0</v>
      </c>
      <c r="AN25" s="19" t="b">
        <f>IF(COUNTIFS('Form Responses 1'!$B:$B,$B25,'Form Responses 1'!$C:$C,2026,'Form Responses 1'!$D:$D,AN$2)&gt;0,TRUE)</f>
        <v>0</v>
      </c>
      <c r="AO25" s="19" t="b">
        <f>IF(COUNTIFS('Form Responses 1'!$B:$B,$B25,'Form Responses 1'!$C:$C,2026,'Form Responses 1'!$D:$D,AO$2)&gt;0,TRUE)</f>
        <v>0</v>
      </c>
      <c r="AP25" s="19" t="b">
        <f>IF(COUNTIFS('Form Responses 1'!$B:$B,$B25,'Form Responses 1'!$C:$C,2026,'Form Responses 1'!$D:$D,AP$2)&gt;0,TRUE)</f>
        <v>0</v>
      </c>
      <c r="AQ25" s="19" t="b">
        <f>IF(COUNTIFS('Form Responses 1'!$B:$B,$B25,'Form Responses 1'!$C:$C,2026,'Form Responses 1'!$D:$D,AQ$2)&gt;0,TRUE)</f>
        <v>0</v>
      </c>
      <c r="AR25" s="19" t="b">
        <f>IF(COUNTIFS('Form Responses 1'!$B:$B,$B25,'Form Responses 1'!$C:$C,2026,'Form Responses 1'!$D:$D,AR$2)&gt;0,TRUE)</f>
        <v>0</v>
      </c>
      <c r="AS25" s="19" t="b">
        <f>IF(COUNTIFS('Form Responses 1'!$B:$B,$B25,'Form Responses 1'!$C:$C,2026,'Form Responses 1'!$D:$D,AS$2)&gt;0,TRUE)</f>
        <v>0</v>
      </c>
      <c r="AT25" s="19" t="b">
        <f>IF(COUNTIFS('Form Responses 1'!$B:$B,$B25,'Form Responses 1'!$C:$C,2026,'Form Responses 1'!$D:$D,AT$2)&gt;0,TRUE)</f>
        <v>0</v>
      </c>
      <c r="AU25" s="19" t="b">
        <f>IF(COUNTIFS('Form Responses 1'!$B:$B,$B25,'Form Responses 1'!$C:$C,2026,'Form Responses 1'!$D:$D,AU$2)&gt;0,TRUE)</f>
        <v>0</v>
      </c>
    </row>
    <row r="26" spans="1:47" ht="12.75" x14ac:dyDescent="0.2">
      <c r="A26" s="9">
        <v>24</v>
      </c>
      <c r="B26" s="10" t="s">
        <v>29</v>
      </c>
      <c r="C26" s="18" t="b">
        <f>IF(COUNTIFS('Form Responses 1'!$B:$B,$B26,'Form Responses 1'!$C:$C,2024,'Form Responses 1'!$D:$D,C$2)&gt;0,TRUE)</f>
        <v>1</v>
      </c>
      <c r="D26" s="18" t="b">
        <f>IF(COUNTIFS('Form Responses 1'!$B:$B,$B26,'Form Responses 1'!$C:$C,2024,'Form Responses 1'!$D:$D,D$2)&gt;0,TRUE)</f>
        <v>1</v>
      </c>
      <c r="E26" s="18" t="b">
        <f>IF(COUNTIFS('Form Responses 1'!$B:$B,$B26,'Form Responses 1'!$C:$C,2024,'Form Responses 1'!$D:$D,E$2)&gt;0,TRUE)</f>
        <v>1</v>
      </c>
      <c r="F26" s="18" t="b">
        <f>IF(COUNTIFS('Form Responses 1'!$B:$B,$B26,'Form Responses 1'!$C:$C,2024,'Form Responses 1'!$D:$D,F$2)&gt;0,TRUE)</f>
        <v>1</v>
      </c>
      <c r="G26" s="18" t="b">
        <f>IF(COUNTIFS('Form Responses 1'!$B:$B,$B26,'Form Responses 1'!$C:$C,2024,'Form Responses 1'!$D:$D,G$2)&gt;0,TRUE)</f>
        <v>1</v>
      </c>
      <c r="H26" s="18" t="b">
        <f>IF(COUNTIFS('Form Responses 1'!$B:$B,$B26,'Form Responses 1'!$C:$C,2024,'Form Responses 1'!$D:$D,H$2)&gt;0,TRUE)</f>
        <v>1</v>
      </c>
      <c r="I26" s="18" t="b">
        <f>IF(COUNTIFS('Form Responses 1'!$B:$B,$B26,'Form Responses 1'!$C:$C,2024,'Form Responses 1'!$D:$D,I$2)&gt;0,TRUE)</f>
        <v>1</v>
      </c>
      <c r="J26" s="18" t="b">
        <f>IF(COUNTIFS('Form Responses 1'!$B:$B,$B26,'Form Responses 1'!$C:$C,2024,'Form Responses 1'!$D:$D,J$2)&gt;0,TRUE)</f>
        <v>1</v>
      </c>
      <c r="K26" s="18" t="b">
        <f>IF(COUNTIFS('Form Responses 1'!$B:$B,$B26,'Form Responses 1'!$C:$C,2024,'Form Responses 1'!$D:$D,K$2)&gt;0,TRUE)</f>
        <v>1</v>
      </c>
      <c r="L26" s="18" t="b">
        <f>IF(COUNTIFS('Form Responses 1'!$B:$B,$B26,'Form Responses 1'!$C:$C,2024,'Form Responses 1'!$D:$D,L$2)&gt;0,TRUE)</f>
        <v>1</v>
      </c>
      <c r="M26" s="18" t="b">
        <f>IF(COUNTIFS('Form Responses 1'!$B:$B,$B26,'Form Responses 1'!$C:$C,2024,'Form Responses 1'!$D:$D,M$2)&gt;0,TRUE)</f>
        <v>1</v>
      </c>
      <c r="N26" s="18" t="b">
        <f>IF(COUNTIFS('Form Responses 1'!$B:$B,$B26,'Form Responses 1'!$C:$C,2024,'Form Responses 1'!$D:$D,N$2)&gt;0,TRUE)</f>
        <v>1</v>
      </c>
      <c r="O26" s="18" t="b">
        <f>IF(COUNTIFS('Form Responses 1'!$B:$B,$B26,'Form Responses 1'!$C:$C,2024,'Form Responses 1'!$D:$D,O$2)&gt;0,TRUE)</f>
        <v>1</v>
      </c>
      <c r="P26" s="18" t="b">
        <f>IF(COUNTIFS('Form Responses 1'!$B:$B,$B26,'Form Responses 1'!$C:$C,2024,'Form Responses 1'!$D:$D,P$2)&gt;0,TRUE)</f>
        <v>1</v>
      </c>
      <c r="Q26" s="18" t="b">
        <f>IF(COUNTIFS('Form Responses 1'!$B:$B,$B26,'Form Responses 1'!$C:$C,2025,'Form Responses 1'!$D:$D,Q$2)&gt;0,TRUE)</f>
        <v>1</v>
      </c>
      <c r="R26" s="18" t="b">
        <f>IF(COUNTIFS('Form Responses 1'!$B:$B,$B26,'Form Responses 1'!$C:$C,2025,'Form Responses 1'!$D:$D,R$2)&gt;0,TRUE)</f>
        <v>1</v>
      </c>
      <c r="S26" s="19" t="b">
        <f>IF(COUNTIFS('Form Responses 1'!$B:$B,$B26,'Form Responses 1'!$C:$C,2025,'Form Responses 1'!$D:$D,S$2)&gt;0,TRUE)</f>
        <v>1</v>
      </c>
      <c r="T26" s="19" t="b">
        <f>IF(COUNTIFS('Form Responses 1'!$B:$B,$B26,'Form Responses 1'!$C:$C,2025,'Form Responses 1'!$D:$D,T$2)&gt;0,TRUE)</f>
        <v>1</v>
      </c>
      <c r="U26" s="19" t="b">
        <f>IF(COUNTIFS('Form Responses 1'!$B:$B,$B26,'Form Responses 1'!$C:$C,2025,'Form Responses 1'!$D:$D,U$2)&gt;0,TRUE)</f>
        <v>1</v>
      </c>
      <c r="V26" s="19" t="b">
        <f>IF(COUNTIFS('Form Responses 1'!$B:$B,$B26,'Form Responses 1'!$C:$C,2025,'Form Responses 1'!$D:$D,V$2)&gt;0,TRUE)</f>
        <v>1</v>
      </c>
      <c r="W26" s="19" t="b">
        <f>IF(COUNTIFS('Form Responses 1'!$B:$B,$B26,'Form Responses 1'!$C:$C,2025,'Form Responses 1'!$D:$D,W$2)&gt;0,TRUE)</f>
        <v>1</v>
      </c>
      <c r="X26" s="19" t="b">
        <f>IF(COUNTIFS('Form Responses 1'!$B:$B,$B26,'Form Responses 1'!$C:$C,2025,'Form Responses 1'!$D:$D,X$2)&gt;0,TRUE)</f>
        <v>1</v>
      </c>
      <c r="Y26" s="19" t="b">
        <f>IF(COUNTIFS('Form Responses 1'!$B:$B,$B26,'Form Responses 1'!$C:$C,2025,'Form Responses 1'!$D:$D,Y$2)&gt;0,TRUE)</f>
        <v>1</v>
      </c>
      <c r="Z26" s="19" t="b">
        <f>IF(COUNTIFS('Form Responses 1'!$B:$B,$B26,'Form Responses 1'!$C:$C,2025,'Form Responses 1'!$D:$D,Z$2)&gt;0,TRUE)</f>
        <v>1</v>
      </c>
      <c r="AA26" s="19" t="b">
        <f>IF(COUNTIFS('Form Responses 1'!$B:$B,$B26,'Form Responses 1'!$C:$C,2025,'Form Responses 1'!$D:$D,AA$2)&gt;0,TRUE)</f>
        <v>1</v>
      </c>
      <c r="AB26" s="19" t="b">
        <f>IF(COUNTIFS('Form Responses 1'!$B:$B,$B26,'Form Responses 1'!$C:$C,2025,'Form Responses 1'!$D:$D,AB$2)&gt;0,TRUE)</f>
        <v>1</v>
      </c>
      <c r="AC26" s="19" t="b">
        <f>IF(COUNTIFS('Form Responses 1'!$B:$B,$B26,'Form Responses 1'!$C:$C,2025,'Form Responses 1'!$D:$D,AC$2)&gt;0,TRUE)</f>
        <v>1</v>
      </c>
      <c r="AD26" s="19" t="b">
        <f>IF(COUNTIFS('Form Responses 1'!$B:$B,$B26,'Form Responses 1'!$C:$C,2025,'Form Responses 1'!$D:$D,AD$2)&gt;0,TRUE)</f>
        <v>1</v>
      </c>
      <c r="AE26" s="19" t="b">
        <f>IF(COUNTIFS('Form Responses 1'!$B:$B,$B26,'Form Responses 1'!$C:$C,2025,'Form Responses 1'!$D:$D,AE$2)&gt;0,TRUE)</f>
        <v>1</v>
      </c>
      <c r="AF26" s="19" t="b">
        <f>IF(COUNTIFS('Form Responses 1'!$B:$B,$B26,'Form Responses 1'!$C:$C,2025,'Form Responses 1'!$D:$D,AF$2)&gt;0,TRUE)</f>
        <v>1</v>
      </c>
      <c r="AG26" s="19" t="b">
        <f>IF(COUNTIFS('Form Responses 1'!$B:$B,$B26,'Form Responses 1'!$C:$C,2026,'Form Responses 1'!$D:$D,AG$2)&gt;0,TRUE)</f>
        <v>0</v>
      </c>
      <c r="AH26" s="19" t="b">
        <f>IF(COUNTIFS('Form Responses 1'!$B:$B,$B26,'Form Responses 1'!$C:$C,2026,'Form Responses 1'!$D:$D,AH$2)&gt;0,TRUE)</f>
        <v>0</v>
      </c>
      <c r="AI26" s="19" t="b">
        <f>IF(COUNTIFS('Form Responses 1'!$B:$B,$B26,'Form Responses 1'!$C:$C,2026,'Form Responses 1'!$D:$D,AI$2)&gt;0,TRUE)</f>
        <v>0</v>
      </c>
      <c r="AJ26" s="19" t="b">
        <f>IF(COUNTIFS('Form Responses 1'!$B:$B,$B26,'Form Responses 1'!$C:$C,2026,'Form Responses 1'!$D:$D,AJ$2)&gt;0,TRUE)</f>
        <v>0</v>
      </c>
      <c r="AK26" s="19" t="b">
        <f>IF(COUNTIFS('Form Responses 1'!$B:$B,$B26,'Form Responses 1'!$C:$C,2026,'Form Responses 1'!$D:$D,AK$2)&gt;0,TRUE)</f>
        <v>0</v>
      </c>
      <c r="AL26" s="19" t="b">
        <f>IF(COUNTIFS('Form Responses 1'!$B:$B,$B26,'Form Responses 1'!$C:$C,2026,'Form Responses 1'!$D:$D,AL$2)&gt;0,TRUE)</f>
        <v>0</v>
      </c>
      <c r="AM26" s="19" t="b">
        <f>IF(COUNTIFS('Form Responses 1'!$B:$B,$B26,'Form Responses 1'!$C:$C,2026,'Form Responses 1'!$D:$D,AM$2)&gt;0,TRUE)</f>
        <v>0</v>
      </c>
      <c r="AN26" s="19" t="b">
        <f>IF(COUNTIFS('Form Responses 1'!$B:$B,$B26,'Form Responses 1'!$C:$C,2026,'Form Responses 1'!$D:$D,AN$2)&gt;0,TRUE)</f>
        <v>0</v>
      </c>
      <c r="AO26" s="19" t="b">
        <f>IF(COUNTIFS('Form Responses 1'!$B:$B,$B26,'Form Responses 1'!$C:$C,2026,'Form Responses 1'!$D:$D,AO$2)&gt;0,TRUE)</f>
        <v>0</v>
      </c>
      <c r="AP26" s="19" t="b">
        <f>IF(COUNTIFS('Form Responses 1'!$B:$B,$B26,'Form Responses 1'!$C:$C,2026,'Form Responses 1'!$D:$D,AP$2)&gt;0,TRUE)</f>
        <v>0</v>
      </c>
      <c r="AQ26" s="19" t="b">
        <f>IF(COUNTIFS('Form Responses 1'!$B:$B,$B26,'Form Responses 1'!$C:$C,2026,'Form Responses 1'!$D:$D,AQ$2)&gt;0,TRUE)</f>
        <v>0</v>
      </c>
      <c r="AR26" s="19" t="b">
        <f>IF(COUNTIFS('Form Responses 1'!$B:$B,$B26,'Form Responses 1'!$C:$C,2026,'Form Responses 1'!$D:$D,AR$2)&gt;0,TRUE)</f>
        <v>0</v>
      </c>
      <c r="AS26" s="19" t="b">
        <f>IF(COUNTIFS('Form Responses 1'!$B:$B,$B26,'Form Responses 1'!$C:$C,2026,'Form Responses 1'!$D:$D,AS$2)&gt;0,TRUE)</f>
        <v>0</v>
      </c>
      <c r="AT26" s="19" t="b">
        <f>IF(COUNTIFS('Form Responses 1'!$B:$B,$B26,'Form Responses 1'!$C:$C,2026,'Form Responses 1'!$D:$D,AT$2)&gt;0,TRUE)</f>
        <v>0</v>
      </c>
      <c r="AU26" s="19" t="b">
        <f>IF(COUNTIFS('Form Responses 1'!$B:$B,$B26,'Form Responses 1'!$C:$C,2026,'Form Responses 1'!$D:$D,AU$2)&gt;0,TRUE)</f>
        <v>0</v>
      </c>
    </row>
    <row r="27" spans="1:47" ht="12.75" x14ac:dyDescent="0.2">
      <c r="A27" s="9">
        <v>25</v>
      </c>
      <c r="B27" s="10" t="s">
        <v>76</v>
      </c>
      <c r="C27" s="18" t="b">
        <f>IF(COUNTIFS('Form Responses 1'!$B:$B,$B27,'Form Responses 1'!$C:$C,2024,'Form Responses 1'!$D:$D,C$2)&gt;0,TRUE)</f>
        <v>1</v>
      </c>
      <c r="D27" s="18" t="b">
        <f>IF(COUNTIFS('Form Responses 1'!$B:$B,$B27,'Form Responses 1'!$C:$C,2024,'Form Responses 1'!$D:$D,D$2)&gt;0,TRUE)</f>
        <v>1</v>
      </c>
      <c r="E27" s="18" t="b">
        <f>IF(COUNTIFS('Form Responses 1'!$B:$B,$B27,'Form Responses 1'!$C:$C,2024,'Form Responses 1'!$D:$D,E$2)&gt;0,TRUE)</f>
        <v>1</v>
      </c>
      <c r="F27" s="18" t="b">
        <f>IF(COUNTIFS('Form Responses 1'!$B:$B,$B27,'Form Responses 1'!$C:$C,2024,'Form Responses 1'!$D:$D,F$2)&gt;0,TRUE)</f>
        <v>1</v>
      </c>
      <c r="G27" s="18" t="b">
        <f>IF(COUNTIFS('Form Responses 1'!$B:$B,$B27,'Form Responses 1'!$C:$C,2024,'Form Responses 1'!$D:$D,G$2)&gt;0,TRUE)</f>
        <v>1</v>
      </c>
      <c r="H27" s="18" t="b">
        <f>IF(COUNTIFS('Form Responses 1'!$B:$B,$B27,'Form Responses 1'!$C:$C,2024,'Form Responses 1'!$D:$D,H$2)&gt;0,TRUE)</f>
        <v>1</v>
      </c>
      <c r="I27" s="18" t="b">
        <f>IF(COUNTIFS('Form Responses 1'!$B:$B,$B27,'Form Responses 1'!$C:$C,2024,'Form Responses 1'!$D:$D,I$2)&gt;0,TRUE)</f>
        <v>1</v>
      </c>
      <c r="J27" s="18" t="b">
        <f>IF(COUNTIFS('Form Responses 1'!$B:$B,$B27,'Form Responses 1'!$C:$C,2024,'Form Responses 1'!$D:$D,J$2)&gt;0,TRUE)</f>
        <v>1</v>
      </c>
      <c r="K27" s="18" t="b">
        <f>IF(COUNTIFS('Form Responses 1'!$B:$B,$B27,'Form Responses 1'!$C:$C,2024,'Form Responses 1'!$D:$D,K$2)&gt;0,TRUE)</f>
        <v>1</v>
      </c>
      <c r="L27" s="18" t="b">
        <f>IF(COUNTIFS('Form Responses 1'!$B:$B,$B27,'Form Responses 1'!$C:$C,2024,'Form Responses 1'!$D:$D,L$2)&gt;0,TRUE)</f>
        <v>1</v>
      </c>
      <c r="M27" s="18" t="b">
        <f>IF(COUNTIFS('Form Responses 1'!$B:$B,$B27,'Form Responses 1'!$C:$C,2024,'Form Responses 1'!$D:$D,M$2)&gt;0,TRUE)</f>
        <v>1</v>
      </c>
      <c r="N27" s="18" t="b">
        <f>IF(COUNTIFS('Form Responses 1'!$B:$B,$B27,'Form Responses 1'!$C:$C,2024,'Form Responses 1'!$D:$D,N$2)&gt;0,TRUE)</f>
        <v>0</v>
      </c>
      <c r="O27" s="18" t="b">
        <f>IF(COUNTIFS('Form Responses 1'!$B:$B,$B27,'Form Responses 1'!$C:$C,2024,'Form Responses 1'!$D:$D,O$2)&gt;0,TRUE)</f>
        <v>0</v>
      </c>
      <c r="P27" s="18" t="b">
        <f>IF(COUNTIFS('Form Responses 1'!$B:$B,$B27,'Form Responses 1'!$C:$C,2024,'Form Responses 1'!$D:$D,P$2)&gt;0,TRUE)</f>
        <v>0</v>
      </c>
      <c r="Q27" s="18" t="b">
        <f>IF(COUNTIFS('Form Responses 1'!$B:$B,$B27,'Form Responses 1'!$C:$C,2025,'Form Responses 1'!$D:$D,Q$2)&gt;0,TRUE)</f>
        <v>1</v>
      </c>
      <c r="R27" s="18" t="b">
        <f>IF(COUNTIFS('Form Responses 1'!$B:$B,$B27,'Form Responses 1'!$C:$C,2025,'Form Responses 1'!$D:$D,R$2)&gt;0,TRUE)</f>
        <v>1</v>
      </c>
      <c r="S27" s="19" t="b">
        <f>IF(COUNTIFS('Form Responses 1'!$B:$B,$B27,'Form Responses 1'!$C:$C,2025,'Form Responses 1'!$D:$D,S$2)&gt;0,TRUE)</f>
        <v>1</v>
      </c>
      <c r="T27" s="19" t="b">
        <f>IF(COUNTIFS('Form Responses 1'!$B:$B,$B27,'Form Responses 1'!$C:$C,2025,'Form Responses 1'!$D:$D,T$2)&gt;0,TRUE)</f>
        <v>1</v>
      </c>
      <c r="U27" s="19" t="b">
        <f>IF(COUNTIFS('Form Responses 1'!$B:$B,$B27,'Form Responses 1'!$C:$C,2025,'Form Responses 1'!$D:$D,U$2)&gt;0,TRUE)</f>
        <v>1</v>
      </c>
      <c r="V27" s="19" t="b">
        <f>IF(COUNTIFS('Form Responses 1'!$B:$B,$B27,'Form Responses 1'!$C:$C,2025,'Form Responses 1'!$D:$D,V$2)&gt;0,TRUE)</f>
        <v>1</v>
      </c>
      <c r="W27" s="19" t="b">
        <f>IF(COUNTIFS('Form Responses 1'!$B:$B,$B27,'Form Responses 1'!$C:$C,2025,'Form Responses 1'!$D:$D,W$2)&gt;0,TRUE)</f>
        <v>1</v>
      </c>
      <c r="X27" s="19" t="b">
        <f>IF(COUNTIFS('Form Responses 1'!$B:$B,$B27,'Form Responses 1'!$C:$C,2025,'Form Responses 1'!$D:$D,X$2)&gt;0,TRUE)</f>
        <v>1</v>
      </c>
      <c r="Y27" s="19" t="b">
        <f>IF(COUNTIFS('Form Responses 1'!$B:$B,$B27,'Form Responses 1'!$C:$C,2025,'Form Responses 1'!$D:$D,Y$2)&gt;0,TRUE)</f>
        <v>1</v>
      </c>
      <c r="Z27" s="19" t="b">
        <f>IF(COUNTIFS('Form Responses 1'!$B:$B,$B27,'Form Responses 1'!$C:$C,2025,'Form Responses 1'!$D:$D,Z$2)&gt;0,TRUE)</f>
        <v>1</v>
      </c>
      <c r="AA27" s="19" t="b">
        <f>IF(COUNTIFS('Form Responses 1'!$B:$B,$B27,'Form Responses 1'!$C:$C,2025,'Form Responses 1'!$D:$D,AA$2)&gt;0,TRUE)</f>
        <v>1</v>
      </c>
      <c r="AB27" s="19" t="b">
        <f>IF(COUNTIFS('Form Responses 1'!$B:$B,$B27,'Form Responses 1'!$C:$C,2025,'Form Responses 1'!$D:$D,AB$2)&gt;0,TRUE)</f>
        <v>1</v>
      </c>
      <c r="AC27" s="19" t="b">
        <f>IF(COUNTIFS('Form Responses 1'!$B:$B,$B27,'Form Responses 1'!$C:$C,2025,'Form Responses 1'!$D:$D,AC$2)&gt;0,TRUE)</f>
        <v>1</v>
      </c>
      <c r="AD27" s="19" t="b">
        <f>IF(COUNTIFS('Form Responses 1'!$B:$B,$B27,'Form Responses 1'!$C:$C,2025,'Form Responses 1'!$D:$D,AD$2)&gt;0,TRUE)</f>
        <v>1</v>
      </c>
      <c r="AE27" s="19" t="b">
        <f>IF(COUNTIFS('Form Responses 1'!$B:$B,$B27,'Form Responses 1'!$C:$C,2025,'Form Responses 1'!$D:$D,AE$2)&gt;0,TRUE)</f>
        <v>1</v>
      </c>
      <c r="AF27" s="19" t="b">
        <f>IF(COUNTIFS('Form Responses 1'!$B:$B,$B27,'Form Responses 1'!$C:$C,2025,'Form Responses 1'!$D:$D,AF$2)&gt;0,TRUE)</f>
        <v>1</v>
      </c>
      <c r="AG27" s="19" t="b">
        <f>IF(COUNTIFS('Form Responses 1'!$B:$B,$B27,'Form Responses 1'!$C:$C,2026,'Form Responses 1'!$D:$D,AG$2)&gt;0,TRUE)</f>
        <v>0</v>
      </c>
      <c r="AH27" s="19" t="b">
        <f>IF(COUNTIFS('Form Responses 1'!$B:$B,$B27,'Form Responses 1'!$C:$C,2026,'Form Responses 1'!$D:$D,AH$2)&gt;0,TRUE)</f>
        <v>0</v>
      </c>
      <c r="AI27" s="19" t="b">
        <f>IF(COUNTIFS('Form Responses 1'!$B:$B,$B27,'Form Responses 1'!$C:$C,2026,'Form Responses 1'!$D:$D,AI$2)&gt;0,TRUE)</f>
        <v>0</v>
      </c>
      <c r="AJ27" s="19" t="b">
        <f>IF(COUNTIFS('Form Responses 1'!$B:$B,$B27,'Form Responses 1'!$C:$C,2026,'Form Responses 1'!$D:$D,AJ$2)&gt;0,TRUE)</f>
        <v>0</v>
      </c>
      <c r="AK27" s="19" t="b">
        <f>IF(COUNTIFS('Form Responses 1'!$B:$B,$B27,'Form Responses 1'!$C:$C,2026,'Form Responses 1'!$D:$D,AK$2)&gt;0,TRUE)</f>
        <v>0</v>
      </c>
      <c r="AL27" s="19" t="b">
        <f>IF(COUNTIFS('Form Responses 1'!$B:$B,$B27,'Form Responses 1'!$C:$C,2026,'Form Responses 1'!$D:$D,AL$2)&gt;0,TRUE)</f>
        <v>0</v>
      </c>
      <c r="AM27" s="19" t="b">
        <f>IF(COUNTIFS('Form Responses 1'!$B:$B,$B27,'Form Responses 1'!$C:$C,2026,'Form Responses 1'!$D:$D,AM$2)&gt;0,TRUE)</f>
        <v>0</v>
      </c>
      <c r="AN27" s="19" t="b">
        <f>IF(COUNTIFS('Form Responses 1'!$B:$B,$B27,'Form Responses 1'!$C:$C,2026,'Form Responses 1'!$D:$D,AN$2)&gt;0,TRUE)</f>
        <v>0</v>
      </c>
      <c r="AO27" s="19" t="b">
        <f>IF(COUNTIFS('Form Responses 1'!$B:$B,$B27,'Form Responses 1'!$C:$C,2026,'Form Responses 1'!$D:$D,AO$2)&gt;0,TRUE)</f>
        <v>0</v>
      </c>
      <c r="AP27" s="19" t="b">
        <f>IF(COUNTIFS('Form Responses 1'!$B:$B,$B27,'Form Responses 1'!$C:$C,2026,'Form Responses 1'!$D:$D,AP$2)&gt;0,TRUE)</f>
        <v>0</v>
      </c>
      <c r="AQ27" s="19" t="b">
        <f>IF(COUNTIFS('Form Responses 1'!$B:$B,$B27,'Form Responses 1'!$C:$C,2026,'Form Responses 1'!$D:$D,AQ$2)&gt;0,TRUE)</f>
        <v>0</v>
      </c>
      <c r="AR27" s="19" t="b">
        <f>IF(COUNTIFS('Form Responses 1'!$B:$B,$B27,'Form Responses 1'!$C:$C,2026,'Form Responses 1'!$D:$D,AR$2)&gt;0,TRUE)</f>
        <v>0</v>
      </c>
      <c r="AS27" s="19" t="b">
        <f>IF(COUNTIFS('Form Responses 1'!$B:$B,$B27,'Form Responses 1'!$C:$C,2026,'Form Responses 1'!$D:$D,AS$2)&gt;0,TRUE)</f>
        <v>0</v>
      </c>
      <c r="AT27" s="19" t="b">
        <f>IF(COUNTIFS('Form Responses 1'!$B:$B,$B27,'Form Responses 1'!$C:$C,2026,'Form Responses 1'!$D:$D,AT$2)&gt;0,TRUE)</f>
        <v>0</v>
      </c>
      <c r="AU27" s="19" t="b">
        <f>IF(COUNTIFS('Form Responses 1'!$B:$B,$B27,'Form Responses 1'!$C:$C,2026,'Form Responses 1'!$D:$D,AU$2)&gt;0,TRUE)</f>
        <v>0</v>
      </c>
    </row>
    <row r="28" spans="1:47" ht="12.75" x14ac:dyDescent="0.2">
      <c r="A28" s="11">
        <v>26</v>
      </c>
      <c r="B28" s="10" t="s">
        <v>330</v>
      </c>
      <c r="C28" s="18" t="b">
        <f>IF(COUNTIFS('Form Responses 1'!$B:$B,$B28,'Form Responses 1'!$C:$C,2024,'Form Responses 1'!$D:$D,C$2)&gt;0,TRUE)</f>
        <v>1</v>
      </c>
      <c r="D28" s="18" t="b">
        <f>IF(COUNTIFS('Form Responses 1'!$B:$B,$B28,'Form Responses 1'!$C:$C,2024,'Form Responses 1'!$D:$D,D$2)&gt;0,TRUE)</f>
        <v>1</v>
      </c>
      <c r="E28" s="18" t="b">
        <f>IF(COUNTIFS('Form Responses 1'!$B:$B,$B28,'Form Responses 1'!$C:$C,2024,'Form Responses 1'!$D:$D,E$2)&gt;0,TRUE)</f>
        <v>1</v>
      </c>
      <c r="F28" s="18" t="b">
        <f>IF(COUNTIFS('Form Responses 1'!$B:$B,$B28,'Form Responses 1'!$C:$C,2024,'Form Responses 1'!$D:$D,F$2)&gt;0,TRUE)</f>
        <v>1</v>
      </c>
      <c r="G28" s="18" t="b">
        <f>IF(COUNTIFS('Form Responses 1'!$B:$B,$B28,'Form Responses 1'!$C:$C,2024,'Form Responses 1'!$D:$D,G$2)&gt;0,TRUE)</f>
        <v>1</v>
      </c>
      <c r="H28" s="18" t="b">
        <f>IF(COUNTIFS('Form Responses 1'!$B:$B,$B28,'Form Responses 1'!$C:$C,2024,'Form Responses 1'!$D:$D,H$2)&gt;0,TRUE)</f>
        <v>1</v>
      </c>
      <c r="I28" s="18" t="b">
        <f>IF(COUNTIFS('Form Responses 1'!$B:$B,$B28,'Form Responses 1'!$C:$C,2024,'Form Responses 1'!$D:$D,I$2)&gt;0,TRUE)</f>
        <v>1</v>
      </c>
      <c r="J28" s="18" t="b">
        <f>IF(COUNTIFS('Form Responses 1'!$B:$B,$B28,'Form Responses 1'!$C:$C,2024,'Form Responses 1'!$D:$D,J$2)&gt;0,TRUE)</f>
        <v>1</v>
      </c>
      <c r="K28" s="18" t="b">
        <f>IF(COUNTIFS('Form Responses 1'!$B:$B,$B28,'Form Responses 1'!$C:$C,2024,'Form Responses 1'!$D:$D,K$2)&gt;0,TRUE)</f>
        <v>1</v>
      </c>
      <c r="L28" s="18" t="b">
        <f>IF(COUNTIFS('Form Responses 1'!$B:$B,$B28,'Form Responses 1'!$C:$C,2024,'Form Responses 1'!$D:$D,L$2)&gt;0,TRUE)</f>
        <v>1</v>
      </c>
      <c r="M28" s="18" t="b">
        <f>IF(COUNTIFS('Form Responses 1'!$B:$B,$B28,'Form Responses 1'!$C:$C,2024,'Form Responses 1'!$D:$D,M$2)&gt;0,TRUE)</f>
        <v>1</v>
      </c>
      <c r="N28" s="18" t="b">
        <f>IF(COUNTIFS('Form Responses 1'!$B:$B,$B28,'Form Responses 1'!$C:$C,2024,'Form Responses 1'!$D:$D,N$2)&gt;0,TRUE)</f>
        <v>1</v>
      </c>
      <c r="O28" s="18" t="b">
        <f>IF(COUNTIFS('Form Responses 1'!$B:$B,$B28,'Form Responses 1'!$C:$C,2024,'Form Responses 1'!$D:$D,O$2)&gt;0,TRUE)</f>
        <v>1</v>
      </c>
      <c r="P28" s="18" t="b">
        <f>IF(COUNTIFS('Form Responses 1'!$B:$B,$B28,'Form Responses 1'!$C:$C,2024,'Form Responses 1'!$D:$D,P$2)&gt;0,TRUE)</f>
        <v>0</v>
      </c>
      <c r="Q28" s="18" t="b">
        <f>IF(COUNTIFS('Form Responses 1'!$B:$B,$B28,'Form Responses 1'!$C:$C,2025,'Form Responses 1'!$D:$D,Q$2)&gt;0,TRUE)</f>
        <v>1</v>
      </c>
      <c r="R28" s="18" t="b">
        <f>IF(COUNTIFS('Form Responses 1'!$B:$B,$B28,'Form Responses 1'!$C:$C,2025,'Form Responses 1'!$D:$D,R$2)&gt;0,TRUE)</f>
        <v>1</v>
      </c>
      <c r="S28" s="19" t="b">
        <f>IF(COUNTIFS('Form Responses 1'!$B:$B,$B28,'Form Responses 1'!$C:$C,2025,'Form Responses 1'!$D:$D,S$2)&gt;0,TRUE)</f>
        <v>1</v>
      </c>
      <c r="T28" s="19" t="b">
        <f>IF(COUNTIFS('Form Responses 1'!$B:$B,$B28,'Form Responses 1'!$C:$C,2025,'Form Responses 1'!$D:$D,T$2)&gt;0,TRUE)</f>
        <v>1</v>
      </c>
      <c r="U28" s="19" t="b">
        <f>IF(COUNTIFS('Form Responses 1'!$B:$B,$B28,'Form Responses 1'!$C:$C,2025,'Form Responses 1'!$D:$D,U$2)&gt;0,TRUE)</f>
        <v>1</v>
      </c>
      <c r="V28" s="19" t="b">
        <f>IF(COUNTIFS('Form Responses 1'!$B:$B,$B28,'Form Responses 1'!$C:$C,2025,'Form Responses 1'!$D:$D,V$2)&gt;0,TRUE)</f>
        <v>1</v>
      </c>
      <c r="W28" s="19" t="b">
        <f>IF(COUNTIFS('Form Responses 1'!$B:$B,$B28,'Form Responses 1'!$C:$C,2025,'Form Responses 1'!$D:$D,W$2)&gt;0,TRUE)</f>
        <v>1</v>
      </c>
      <c r="X28" s="19" t="b">
        <f>IF(COUNTIFS('Form Responses 1'!$B:$B,$B28,'Form Responses 1'!$C:$C,2025,'Form Responses 1'!$D:$D,X$2)&gt;0,TRUE)</f>
        <v>1</v>
      </c>
      <c r="Y28" s="19" t="b">
        <f>IF(COUNTIFS('Form Responses 1'!$B:$B,$B28,'Form Responses 1'!$C:$C,2025,'Form Responses 1'!$D:$D,Y$2)&gt;0,TRUE)</f>
        <v>1</v>
      </c>
      <c r="Z28" s="19" t="b">
        <f>IF(COUNTIFS('Form Responses 1'!$B:$B,$B28,'Form Responses 1'!$C:$C,2025,'Form Responses 1'!$D:$D,Z$2)&gt;0,TRUE)</f>
        <v>1</v>
      </c>
      <c r="AA28" s="19" t="b">
        <f>IF(COUNTIFS('Form Responses 1'!$B:$B,$B28,'Form Responses 1'!$C:$C,2025,'Form Responses 1'!$D:$D,AA$2)&gt;0,TRUE)</f>
        <v>1</v>
      </c>
      <c r="AB28" s="19" t="b">
        <f>IF(COUNTIFS('Form Responses 1'!$B:$B,$B28,'Form Responses 1'!$C:$C,2025,'Form Responses 1'!$D:$D,AB$2)&gt;0,TRUE)</f>
        <v>1</v>
      </c>
      <c r="AC28" s="19" t="b">
        <f>IF(COUNTIFS('Form Responses 1'!$B:$B,$B28,'Form Responses 1'!$C:$C,2025,'Form Responses 1'!$D:$D,AC$2)&gt;0,TRUE)</f>
        <v>1</v>
      </c>
      <c r="AD28" s="19" t="b">
        <f>IF(COUNTIFS('Form Responses 1'!$B:$B,$B28,'Form Responses 1'!$C:$C,2025,'Form Responses 1'!$D:$D,AD$2)&gt;0,TRUE)</f>
        <v>1</v>
      </c>
      <c r="AE28" s="19" t="b">
        <f>IF(COUNTIFS('Form Responses 1'!$B:$B,$B28,'Form Responses 1'!$C:$C,2025,'Form Responses 1'!$D:$D,AE$2)&gt;0,TRUE)</f>
        <v>1</v>
      </c>
      <c r="AF28" s="19" t="b">
        <f>IF(COUNTIFS('Form Responses 1'!$B:$B,$B28,'Form Responses 1'!$C:$C,2025,'Form Responses 1'!$D:$D,AF$2)&gt;0,TRUE)</f>
        <v>1</v>
      </c>
      <c r="AG28" s="19" t="b">
        <f>IF(COUNTIFS('Form Responses 1'!$B:$B,$B28,'Form Responses 1'!$C:$C,2026,'Form Responses 1'!$D:$D,AG$2)&gt;0,TRUE)</f>
        <v>0</v>
      </c>
      <c r="AH28" s="19" t="b">
        <f>IF(COUNTIFS('Form Responses 1'!$B:$B,$B28,'Form Responses 1'!$C:$C,2026,'Form Responses 1'!$D:$D,AH$2)&gt;0,TRUE)</f>
        <v>0</v>
      </c>
      <c r="AI28" s="19" t="b">
        <f>IF(COUNTIFS('Form Responses 1'!$B:$B,$B28,'Form Responses 1'!$C:$C,2026,'Form Responses 1'!$D:$D,AI$2)&gt;0,TRUE)</f>
        <v>0</v>
      </c>
      <c r="AJ28" s="19" t="b">
        <f>IF(COUNTIFS('Form Responses 1'!$B:$B,$B28,'Form Responses 1'!$C:$C,2026,'Form Responses 1'!$D:$D,AJ$2)&gt;0,TRUE)</f>
        <v>0</v>
      </c>
      <c r="AK28" s="19" t="b">
        <f>IF(COUNTIFS('Form Responses 1'!$B:$B,$B28,'Form Responses 1'!$C:$C,2026,'Form Responses 1'!$D:$D,AK$2)&gt;0,TRUE)</f>
        <v>0</v>
      </c>
      <c r="AL28" s="19" t="b">
        <f>IF(COUNTIFS('Form Responses 1'!$B:$B,$B28,'Form Responses 1'!$C:$C,2026,'Form Responses 1'!$D:$D,AL$2)&gt;0,TRUE)</f>
        <v>0</v>
      </c>
      <c r="AM28" s="19" t="b">
        <f>IF(COUNTIFS('Form Responses 1'!$B:$B,$B28,'Form Responses 1'!$C:$C,2026,'Form Responses 1'!$D:$D,AM$2)&gt;0,TRUE)</f>
        <v>0</v>
      </c>
      <c r="AN28" s="19" t="b">
        <f>IF(COUNTIFS('Form Responses 1'!$B:$B,$B28,'Form Responses 1'!$C:$C,2026,'Form Responses 1'!$D:$D,AN$2)&gt;0,TRUE)</f>
        <v>0</v>
      </c>
      <c r="AO28" s="19" t="b">
        <f>IF(COUNTIFS('Form Responses 1'!$B:$B,$B28,'Form Responses 1'!$C:$C,2026,'Form Responses 1'!$D:$D,AO$2)&gt;0,TRUE)</f>
        <v>0</v>
      </c>
      <c r="AP28" s="19" t="b">
        <f>IF(COUNTIFS('Form Responses 1'!$B:$B,$B28,'Form Responses 1'!$C:$C,2026,'Form Responses 1'!$D:$D,AP$2)&gt;0,TRUE)</f>
        <v>0</v>
      </c>
      <c r="AQ28" s="19" t="b">
        <f>IF(COUNTIFS('Form Responses 1'!$B:$B,$B28,'Form Responses 1'!$C:$C,2026,'Form Responses 1'!$D:$D,AQ$2)&gt;0,TRUE)</f>
        <v>0</v>
      </c>
      <c r="AR28" s="19" t="b">
        <f>IF(COUNTIFS('Form Responses 1'!$B:$B,$B28,'Form Responses 1'!$C:$C,2026,'Form Responses 1'!$D:$D,AR$2)&gt;0,TRUE)</f>
        <v>0</v>
      </c>
      <c r="AS28" s="19" t="b">
        <f>IF(COUNTIFS('Form Responses 1'!$B:$B,$B28,'Form Responses 1'!$C:$C,2026,'Form Responses 1'!$D:$D,AS$2)&gt;0,TRUE)</f>
        <v>0</v>
      </c>
      <c r="AT28" s="19" t="b">
        <f>IF(COUNTIFS('Form Responses 1'!$B:$B,$B28,'Form Responses 1'!$C:$C,2026,'Form Responses 1'!$D:$D,AT$2)&gt;0,TRUE)</f>
        <v>0</v>
      </c>
      <c r="AU28" s="19" t="b">
        <f>IF(COUNTIFS('Form Responses 1'!$B:$B,$B28,'Form Responses 1'!$C:$C,2026,'Form Responses 1'!$D:$D,AU$2)&gt;0,TRUE)</f>
        <v>0</v>
      </c>
    </row>
    <row r="29" spans="1:47" ht="12.75" x14ac:dyDescent="0.2">
      <c r="A29" s="9">
        <v>27</v>
      </c>
      <c r="B29" s="10" t="s">
        <v>348</v>
      </c>
      <c r="C29" s="18" t="b">
        <f>IF(COUNTIFS('Form Responses 1'!$B:$B,$B29,'Form Responses 1'!$C:$C,2024,'Form Responses 1'!$D:$D,C$2)&gt;0,TRUE)</f>
        <v>0</v>
      </c>
      <c r="D29" s="18" t="b">
        <f>IF(COUNTIFS('Form Responses 1'!$B:$B,$B29,'Form Responses 1'!$C:$C,2024,'Form Responses 1'!$D:$D,D$2)&gt;0,TRUE)</f>
        <v>1</v>
      </c>
      <c r="E29" s="18" t="b">
        <f>IF(COUNTIFS('Form Responses 1'!$B:$B,$B29,'Form Responses 1'!$C:$C,2024,'Form Responses 1'!$D:$D,E$2)&gt;0,TRUE)</f>
        <v>1</v>
      </c>
      <c r="F29" s="18" t="b">
        <f>IF(COUNTIFS('Form Responses 1'!$B:$B,$B29,'Form Responses 1'!$C:$C,2024,'Form Responses 1'!$D:$D,F$2)&gt;0,TRUE)</f>
        <v>1</v>
      </c>
      <c r="G29" s="18" t="b">
        <f>IF(COUNTIFS('Form Responses 1'!$B:$B,$B29,'Form Responses 1'!$C:$C,2024,'Form Responses 1'!$D:$D,G$2)&gt;0,TRUE)</f>
        <v>1</v>
      </c>
      <c r="H29" s="18" t="b">
        <f>IF(COUNTIFS('Form Responses 1'!$B:$B,$B29,'Form Responses 1'!$C:$C,2024,'Form Responses 1'!$D:$D,H$2)&gt;0,TRUE)</f>
        <v>1</v>
      </c>
      <c r="I29" s="18" t="b">
        <f>IF(COUNTIFS('Form Responses 1'!$B:$B,$B29,'Form Responses 1'!$C:$C,2024,'Form Responses 1'!$D:$D,I$2)&gt;0,TRUE)</f>
        <v>1</v>
      </c>
      <c r="J29" s="18" t="b">
        <f>IF(COUNTIFS('Form Responses 1'!$B:$B,$B29,'Form Responses 1'!$C:$C,2024,'Form Responses 1'!$D:$D,J$2)&gt;0,TRUE)</f>
        <v>1</v>
      </c>
      <c r="K29" s="18" t="b">
        <f>IF(COUNTIFS('Form Responses 1'!$B:$B,$B29,'Form Responses 1'!$C:$C,2024,'Form Responses 1'!$D:$D,K$2)&gt;0,TRUE)</f>
        <v>1</v>
      </c>
      <c r="L29" s="18" t="b">
        <f>IF(COUNTIFS('Form Responses 1'!$B:$B,$B29,'Form Responses 1'!$C:$C,2024,'Form Responses 1'!$D:$D,L$2)&gt;0,TRUE)</f>
        <v>0</v>
      </c>
      <c r="M29" s="18" t="b">
        <f>IF(COUNTIFS('Form Responses 1'!$B:$B,$B29,'Form Responses 1'!$C:$C,2024,'Form Responses 1'!$D:$D,M$2)&gt;0,TRUE)</f>
        <v>1</v>
      </c>
      <c r="N29" s="18" t="b">
        <f>IF(COUNTIFS('Form Responses 1'!$B:$B,$B29,'Form Responses 1'!$C:$C,2024,'Form Responses 1'!$D:$D,N$2)&gt;0,TRUE)</f>
        <v>1</v>
      </c>
      <c r="O29" s="18" t="b">
        <f>IF(COUNTIFS('Form Responses 1'!$B:$B,$B29,'Form Responses 1'!$C:$C,2024,'Form Responses 1'!$D:$D,O$2)&gt;0,TRUE)</f>
        <v>1</v>
      </c>
      <c r="P29" s="18" t="b">
        <f>IF(COUNTIFS('Form Responses 1'!$B:$B,$B29,'Form Responses 1'!$C:$C,2024,'Form Responses 1'!$D:$D,P$2)&gt;0,TRUE)</f>
        <v>0</v>
      </c>
      <c r="Q29" s="18" t="b">
        <f>IF(COUNTIFS('Form Responses 1'!$B:$B,$B29,'Form Responses 1'!$C:$C,2025,'Form Responses 1'!$D:$D,Q$2)&gt;0,TRUE)</f>
        <v>1</v>
      </c>
      <c r="R29" s="18" t="b">
        <f>IF(COUNTIFS('Form Responses 1'!$B:$B,$B29,'Form Responses 1'!$C:$C,2025,'Form Responses 1'!$D:$D,R$2)&gt;0,TRUE)</f>
        <v>1</v>
      </c>
      <c r="S29" s="19" t="b">
        <f>IF(COUNTIFS('Form Responses 1'!$B:$B,$B29,'Form Responses 1'!$C:$C,2025,'Form Responses 1'!$D:$D,S$2)&gt;0,TRUE)</f>
        <v>1</v>
      </c>
      <c r="T29" s="19" t="b">
        <f>IF(COUNTIFS('Form Responses 1'!$B:$B,$B29,'Form Responses 1'!$C:$C,2025,'Form Responses 1'!$D:$D,T$2)&gt;0,TRUE)</f>
        <v>1</v>
      </c>
      <c r="U29" s="19" t="b">
        <f>IF(COUNTIFS('Form Responses 1'!$B:$B,$B29,'Form Responses 1'!$C:$C,2025,'Form Responses 1'!$D:$D,U$2)&gt;0,TRUE)</f>
        <v>1</v>
      </c>
      <c r="V29" s="19" t="b">
        <f>IF(COUNTIFS('Form Responses 1'!$B:$B,$B29,'Form Responses 1'!$C:$C,2025,'Form Responses 1'!$D:$D,V$2)&gt;0,TRUE)</f>
        <v>1</v>
      </c>
      <c r="W29" s="19" t="b">
        <f>IF(COUNTIFS('Form Responses 1'!$B:$B,$B29,'Form Responses 1'!$C:$C,2025,'Form Responses 1'!$D:$D,W$2)&gt;0,TRUE)</f>
        <v>1</v>
      </c>
      <c r="X29" s="19" t="b">
        <f>IF(COUNTIFS('Form Responses 1'!$B:$B,$B29,'Form Responses 1'!$C:$C,2025,'Form Responses 1'!$D:$D,X$2)&gt;0,TRUE)</f>
        <v>1</v>
      </c>
      <c r="Y29" s="19" t="b">
        <f>IF(COUNTIFS('Form Responses 1'!$B:$B,$B29,'Form Responses 1'!$C:$C,2025,'Form Responses 1'!$D:$D,Y$2)&gt;0,TRUE)</f>
        <v>1</v>
      </c>
      <c r="Z29" s="19" t="b">
        <f>IF(COUNTIFS('Form Responses 1'!$B:$B,$B29,'Form Responses 1'!$C:$C,2025,'Form Responses 1'!$D:$D,Z$2)&gt;0,TRUE)</f>
        <v>1</v>
      </c>
      <c r="AA29" s="19" t="b">
        <f>IF(COUNTIFS('Form Responses 1'!$B:$B,$B29,'Form Responses 1'!$C:$C,2025,'Form Responses 1'!$D:$D,AA$2)&gt;0,TRUE)</f>
        <v>1</v>
      </c>
      <c r="AB29" s="19" t="b">
        <f>IF(COUNTIFS('Form Responses 1'!$B:$B,$B29,'Form Responses 1'!$C:$C,2025,'Form Responses 1'!$D:$D,AB$2)&gt;0,TRUE)</f>
        <v>1</v>
      </c>
      <c r="AC29" s="19" t="b">
        <f>IF(COUNTIFS('Form Responses 1'!$B:$B,$B29,'Form Responses 1'!$C:$C,2025,'Form Responses 1'!$D:$D,AC$2)&gt;0,TRUE)</f>
        <v>1</v>
      </c>
      <c r="AD29" s="19" t="b">
        <f>IF(COUNTIFS('Form Responses 1'!$B:$B,$B29,'Form Responses 1'!$C:$C,2025,'Form Responses 1'!$D:$D,AD$2)&gt;0,TRUE)</f>
        <v>1</v>
      </c>
      <c r="AE29" s="19" t="b">
        <f>IF(COUNTIFS('Form Responses 1'!$B:$B,$B29,'Form Responses 1'!$C:$C,2025,'Form Responses 1'!$D:$D,AE$2)&gt;0,TRUE)</f>
        <v>1</v>
      </c>
      <c r="AF29" s="19" t="b">
        <f>IF(COUNTIFS('Form Responses 1'!$B:$B,$B29,'Form Responses 1'!$C:$C,2025,'Form Responses 1'!$D:$D,AF$2)&gt;0,TRUE)</f>
        <v>1</v>
      </c>
      <c r="AG29" s="19" t="b">
        <f>IF(COUNTIFS('Form Responses 1'!$B:$B,$B29,'Form Responses 1'!$C:$C,2026,'Form Responses 1'!$D:$D,AG$2)&gt;0,TRUE)</f>
        <v>0</v>
      </c>
      <c r="AH29" s="19" t="b">
        <f>IF(COUNTIFS('Form Responses 1'!$B:$B,$B29,'Form Responses 1'!$C:$C,2026,'Form Responses 1'!$D:$D,AH$2)&gt;0,TRUE)</f>
        <v>0</v>
      </c>
      <c r="AI29" s="19" t="b">
        <f>IF(COUNTIFS('Form Responses 1'!$B:$B,$B29,'Form Responses 1'!$C:$C,2026,'Form Responses 1'!$D:$D,AI$2)&gt;0,TRUE)</f>
        <v>0</v>
      </c>
      <c r="AJ29" s="19" t="b">
        <f>IF(COUNTIFS('Form Responses 1'!$B:$B,$B29,'Form Responses 1'!$C:$C,2026,'Form Responses 1'!$D:$D,AJ$2)&gt;0,TRUE)</f>
        <v>0</v>
      </c>
      <c r="AK29" s="19" t="b">
        <f>IF(COUNTIFS('Form Responses 1'!$B:$B,$B29,'Form Responses 1'!$C:$C,2026,'Form Responses 1'!$D:$D,AK$2)&gt;0,TRUE)</f>
        <v>0</v>
      </c>
      <c r="AL29" s="19" t="b">
        <f>IF(COUNTIFS('Form Responses 1'!$B:$B,$B29,'Form Responses 1'!$C:$C,2026,'Form Responses 1'!$D:$D,AL$2)&gt;0,TRUE)</f>
        <v>0</v>
      </c>
      <c r="AM29" s="19" t="b">
        <f>IF(COUNTIFS('Form Responses 1'!$B:$B,$B29,'Form Responses 1'!$C:$C,2026,'Form Responses 1'!$D:$D,AM$2)&gt;0,TRUE)</f>
        <v>0</v>
      </c>
      <c r="AN29" s="19" t="b">
        <f>IF(COUNTIFS('Form Responses 1'!$B:$B,$B29,'Form Responses 1'!$C:$C,2026,'Form Responses 1'!$D:$D,AN$2)&gt;0,TRUE)</f>
        <v>0</v>
      </c>
      <c r="AO29" s="19" t="b">
        <f>IF(COUNTIFS('Form Responses 1'!$B:$B,$B29,'Form Responses 1'!$C:$C,2026,'Form Responses 1'!$D:$D,AO$2)&gt;0,TRUE)</f>
        <v>0</v>
      </c>
      <c r="AP29" s="19" t="b">
        <f>IF(COUNTIFS('Form Responses 1'!$B:$B,$B29,'Form Responses 1'!$C:$C,2026,'Form Responses 1'!$D:$D,AP$2)&gt;0,TRUE)</f>
        <v>0</v>
      </c>
      <c r="AQ29" s="19" t="b">
        <f>IF(COUNTIFS('Form Responses 1'!$B:$B,$B29,'Form Responses 1'!$C:$C,2026,'Form Responses 1'!$D:$D,AQ$2)&gt;0,TRUE)</f>
        <v>0</v>
      </c>
      <c r="AR29" s="19" t="b">
        <f>IF(COUNTIFS('Form Responses 1'!$B:$B,$B29,'Form Responses 1'!$C:$C,2026,'Form Responses 1'!$D:$D,AR$2)&gt;0,TRUE)</f>
        <v>0</v>
      </c>
      <c r="AS29" s="19" t="b">
        <f>IF(COUNTIFS('Form Responses 1'!$B:$B,$B29,'Form Responses 1'!$C:$C,2026,'Form Responses 1'!$D:$D,AS$2)&gt;0,TRUE)</f>
        <v>0</v>
      </c>
      <c r="AT29" s="19" t="b">
        <f>IF(COUNTIFS('Form Responses 1'!$B:$B,$B29,'Form Responses 1'!$C:$C,2026,'Form Responses 1'!$D:$D,AT$2)&gt;0,TRUE)</f>
        <v>0</v>
      </c>
      <c r="AU29" s="19" t="b">
        <f>IF(COUNTIFS('Form Responses 1'!$B:$B,$B29,'Form Responses 1'!$C:$C,2026,'Form Responses 1'!$D:$D,AU$2)&gt;0,TRUE)</f>
        <v>0</v>
      </c>
    </row>
    <row r="30" spans="1:47" ht="12.75" x14ac:dyDescent="0.2">
      <c r="A30" s="9">
        <v>28</v>
      </c>
      <c r="B30" s="10" t="s">
        <v>378</v>
      </c>
      <c r="C30" s="18" t="b">
        <f>IF(COUNTIFS('Form Responses 1'!$B:$B,$B30,'Form Responses 1'!$C:$C,2024,'Form Responses 1'!$D:$D,C$2)&gt;0,TRUE)</f>
        <v>1</v>
      </c>
      <c r="D30" s="18" t="b">
        <f>IF(COUNTIFS('Form Responses 1'!$B:$B,$B30,'Form Responses 1'!$C:$C,2024,'Form Responses 1'!$D:$D,D$2)&gt;0,TRUE)</f>
        <v>1</v>
      </c>
      <c r="E30" s="18" t="b">
        <f>IF(COUNTIFS('Form Responses 1'!$B:$B,$B30,'Form Responses 1'!$C:$C,2024,'Form Responses 1'!$D:$D,E$2)&gt;0,TRUE)</f>
        <v>1</v>
      </c>
      <c r="F30" s="18" t="b">
        <f>IF(COUNTIFS('Form Responses 1'!$B:$B,$B30,'Form Responses 1'!$C:$C,2024,'Form Responses 1'!$D:$D,F$2)&gt;0,TRUE)</f>
        <v>1</v>
      </c>
      <c r="G30" s="18" t="b">
        <f>IF(COUNTIFS('Form Responses 1'!$B:$B,$B30,'Form Responses 1'!$C:$C,2024,'Form Responses 1'!$D:$D,G$2)&gt;0,TRUE)</f>
        <v>1</v>
      </c>
      <c r="H30" s="18" t="b">
        <f>IF(COUNTIFS('Form Responses 1'!$B:$B,$B30,'Form Responses 1'!$C:$C,2024,'Form Responses 1'!$D:$D,H$2)&gt;0,TRUE)</f>
        <v>1</v>
      </c>
      <c r="I30" s="18" t="b">
        <f>IF(COUNTIFS('Form Responses 1'!$B:$B,$B30,'Form Responses 1'!$C:$C,2024,'Form Responses 1'!$D:$D,I$2)&gt;0,TRUE)</f>
        <v>1</v>
      </c>
      <c r="J30" s="18" t="b">
        <f>IF(COUNTIFS('Form Responses 1'!$B:$B,$B30,'Form Responses 1'!$C:$C,2024,'Form Responses 1'!$D:$D,J$2)&gt;0,TRUE)</f>
        <v>1</v>
      </c>
      <c r="K30" s="18" t="b">
        <f>IF(COUNTIFS('Form Responses 1'!$B:$B,$B30,'Form Responses 1'!$C:$C,2024,'Form Responses 1'!$D:$D,K$2)&gt;0,TRUE)</f>
        <v>1</v>
      </c>
      <c r="L30" s="18" t="b">
        <f>IF(COUNTIFS('Form Responses 1'!$B:$B,$B30,'Form Responses 1'!$C:$C,2024,'Form Responses 1'!$D:$D,L$2)&gt;0,TRUE)</f>
        <v>1</v>
      </c>
      <c r="M30" s="18" t="b">
        <f>IF(COUNTIFS('Form Responses 1'!$B:$B,$B30,'Form Responses 1'!$C:$C,2024,'Form Responses 1'!$D:$D,M$2)&gt;0,TRUE)</f>
        <v>1</v>
      </c>
      <c r="N30" s="18" t="b">
        <f>IF(COUNTIFS('Form Responses 1'!$B:$B,$B30,'Form Responses 1'!$C:$C,2024,'Form Responses 1'!$D:$D,N$2)&gt;0,TRUE)</f>
        <v>1</v>
      </c>
      <c r="O30" s="18" t="b">
        <f>IF(COUNTIFS('Form Responses 1'!$B:$B,$B30,'Form Responses 1'!$C:$C,2024,'Form Responses 1'!$D:$D,O$2)&gt;0,TRUE)</f>
        <v>1</v>
      </c>
      <c r="P30" s="18" t="b">
        <f>IF(COUNTIFS('Form Responses 1'!$B:$B,$B30,'Form Responses 1'!$C:$C,2024,'Form Responses 1'!$D:$D,P$2)&gt;0,TRUE)</f>
        <v>1</v>
      </c>
      <c r="Q30" s="18" t="b">
        <f>IF(COUNTIFS('Form Responses 1'!$B:$B,$B30,'Form Responses 1'!$C:$C,2025,'Form Responses 1'!$D:$D,Q$2)&gt;0,TRUE)</f>
        <v>1</v>
      </c>
      <c r="R30" s="18" t="b">
        <f>IF(COUNTIFS('Form Responses 1'!$B:$B,$B30,'Form Responses 1'!$C:$C,2025,'Form Responses 1'!$D:$D,R$2)&gt;0,TRUE)</f>
        <v>1</v>
      </c>
      <c r="S30" s="19" t="b">
        <f>IF(COUNTIFS('Form Responses 1'!$B:$B,$B30,'Form Responses 1'!$C:$C,2025,'Form Responses 1'!$D:$D,S$2)&gt;0,TRUE)</f>
        <v>1</v>
      </c>
      <c r="T30" s="19" t="b">
        <f>IF(COUNTIFS('Form Responses 1'!$B:$B,$B30,'Form Responses 1'!$C:$C,2025,'Form Responses 1'!$D:$D,T$2)&gt;0,TRUE)</f>
        <v>1</v>
      </c>
      <c r="U30" s="19" t="b">
        <f>IF(COUNTIFS('Form Responses 1'!$B:$B,$B30,'Form Responses 1'!$C:$C,2025,'Form Responses 1'!$D:$D,U$2)&gt;0,TRUE)</f>
        <v>1</v>
      </c>
      <c r="V30" s="19" t="b">
        <f>IF(COUNTIFS('Form Responses 1'!$B:$B,$B30,'Form Responses 1'!$C:$C,2025,'Form Responses 1'!$D:$D,V$2)&gt;0,TRUE)</f>
        <v>1</v>
      </c>
      <c r="W30" s="19" t="b">
        <f>IF(COUNTIFS('Form Responses 1'!$B:$B,$B30,'Form Responses 1'!$C:$C,2025,'Form Responses 1'!$D:$D,W$2)&gt;0,TRUE)</f>
        <v>1</v>
      </c>
      <c r="X30" s="19" t="b">
        <f>IF(COUNTIFS('Form Responses 1'!$B:$B,$B30,'Form Responses 1'!$C:$C,2025,'Form Responses 1'!$D:$D,X$2)&gt;0,TRUE)</f>
        <v>1</v>
      </c>
      <c r="Y30" s="19" t="b">
        <f>IF(COUNTIFS('Form Responses 1'!$B:$B,$B30,'Form Responses 1'!$C:$C,2025,'Form Responses 1'!$D:$D,Y$2)&gt;0,TRUE)</f>
        <v>1</v>
      </c>
      <c r="Z30" s="19" t="b">
        <f>IF(COUNTIFS('Form Responses 1'!$B:$B,$B30,'Form Responses 1'!$C:$C,2025,'Form Responses 1'!$D:$D,Z$2)&gt;0,TRUE)</f>
        <v>1</v>
      </c>
      <c r="AA30" s="19" t="b">
        <f>IF(COUNTIFS('Form Responses 1'!$B:$B,$B30,'Form Responses 1'!$C:$C,2025,'Form Responses 1'!$D:$D,AA$2)&gt;0,TRUE)</f>
        <v>1</v>
      </c>
      <c r="AB30" s="19" t="b">
        <f>IF(COUNTIFS('Form Responses 1'!$B:$B,$B30,'Form Responses 1'!$C:$C,2025,'Form Responses 1'!$D:$D,AB$2)&gt;0,TRUE)</f>
        <v>1</v>
      </c>
      <c r="AC30" s="19" t="b">
        <f>IF(COUNTIFS('Form Responses 1'!$B:$B,$B30,'Form Responses 1'!$C:$C,2025,'Form Responses 1'!$D:$D,AC$2)&gt;0,TRUE)</f>
        <v>1</v>
      </c>
      <c r="AD30" s="19" t="b">
        <f>IF(COUNTIFS('Form Responses 1'!$B:$B,$B30,'Form Responses 1'!$C:$C,2025,'Form Responses 1'!$D:$D,AD$2)&gt;0,TRUE)</f>
        <v>1</v>
      </c>
      <c r="AE30" s="19" t="b">
        <f>IF(COUNTIFS('Form Responses 1'!$B:$B,$B30,'Form Responses 1'!$C:$C,2025,'Form Responses 1'!$D:$D,AE$2)&gt;0,TRUE)</f>
        <v>1</v>
      </c>
      <c r="AF30" s="19" t="b">
        <f>IF(COUNTIFS('Form Responses 1'!$B:$B,$B30,'Form Responses 1'!$C:$C,2025,'Form Responses 1'!$D:$D,AF$2)&gt;0,TRUE)</f>
        <v>1</v>
      </c>
      <c r="AG30" s="19" t="b">
        <f>IF(COUNTIFS('Form Responses 1'!$B:$B,$B30,'Form Responses 1'!$C:$C,2026,'Form Responses 1'!$D:$D,AG$2)&gt;0,TRUE)</f>
        <v>0</v>
      </c>
      <c r="AH30" s="19" t="b">
        <f>IF(COUNTIFS('Form Responses 1'!$B:$B,$B30,'Form Responses 1'!$C:$C,2026,'Form Responses 1'!$D:$D,AH$2)&gt;0,TRUE)</f>
        <v>0</v>
      </c>
      <c r="AI30" s="19" t="b">
        <f>IF(COUNTIFS('Form Responses 1'!$B:$B,$B30,'Form Responses 1'!$C:$C,2026,'Form Responses 1'!$D:$D,AI$2)&gt;0,TRUE)</f>
        <v>0</v>
      </c>
      <c r="AJ30" s="19" t="b">
        <f>IF(COUNTIFS('Form Responses 1'!$B:$B,$B30,'Form Responses 1'!$C:$C,2026,'Form Responses 1'!$D:$D,AJ$2)&gt;0,TRUE)</f>
        <v>0</v>
      </c>
      <c r="AK30" s="19" t="b">
        <f>IF(COUNTIFS('Form Responses 1'!$B:$B,$B30,'Form Responses 1'!$C:$C,2026,'Form Responses 1'!$D:$D,AK$2)&gt;0,TRUE)</f>
        <v>0</v>
      </c>
      <c r="AL30" s="19" t="b">
        <f>IF(COUNTIFS('Form Responses 1'!$B:$B,$B30,'Form Responses 1'!$C:$C,2026,'Form Responses 1'!$D:$D,AL$2)&gt;0,TRUE)</f>
        <v>0</v>
      </c>
      <c r="AM30" s="19" t="b">
        <f>IF(COUNTIFS('Form Responses 1'!$B:$B,$B30,'Form Responses 1'!$C:$C,2026,'Form Responses 1'!$D:$D,AM$2)&gt;0,TRUE)</f>
        <v>0</v>
      </c>
      <c r="AN30" s="19" t="b">
        <f>IF(COUNTIFS('Form Responses 1'!$B:$B,$B30,'Form Responses 1'!$C:$C,2026,'Form Responses 1'!$D:$D,AN$2)&gt;0,TRUE)</f>
        <v>0</v>
      </c>
      <c r="AO30" s="19" t="b">
        <f>IF(COUNTIFS('Form Responses 1'!$B:$B,$B30,'Form Responses 1'!$C:$C,2026,'Form Responses 1'!$D:$D,AO$2)&gt;0,TRUE)</f>
        <v>0</v>
      </c>
      <c r="AP30" s="19" t="b">
        <f>IF(COUNTIFS('Form Responses 1'!$B:$B,$B30,'Form Responses 1'!$C:$C,2026,'Form Responses 1'!$D:$D,AP$2)&gt;0,TRUE)</f>
        <v>0</v>
      </c>
      <c r="AQ30" s="19" t="b">
        <f>IF(COUNTIFS('Form Responses 1'!$B:$B,$B30,'Form Responses 1'!$C:$C,2026,'Form Responses 1'!$D:$D,AQ$2)&gt;0,TRUE)</f>
        <v>0</v>
      </c>
      <c r="AR30" s="19" t="b">
        <f>IF(COUNTIFS('Form Responses 1'!$B:$B,$B30,'Form Responses 1'!$C:$C,2026,'Form Responses 1'!$D:$D,AR$2)&gt;0,TRUE)</f>
        <v>0</v>
      </c>
      <c r="AS30" s="19" t="b">
        <f>IF(COUNTIFS('Form Responses 1'!$B:$B,$B30,'Form Responses 1'!$C:$C,2026,'Form Responses 1'!$D:$D,AS$2)&gt;0,TRUE)</f>
        <v>0</v>
      </c>
      <c r="AT30" s="19" t="b">
        <f>IF(COUNTIFS('Form Responses 1'!$B:$B,$B30,'Form Responses 1'!$C:$C,2026,'Form Responses 1'!$D:$D,AT$2)&gt;0,TRUE)</f>
        <v>0</v>
      </c>
      <c r="AU30" s="19" t="b">
        <f>IF(COUNTIFS('Form Responses 1'!$B:$B,$B30,'Form Responses 1'!$C:$C,2026,'Form Responses 1'!$D:$D,AU$2)&gt;0,TRUE)</f>
        <v>0</v>
      </c>
    </row>
    <row r="31" spans="1:47" ht="12.75" x14ac:dyDescent="0.2">
      <c r="A31" s="11">
        <v>29</v>
      </c>
      <c r="B31" s="10" t="s">
        <v>451</v>
      </c>
      <c r="C31" s="18" t="b">
        <f>IF(COUNTIFS('Form Responses 1'!$B:$B,$B31,'Form Responses 1'!$C:$C,2024,'Form Responses 1'!$D:$D,C$2)&gt;0,TRUE)</f>
        <v>0</v>
      </c>
      <c r="D31" s="18" t="b">
        <f>IF(COUNTIFS('Form Responses 1'!$B:$B,$B31,'Form Responses 1'!$C:$C,2024,'Form Responses 1'!$D:$D,D$2)&gt;0,TRUE)</f>
        <v>1</v>
      </c>
      <c r="E31" s="18" t="b">
        <f>IF(COUNTIFS('Form Responses 1'!$B:$B,$B31,'Form Responses 1'!$C:$C,2024,'Form Responses 1'!$D:$D,E$2)&gt;0,TRUE)</f>
        <v>1</v>
      </c>
      <c r="F31" s="18" t="b">
        <f>IF(COUNTIFS('Form Responses 1'!$B:$B,$B31,'Form Responses 1'!$C:$C,2024,'Form Responses 1'!$D:$D,F$2)&gt;0,TRUE)</f>
        <v>1</v>
      </c>
      <c r="G31" s="18" t="b">
        <f>IF(COUNTIFS('Form Responses 1'!$B:$B,$B31,'Form Responses 1'!$C:$C,2024,'Form Responses 1'!$D:$D,G$2)&gt;0,TRUE)</f>
        <v>1</v>
      </c>
      <c r="H31" s="18" t="b">
        <f>IF(COUNTIFS('Form Responses 1'!$B:$B,$B31,'Form Responses 1'!$C:$C,2024,'Form Responses 1'!$D:$D,H$2)&gt;0,TRUE)</f>
        <v>1</v>
      </c>
      <c r="I31" s="18" t="b">
        <f>IF(COUNTIFS('Form Responses 1'!$B:$B,$B31,'Form Responses 1'!$C:$C,2024,'Form Responses 1'!$D:$D,I$2)&gt;0,TRUE)</f>
        <v>1</v>
      </c>
      <c r="J31" s="18" t="b">
        <f>IF(COUNTIFS('Form Responses 1'!$B:$B,$B31,'Form Responses 1'!$C:$C,2024,'Form Responses 1'!$D:$D,J$2)&gt;0,TRUE)</f>
        <v>1</v>
      </c>
      <c r="K31" s="18" t="b">
        <f>IF(COUNTIFS('Form Responses 1'!$B:$B,$B31,'Form Responses 1'!$C:$C,2024,'Form Responses 1'!$D:$D,K$2)&gt;0,TRUE)</f>
        <v>1</v>
      </c>
      <c r="L31" s="18" t="b">
        <f>IF(COUNTIFS('Form Responses 1'!$B:$B,$B31,'Form Responses 1'!$C:$C,2024,'Form Responses 1'!$D:$D,L$2)&gt;0,TRUE)</f>
        <v>1</v>
      </c>
      <c r="M31" s="18" t="b">
        <f>IF(COUNTIFS('Form Responses 1'!$B:$B,$B31,'Form Responses 1'!$C:$C,2024,'Form Responses 1'!$D:$D,M$2)&gt;0,TRUE)</f>
        <v>0</v>
      </c>
      <c r="N31" s="18" t="b">
        <f>IF(COUNTIFS('Form Responses 1'!$B:$B,$B31,'Form Responses 1'!$C:$C,2024,'Form Responses 1'!$D:$D,N$2)&gt;0,TRUE)</f>
        <v>1</v>
      </c>
      <c r="O31" s="18" t="b">
        <f>IF(COUNTIFS('Form Responses 1'!$B:$B,$B31,'Form Responses 1'!$C:$C,2024,'Form Responses 1'!$D:$D,O$2)&gt;0,TRUE)</f>
        <v>1</v>
      </c>
      <c r="P31" s="18" t="b">
        <f>IF(COUNTIFS('Form Responses 1'!$B:$B,$B31,'Form Responses 1'!$C:$C,2024,'Form Responses 1'!$D:$D,P$2)&gt;0,TRUE)</f>
        <v>0</v>
      </c>
      <c r="Q31" s="18" t="b">
        <f>IF(COUNTIFS('Form Responses 1'!$B:$B,$B31,'Form Responses 1'!$C:$C,2025,'Form Responses 1'!$D:$D,Q$2)&gt;0,TRUE)</f>
        <v>1</v>
      </c>
      <c r="R31" s="18" t="b">
        <f>IF(COUNTIFS('Form Responses 1'!$B:$B,$B31,'Form Responses 1'!$C:$C,2025,'Form Responses 1'!$D:$D,R$2)&gt;0,TRUE)</f>
        <v>1</v>
      </c>
      <c r="S31" s="19" t="b">
        <f>IF(COUNTIFS('Form Responses 1'!$B:$B,$B31,'Form Responses 1'!$C:$C,2025,'Form Responses 1'!$D:$D,S$2)&gt;0,TRUE)</f>
        <v>1</v>
      </c>
      <c r="T31" s="19" t="b">
        <f>IF(COUNTIFS('Form Responses 1'!$B:$B,$B31,'Form Responses 1'!$C:$C,2025,'Form Responses 1'!$D:$D,T$2)&gt;0,TRUE)</f>
        <v>1</v>
      </c>
      <c r="U31" s="19" t="b">
        <f>IF(COUNTIFS('Form Responses 1'!$B:$B,$B31,'Form Responses 1'!$C:$C,2025,'Form Responses 1'!$D:$D,U$2)&gt;0,TRUE)</f>
        <v>1</v>
      </c>
      <c r="V31" s="19" t="b">
        <f>IF(COUNTIFS('Form Responses 1'!$B:$B,$B31,'Form Responses 1'!$C:$C,2025,'Form Responses 1'!$D:$D,V$2)&gt;0,TRUE)</f>
        <v>1</v>
      </c>
      <c r="W31" s="19" t="b">
        <f>IF(COUNTIFS('Form Responses 1'!$B:$B,$B31,'Form Responses 1'!$C:$C,2025,'Form Responses 1'!$D:$D,W$2)&gt;0,TRUE)</f>
        <v>1</v>
      </c>
      <c r="X31" s="19" t="b">
        <f>IF(COUNTIFS('Form Responses 1'!$B:$B,$B31,'Form Responses 1'!$C:$C,2025,'Form Responses 1'!$D:$D,X$2)&gt;0,TRUE)</f>
        <v>1</v>
      </c>
      <c r="Y31" s="19" t="b">
        <f>IF(COUNTIFS('Form Responses 1'!$B:$B,$B31,'Form Responses 1'!$C:$C,2025,'Form Responses 1'!$D:$D,Y$2)&gt;0,TRUE)</f>
        <v>1</v>
      </c>
      <c r="Z31" s="19" t="b">
        <f>IF(COUNTIFS('Form Responses 1'!$B:$B,$B31,'Form Responses 1'!$C:$C,2025,'Form Responses 1'!$D:$D,Z$2)&gt;0,TRUE)</f>
        <v>1</v>
      </c>
      <c r="AA31" s="19" t="b">
        <f>IF(COUNTIFS('Form Responses 1'!$B:$B,$B31,'Form Responses 1'!$C:$C,2025,'Form Responses 1'!$D:$D,AA$2)&gt;0,TRUE)</f>
        <v>1</v>
      </c>
      <c r="AB31" s="19" t="b">
        <f>IF(COUNTIFS('Form Responses 1'!$B:$B,$B31,'Form Responses 1'!$C:$C,2025,'Form Responses 1'!$D:$D,AB$2)&gt;0,TRUE)</f>
        <v>1</v>
      </c>
      <c r="AC31" s="19" t="b">
        <f>IF(COUNTIFS('Form Responses 1'!$B:$B,$B31,'Form Responses 1'!$C:$C,2025,'Form Responses 1'!$D:$D,AC$2)&gt;0,TRUE)</f>
        <v>1</v>
      </c>
      <c r="AD31" s="19" t="b">
        <f>IF(COUNTIFS('Form Responses 1'!$B:$B,$B31,'Form Responses 1'!$C:$C,2025,'Form Responses 1'!$D:$D,AD$2)&gt;0,TRUE)</f>
        <v>1</v>
      </c>
      <c r="AE31" s="19" t="b">
        <f>IF(COUNTIFS('Form Responses 1'!$B:$B,$B31,'Form Responses 1'!$C:$C,2025,'Form Responses 1'!$D:$D,AE$2)&gt;0,TRUE)</f>
        <v>1</v>
      </c>
      <c r="AF31" s="19" t="b">
        <f>IF(COUNTIFS('Form Responses 1'!$B:$B,$B31,'Form Responses 1'!$C:$C,2025,'Form Responses 1'!$D:$D,AF$2)&gt;0,TRUE)</f>
        <v>1</v>
      </c>
      <c r="AG31" s="19" t="b">
        <f>IF(COUNTIFS('Form Responses 1'!$B:$B,$B31,'Form Responses 1'!$C:$C,2026,'Form Responses 1'!$D:$D,AG$2)&gt;0,TRUE)</f>
        <v>0</v>
      </c>
      <c r="AH31" s="19" t="b">
        <f>IF(COUNTIFS('Form Responses 1'!$B:$B,$B31,'Form Responses 1'!$C:$C,2026,'Form Responses 1'!$D:$D,AH$2)&gt;0,TRUE)</f>
        <v>0</v>
      </c>
      <c r="AI31" s="19" t="b">
        <f>IF(COUNTIFS('Form Responses 1'!$B:$B,$B31,'Form Responses 1'!$C:$C,2026,'Form Responses 1'!$D:$D,AI$2)&gt;0,TRUE)</f>
        <v>0</v>
      </c>
      <c r="AJ31" s="19" t="b">
        <f>IF(COUNTIFS('Form Responses 1'!$B:$B,$B31,'Form Responses 1'!$C:$C,2026,'Form Responses 1'!$D:$D,AJ$2)&gt;0,TRUE)</f>
        <v>0</v>
      </c>
      <c r="AK31" s="19" t="b">
        <f>IF(COUNTIFS('Form Responses 1'!$B:$B,$B31,'Form Responses 1'!$C:$C,2026,'Form Responses 1'!$D:$D,AK$2)&gt;0,TRUE)</f>
        <v>0</v>
      </c>
      <c r="AL31" s="19" t="b">
        <f>IF(COUNTIFS('Form Responses 1'!$B:$B,$B31,'Form Responses 1'!$C:$C,2026,'Form Responses 1'!$D:$D,AL$2)&gt;0,TRUE)</f>
        <v>0</v>
      </c>
      <c r="AM31" s="19" t="b">
        <f>IF(COUNTIFS('Form Responses 1'!$B:$B,$B31,'Form Responses 1'!$C:$C,2026,'Form Responses 1'!$D:$D,AM$2)&gt;0,TRUE)</f>
        <v>0</v>
      </c>
      <c r="AN31" s="19" t="b">
        <f>IF(COUNTIFS('Form Responses 1'!$B:$B,$B31,'Form Responses 1'!$C:$C,2026,'Form Responses 1'!$D:$D,AN$2)&gt;0,TRUE)</f>
        <v>0</v>
      </c>
      <c r="AO31" s="19" t="b">
        <f>IF(COUNTIFS('Form Responses 1'!$B:$B,$B31,'Form Responses 1'!$C:$C,2026,'Form Responses 1'!$D:$D,AO$2)&gt;0,TRUE)</f>
        <v>0</v>
      </c>
      <c r="AP31" s="19" t="b">
        <f>IF(COUNTIFS('Form Responses 1'!$B:$B,$B31,'Form Responses 1'!$C:$C,2026,'Form Responses 1'!$D:$D,AP$2)&gt;0,TRUE)</f>
        <v>0</v>
      </c>
      <c r="AQ31" s="19" t="b">
        <f>IF(COUNTIFS('Form Responses 1'!$B:$B,$B31,'Form Responses 1'!$C:$C,2026,'Form Responses 1'!$D:$D,AQ$2)&gt;0,TRUE)</f>
        <v>0</v>
      </c>
      <c r="AR31" s="19" t="b">
        <f>IF(COUNTIFS('Form Responses 1'!$B:$B,$B31,'Form Responses 1'!$C:$C,2026,'Form Responses 1'!$D:$D,AR$2)&gt;0,TRUE)</f>
        <v>0</v>
      </c>
      <c r="AS31" s="19" t="b">
        <f>IF(COUNTIFS('Form Responses 1'!$B:$B,$B31,'Form Responses 1'!$C:$C,2026,'Form Responses 1'!$D:$D,AS$2)&gt;0,TRUE)</f>
        <v>0</v>
      </c>
      <c r="AT31" s="19" t="b">
        <f>IF(COUNTIFS('Form Responses 1'!$B:$B,$B31,'Form Responses 1'!$C:$C,2026,'Form Responses 1'!$D:$D,AT$2)&gt;0,TRUE)</f>
        <v>0</v>
      </c>
      <c r="AU31" s="19" t="b">
        <f>IF(COUNTIFS('Form Responses 1'!$B:$B,$B31,'Form Responses 1'!$C:$C,2026,'Form Responses 1'!$D:$D,AU$2)&gt;0,TRUE)</f>
        <v>0</v>
      </c>
    </row>
    <row r="32" spans="1:47" ht="12.75" x14ac:dyDescent="0.2">
      <c r="A32" s="9">
        <v>30</v>
      </c>
      <c r="B32" s="10" t="s">
        <v>969</v>
      </c>
      <c r="C32" s="18" t="b">
        <f>IF(COUNTIFS('Form Responses 1'!$B:$B,$B32,'Form Responses 1'!$C:$C,2024,'Form Responses 1'!$D:$D,C$2)&gt;0,TRUE)</f>
        <v>1</v>
      </c>
      <c r="D32" s="18" t="b">
        <f>IF(COUNTIFS('Form Responses 1'!$B:$B,$B32,'Form Responses 1'!$C:$C,2024,'Form Responses 1'!$D:$D,D$2)&gt;0,TRUE)</f>
        <v>1</v>
      </c>
      <c r="E32" s="18" t="b">
        <f>IF(COUNTIFS('Form Responses 1'!$B:$B,$B32,'Form Responses 1'!$C:$C,2024,'Form Responses 1'!$D:$D,E$2)&gt;0,TRUE)</f>
        <v>1</v>
      </c>
      <c r="F32" s="18" t="b">
        <f>IF(COUNTIFS('Form Responses 1'!$B:$B,$B32,'Form Responses 1'!$C:$C,2024,'Form Responses 1'!$D:$D,F$2)&gt;0,TRUE)</f>
        <v>1</v>
      </c>
      <c r="G32" s="18" t="b">
        <f>IF(COUNTIFS('Form Responses 1'!$B:$B,$B32,'Form Responses 1'!$C:$C,2024,'Form Responses 1'!$D:$D,G$2)&gt;0,TRUE)</f>
        <v>1</v>
      </c>
      <c r="H32" s="18" t="b">
        <f>IF(COUNTIFS('Form Responses 1'!$B:$B,$B32,'Form Responses 1'!$C:$C,2024,'Form Responses 1'!$D:$D,H$2)&gt;0,TRUE)</f>
        <v>1</v>
      </c>
      <c r="I32" s="18" t="b">
        <f>IF(COUNTIFS('Form Responses 1'!$B:$B,$B32,'Form Responses 1'!$C:$C,2024,'Form Responses 1'!$D:$D,I$2)&gt;0,TRUE)</f>
        <v>1</v>
      </c>
      <c r="J32" s="18" t="b">
        <f>IF(COUNTIFS('Form Responses 1'!$B:$B,$B32,'Form Responses 1'!$C:$C,2024,'Form Responses 1'!$D:$D,J$2)&gt;0,TRUE)</f>
        <v>1</v>
      </c>
      <c r="K32" s="18" t="b">
        <f>IF(COUNTIFS('Form Responses 1'!$B:$B,$B32,'Form Responses 1'!$C:$C,2024,'Form Responses 1'!$D:$D,K$2)&gt;0,TRUE)</f>
        <v>1</v>
      </c>
      <c r="L32" s="18" t="b">
        <f>IF(COUNTIFS('Form Responses 1'!$B:$B,$B32,'Form Responses 1'!$C:$C,2024,'Form Responses 1'!$D:$D,L$2)&gt;0,TRUE)</f>
        <v>1</v>
      </c>
      <c r="M32" s="18" t="b">
        <f>IF(COUNTIFS('Form Responses 1'!$B:$B,$B32,'Form Responses 1'!$C:$C,2024,'Form Responses 1'!$D:$D,M$2)&gt;0,TRUE)</f>
        <v>0</v>
      </c>
      <c r="N32" s="18" t="b">
        <f>IF(COUNTIFS('Form Responses 1'!$B:$B,$B32,'Form Responses 1'!$C:$C,2024,'Form Responses 1'!$D:$D,N$2)&gt;0,TRUE)</f>
        <v>1</v>
      </c>
      <c r="O32" s="18" t="b">
        <f>IF(COUNTIFS('Form Responses 1'!$B:$B,$B32,'Form Responses 1'!$C:$C,2024,'Form Responses 1'!$D:$D,O$2)&gt;0,TRUE)</f>
        <v>1</v>
      </c>
      <c r="P32" s="18" t="b">
        <f>IF(COUNTIFS('Form Responses 1'!$B:$B,$B32,'Form Responses 1'!$C:$C,2024,'Form Responses 1'!$D:$D,P$2)&gt;0,TRUE)</f>
        <v>0</v>
      </c>
      <c r="Q32" s="18" t="b">
        <f>IF(COUNTIFS('Form Responses 1'!$B:$B,$B32,'Form Responses 1'!$C:$C,2025,'Form Responses 1'!$D:$D,Q$2)&gt;0,TRUE)</f>
        <v>1</v>
      </c>
      <c r="R32" s="18" t="b">
        <f>IF(COUNTIFS('Form Responses 1'!$B:$B,$B32,'Form Responses 1'!$C:$C,2025,'Form Responses 1'!$D:$D,R$2)&gt;0,TRUE)</f>
        <v>1</v>
      </c>
      <c r="S32" s="19" t="b">
        <f>IF(COUNTIFS('Form Responses 1'!$B:$B,$B32,'Form Responses 1'!$C:$C,2025,'Form Responses 1'!$D:$D,S$2)&gt;0,TRUE)</f>
        <v>1</v>
      </c>
      <c r="T32" s="19" t="b">
        <f>IF(COUNTIFS('Form Responses 1'!$B:$B,$B32,'Form Responses 1'!$C:$C,2025,'Form Responses 1'!$D:$D,T$2)&gt;0,TRUE)</f>
        <v>1</v>
      </c>
      <c r="U32" s="19" t="b">
        <f>IF(COUNTIFS('Form Responses 1'!$B:$B,$B32,'Form Responses 1'!$C:$C,2025,'Form Responses 1'!$D:$D,U$2)&gt;0,TRUE)</f>
        <v>1</v>
      </c>
      <c r="V32" s="19" t="b">
        <f>IF(COUNTIFS('Form Responses 1'!$B:$B,$B32,'Form Responses 1'!$C:$C,2025,'Form Responses 1'!$D:$D,V$2)&gt;0,TRUE)</f>
        <v>1</v>
      </c>
      <c r="W32" s="19" t="b">
        <f>IF(COUNTIFS('Form Responses 1'!$B:$B,$B32,'Form Responses 1'!$C:$C,2025,'Form Responses 1'!$D:$D,W$2)&gt;0,TRUE)</f>
        <v>1</v>
      </c>
      <c r="X32" s="19" t="b">
        <f>IF(COUNTIFS('Form Responses 1'!$B:$B,$B32,'Form Responses 1'!$C:$C,2025,'Form Responses 1'!$D:$D,X$2)&gt;0,TRUE)</f>
        <v>1</v>
      </c>
      <c r="Y32" s="19" t="b">
        <f>IF(COUNTIFS('Form Responses 1'!$B:$B,$B32,'Form Responses 1'!$C:$C,2025,'Form Responses 1'!$D:$D,Y$2)&gt;0,TRUE)</f>
        <v>1</v>
      </c>
      <c r="Z32" s="19" t="b">
        <f>IF(COUNTIFS('Form Responses 1'!$B:$B,$B32,'Form Responses 1'!$C:$C,2025,'Form Responses 1'!$D:$D,Z$2)&gt;0,TRUE)</f>
        <v>1</v>
      </c>
      <c r="AA32" s="19" t="b">
        <f>IF(COUNTIFS('Form Responses 1'!$B:$B,$B32,'Form Responses 1'!$C:$C,2025,'Form Responses 1'!$D:$D,AA$2)&gt;0,TRUE)</f>
        <v>1</v>
      </c>
      <c r="AB32" s="19" t="b">
        <f>IF(COUNTIFS('Form Responses 1'!$B:$B,$B32,'Form Responses 1'!$C:$C,2025,'Form Responses 1'!$D:$D,AB$2)&gt;0,TRUE)</f>
        <v>1</v>
      </c>
      <c r="AC32" s="19" t="b">
        <f>IF(COUNTIFS('Form Responses 1'!$B:$B,$B32,'Form Responses 1'!$C:$C,2025,'Form Responses 1'!$D:$D,AC$2)&gt;0,TRUE)</f>
        <v>1</v>
      </c>
      <c r="AD32" s="19" t="b">
        <f>IF(COUNTIFS('Form Responses 1'!$B:$B,$B32,'Form Responses 1'!$C:$C,2025,'Form Responses 1'!$D:$D,AD$2)&gt;0,TRUE)</f>
        <v>1</v>
      </c>
      <c r="AE32" s="19" t="b">
        <f>IF(COUNTIFS('Form Responses 1'!$B:$B,$B32,'Form Responses 1'!$C:$C,2025,'Form Responses 1'!$D:$D,AE$2)&gt;0,TRUE)</f>
        <v>1</v>
      </c>
      <c r="AF32" s="19" t="b">
        <f>IF(COUNTIFS('Form Responses 1'!$B:$B,$B32,'Form Responses 1'!$C:$C,2025,'Form Responses 1'!$D:$D,AF$2)&gt;0,TRUE)</f>
        <v>1</v>
      </c>
      <c r="AG32" s="19" t="b">
        <f>IF(COUNTIFS('Form Responses 1'!$B:$B,$B32,'Form Responses 1'!$C:$C,2026,'Form Responses 1'!$D:$D,AG$2)&gt;0,TRUE)</f>
        <v>0</v>
      </c>
      <c r="AH32" s="19" t="b">
        <f>IF(COUNTIFS('Form Responses 1'!$B:$B,$B32,'Form Responses 1'!$C:$C,2026,'Form Responses 1'!$D:$D,AH$2)&gt;0,TRUE)</f>
        <v>0</v>
      </c>
      <c r="AI32" s="19" t="b">
        <f>IF(COUNTIFS('Form Responses 1'!$B:$B,$B32,'Form Responses 1'!$C:$C,2026,'Form Responses 1'!$D:$D,AI$2)&gt;0,TRUE)</f>
        <v>0</v>
      </c>
      <c r="AJ32" s="19" t="b">
        <f>IF(COUNTIFS('Form Responses 1'!$B:$B,$B32,'Form Responses 1'!$C:$C,2026,'Form Responses 1'!$D:$D,AJ$2)&gt;0,TRUE)</f>
        <v>0</v>
      </c>
      <c r="AK32" s="19" t="b">
        <f>IF(COUNTIFS('Form Responses 1'!$B:$B,$B32,'Form Responses 1'!$C:$C,2026,'Form Responses 1'!$D:$D,AK$2)&gt;0,TRUE)</f>
        <v>0</v>
      </c>
      <c r="AL32" s="19" t="b">
        <f>IF(COUNTIFS('Form Responses 1'!$B:$B,$B32,'Form Responses 1'!$C:$C,2026,'Form Responses 1'!$D:$D,AL$2)&gt;0,TRUE)</f>
        <v>0</v>
      </c>
      <c r="AM32" s="19" t="b">
        <f>IF(COUNTIFS('Form Responses 1'!$B:$B,$B32,'Form Responses 1'!$C:$C,2026,'Form Responses 1'!$D:$D,AM$2)&gt;0,TRUE)</f>
        <v>0</v>
      </c>
      <c r="AN32" s="19" t="b">
        <f>IF(COUNTIFS('Form Responses 1'!$B:$B,$B32,'Form Responses 1'!$C:$C,2026,'Form Responses 1'!$D:$D,AN$2)&gt;0,TRUE)</f>
        <v>0</v>
      </c>
      <c r="AO32" s="19" t="b">
        <f>IF(COUNTIFS('Form Responses 1'!$B:$B,$B32,'Form Responses 1'!$C:$C,2026,'Form Responses 1'!$D:$D,AO$2)&gt;0,TRUE)</f>
        <v>0</v>
      </c>
      <c r="AP32" s="19" t="b">
        <f>IF(COUNTIFS('Form Responses 1'!$B:$B,$B32,'Form Responses 1'!$C:$C,2026,'Form Responses 1'!$D:$D,AP$2)&gt;0,TRUE)</f>
        <v>0</v>
      </c>
      <c r="AQ32" s="19" t="b">
        <f>IF(COUNTIFS('Form Responses 1'!$B:$B,$B32,'Form Responses 1'!$C:$C,2026,'Form Responses 1'!$D:$D,AQ$2)&gt;0,TRUE)</f>
        <v>0</v>
      </c>
      <c r="AR32" s="19" t="b">
        <f>IF(COUNTIFS('Form Responses 1'!$B:$B,$B32,'Form Responses 1'!$C:$C,2026,'Form Responses 1'!$D:$D,AR$2)&gt;0,TRUE)</f>
        <v>0</v>
      </c>
      <c r="AS32" s="19" t="b">
        <f>IF(COUNTIFS('Form Responses 1'!$B:$B,$B32,'Form Responses 1'!$C:$C,2026,'Form Responses 1'!$D:$D,AS$2)&gt;0,TRUE)</f>
        <v>0</v>
      </c>
      <c r="AT32" s="19" t="b">
        <f>IF(COUNTIFS('Form Responses 1'!$B:$B,$B32,'Form Responses 1'!$C:$C,2026,'Form Responses 1'!$D:$D,AT$2)&gt;0,TRUE)</f>
        <v>0</v>
      </c>
      <c r="AU32" s="19" t="b">
        <f>IF(COUNTIFS('Form Responses 1'!$B:$B,$B32,'Form Responses 1'!$C:$C,2026,'Form Responses 1'!$D:$D,AU$2)&gt;0,TRUE)</f>
        <v>0</v>
      </c>
    </row>
    <row r="33" spans="1:47" ht="12.75" x14ac:dyDescent="0.2">
      <c r="A33" s="9">
        <v>31</v>
      </c>
      <c r="B33" s="10" t="s">
        <v>1139</v>
      </c>
      <c r="C33" s="18"/>
      <c r="D33" s="18"/>
      <c r="E33" s="18"/>
      <c r="F33" s="18"/>
      <c r="G33" s="18" t="b">
        <f>IF(COUNTIFS('Form Responses 1'!$B:$B,$B33,'Form Responses 1'!$C:$C,2024,'Form Responses 1'!$D:$D,G$2)&gt;0,TRUE)</f>
        <v>1</v>
      </c>
      <c r="H33" s="18" t="b">
        <f>IF(COUNTIFS('Form Responses 1'!$B:$B,$B33,'Form Responses 1'!$C:$C,2024,'Form Responses 1'!$D:$D,H$2)&gt;0,TRUE)</f>
        <v>1</v>
      </c>
      <c r="I33" s="18" t="b">
        <f>IF(COUNTIFS('Form Responses 1'!$B:$B,$B33,'Form Responses 1'!$C:$C,2024,'Form Responses 1'!$D:$D,I$2)&gt;0,TRUE)</f>
        <v>1</v>
      </c>
      <c r="J33" s="18" t="b">
        <f>IF(COUNTIFS('Form Responses 1'!$B:$B,$B33,'Form Responses 1'!$C:$C,2024,'Form Responses 1'!$D:$D,J$2)&gt;0,TRUE)</f>
        <v>1</v>
      </c>
      <c r="K33" s="18" t="b">
        <f>IF(COUNTIFS('Form Responses 1'!$B:$B,$B33,'Form Responses 1'!$C:$C,2024,'Form Responses 1'!$D:$D,K$2)&gt;0,TRUE)</f>
        <v>1</v>
      </c>
      <c r="L33" s="18" t="b">
        <f>IF(COUNTIFS('Form Responses 1'!$B:$B,$B33,'Form Responses 1'!$C:$C,2024,'Form Responses 1'!$D:$D,L$2)&gt;0,TRUE)</f>
        <v>1</v>
      </c>
      <c r="M33" s="18" t="b">
        <f>IF(COUNTIFS('Form Responses 1'!$B:$B,$B33,'Form Responses 1'!$C:$C,2024,'Form Responses 1'!$D:$D,M$2)&gt;0,TRUE)</f>
        <v>1</v>
      </c>
      <c r="N33" s="18" t="b">
        <f>IF(COUNTIFS('Form Responses 1'!$B:$B,$B33,'Form Responses 1'!$C:$C,2024,'Form Responses 1'!$D:$D,N$2)&gt;0,TRUE)</f>
        <v>1</v>
      </c>
      <c r="O33" s="18" t="b">
        <f>IF(COUNTIFS('Form Responses 1'!$B:$B,$B33,'Form Responses 1'!$C:$C,2024,'Form Responses 1'!$D:$D,O$2)&gt;0,TRUE)</f>
        <v>1</v>
      </c>
      <c r="P33" s="18" t="b">
        <f>IF(COUNTIFS('Form Responses 1'!$B:$B,$B33,'Form Responses 1'!$C:$C,2024,'Form Responses 1'!$D:$D,P$2)&gt;0,TRUE)</f>
        <v>1</v>
      </c>
      <c r="Q33" s="18" t="b">
        <f>IF(COUNTIFS('Form Responses 1'!$B:$B,$B33,'Form Responses 1'!$C:$C,2025,'Form Responses 1'!$D:$D,Q$2)&gt;0,TRUE)</f>
        <v>1</v>
      </c>
      <c r="R33" s="18" t="b">
        <f>IF(COUNTIFS('Form Responses 1'!$B:$B,$B33,'Form Responses 1'!$C:$C,2025,'Form Responses 1'!$D:$D,R$2)&gt;0,TRUE)</f>
        <v>1</v>
      </c>
      <c r="S33" s="19" t="b">
        <f>IF(COUNTIFS('Form Responses 1'!$B:$B,$B33,'Form Responses 1'!$C:$C,2025,'Form Responses 1'!$D:$D,S$2)&gt;0,TRUE)</f>
        <v>1</v>
      </c>
      <c r="T33" s="19" t="b">
        <f>IF(COUNTIFS('Form Responses 1'!$B:$B,$B33,'Form Responses 1'!$C:$C,2025,'Form Responses 1'!$D:$D,T$2)&gt;0,TRUE)</f>
        <v>1</v>
      </c>
      <c r="U33" s="19" t="b">
        <f>IF(COUNTIFS('Form Responses 1'!$B:$B,$B33,'Form Responses 1'!$C:$C,2025,'Form Responses 1'!$D:$D,U$2)&gt;0,TRUE)</f>
        <v>1</v>
      </c>
      <c r="V33" s="19" t="b">
        <f>IF(COUNTIFS('Form Responses 1'!$B:$B,$B33,'Form Responses 1'!$C:$C,2025,'Form Responses 1'!$D:$D,V$2)&gt;0,TRUE)</f>
        <v>1</v>
      </c>
      <c r="W33" s="19" t="b">
        <f>IF(COUNTIFS('Form Responses 1'!$B:$B,$B33,'Form Responses 1'!$C:$C,2025,'Form Responses 1'!$D:$D,W$2)&gt;0,TRUE)</f>
        <v>1</v>
      </c>
      <c r="X33" s="19" t="b">
        <f>IF(COUNTIFS('Form Responses 1'!$B:$B,$B33,'Form Responses 1'!$C:$C,2025,'Form Responses 1'!$D:$D,X$2)&gt;0,TRUE)</f>
        <v>1</v>
      </c>
      <c r="Y33" s="19" t="b">
        <f>IF(COUNTIFS('Form Responses 1'!$B:$B,$B33,'Form Responses 1'!$C:$C,2025,'Form Responses 1'!$D:$D,Y$2)&gt;0,TRUE)</f>
        <v>1</v>
      </c>
      <c r="Z33" s="19" t="b">
        <f>IF(COUNTIFS('Form Responses 1'!$B:$B,$B33,'Form Responses 1'!$C:$C,2025,'Form Responses 1'!$D:$D,Z$2)&gt;0,TRUE)</f>
        <v>1</v>
      </c>
      <c r="AA33" s="19" t="b">
        <f>IF(COUNTIFS('Form Responses 1'!$B:$B,$B33,'Form Responses 1'!$C:$C,2025,'Form Responses 1'!$D:$D,AA$2)&gt;0,TRUE)</f>
        <v>1</v>
      </c>
      <c r="AB33" s="19" t="b">
        <f>IF(COUNTIFS('Form Responses 1'!$B:$B,$B33,'Form Responses 1'!$C:$C,2025,'Form Responses 1'!$D:$D,AB$2)&gt;0,TRUE)</f>
        <v>1</v>
      </c>
      <c r="AC33" s="19" t="b">
        <f>IF(COUNTIFS('Form Responses 1'!$B:$B,$B33,'Form Responses 1'!$C:$C,2025,'Form Responses 1'!$D:$D,AC$2)&gt;0,TRUE)</f>
        <v>1</v>
      </c>
      <c r="AD33" s="19" t="b">
        <f>IF(COUNTIFS('Form Responses 1'!$B:$B,$B33,'Form Responses 1'!$C:$C,2025,'Form Responses 1'!$D:$D,AD$2)&gt;0,TRUE)</f>
        <v>1</v>
      </c>
      <c r="AE33" s="19" t="b">
        <f>IF(COUNTIFS('Form Responses 1'!$B:$B,$B33,'Form Responses 1'!$C:$C,2025,'Form Responses 1'!$D:$D,AE$2)&gt;0,TRUE)</f>
        <v>1</v>
      </c>
      <c r="AF33" s="19" t="b">
        <f>IF(COUNTIFS('Form Responses 1'!$B:$B,$B33,'Form Responses 1'!$C:$C,2025,'Form Responses 1'!$D:$D,AF$2)&gt;0,TRUE)</f>
        <v>1</v>
      </c>
      <c r="AG33" s="19" t="b">
        <f>IF(COUNTIFS('Form Responses 1'!$B:$B,$B33,'Form Responses 1'!$C:$C,2026,'Form Responses 1'!$D:$D,AG$2)&gt;0,TRUE)</f>
        <v>0</v>
      </c>
      <c r="AH33" s="19" t="b">
        <f>IF(COUNTIFS('Form Responses 1'!$B:$B,$B33,'Form Responses 1'!$C:$C,2026,'Form Responses 1'!$D:$D,AH$2)&gt;0,TRUE)</f>
        <v>0</v>
      </c>
      <c r="AI33" s="19" t="b">
        <f>IF(COUNTIFS('Form Responses 1'!$B:$B,$B33,'Form Responses 1'!$C:$C,2026,'Form Responses 1'!$D:$D,AI$2)&gt;0,TRUE)</f>
        <v>0</v>
      </c>
      <c r="AJ33" s="19" t="b">
        <f>IF(COUNTIFS('Form Responses 1'!$B:$B,$B33,'Form Responses 1'!$C:$C,2026,'Form Responses 1'!$D:$D,AJ$2)&gt;0,TRUE)</f>
        <v>0</v>
      </c>
      <c r="AK33" s="19" t="b">
        <f>IF(COUNTIFS('Form Responses 1'!$B:$B,$B33,'Form Responses 1'!$C:$C,2026,'Form Responses 1'!$D:$D,AK$2)&gt;0,TRUE)</f>
        <v>0</v>
      </c>
      <c r="AL33" s="19" t="b">
        <f>IF(COUNTIFS('Form Responses 1'!$B:$B,$B33,'Form Responses 1'!$C:$C,2026,'Form Responses 1'!$D:$D,AL$2)&gt;0,TRUE)</f>
        <v>0</v>
      </c>
      <c r="AM33" s="19" t="b">
        <f>IF(COUNTIFS('Form Responses 1'!$B:$B,$B33,'Form Responses 1'!$C:$C,2026,'Form Responses 1'!$D:$D,AM$2)&gt;0,TRUE)</f>
        <v>0</v>
      </c>
      <c r="AN33" s="19" t="b">
        <f>IF(COUNTIFS('Form Responses 1'!$B:$B,$B33,'Form Responses 1'!$C:$C,2026,'Form Responses 1'!$D:$D,AN$2)&gt;0,TRUE)</f>
        <v>0</v>
      </c>
      <c r="AO33" s="19" t="b">
        <f>IF(COUNTIFS('Form Responses 1'!$B:$B,$B33,'Form Responses 1'!$C:$C,2026,'Form Responses 1'!$D:$D,AO$2)&gt;0,TRUE)</f>
        <v>0</v>
      </c>
      <c r="AP33" s="19" t="b">
        <f>IF(COUNTIFS('Form Responses 1'!$B:$B,$B33,'Form Responses 1'!$C:$C,2026,'Form Responses 1'!$D:$D,AP$2)&gt;0,TRUE)</f>
        <v>0</v>
      </c>
      <c r="AQ33" s="19" t="b">
        <f>IF(COUNTIFS('Form Responses 1'!$B:$B,$B33,'Form Responses 1'!$C:$C,2026,'Form Responses 1'!$D:$D,AQ$2)&gt;0,TRUE)</f>
        <v>0</v>
      </c>
      <c r="AR33" s="19" t="b">
        <f>IF(COUNTIFS('Form Responses 1'!$B:$B,$B33,'Form Responses 1'!$C:$C,2026,'Form Responses 1'!$D:$D,AR$2)&gt;0,TRUE)</f>
        <v>0</v>
      </c>
      <c r="AS33" s="19" t="b">
        <f>IF(COUNTIFS('Form Responses 1'!$B:$B,$B33,'Form Responses 1'!$C:$C,2026,'Form Responses 1'!$D:$D,AS$2)&gt;0,TRUE)</f>
        <v>0</v>
      </c>
      <c r="AT33" s="19" t="b">
        <f>IF(COUNTIFS('Form Responses 1'!$B:$B,$B33,'Form Responses 1'!$C:$C,2026,'Form Responses 1'!$D:$D,AT$2)&gt;0,TRUE)</f>
        <v>0</v>
      </c>
      <c r="AU33" s="19" t="b">
        <f>IF(COUNTIFS('Form Responses 1'!$B:$B,$B33,'Form Responses 1'!$C:$C,2026,'Form Responses 1'!$D:$D,AU$2)&gt;0,TRUE)</f>
        <v>0</v>
      </c>
    </row>
    <row r="34" spans="1:47" ht="12.75" x14ac:dyDescent="0.2">
      <c r="A34" s="11">
        <v>32</v>
      </c>
      <c r="B34" s="10" t="s">
        <v>2865</v>
      </c>
      <c r="C34" s="18"/>
      <c r="D34" s="18" t="b">
        <f>IF(COUNTIFS('Form Responses 1'!$B:$B,$B34,'Form Responses 1'!$C:$C,2024,'Form Responses 1'!$D:$D,D$2)&gt;0,TRUE)</f>
        <v>0</v>
      </c>
      <c r="E34" s="18" t="b">
        <f>IF(COUNTIFS('Form Responses 1'!$B:$B,$B34,'Form Responses 1'!$C:$C,2024,'Form Responses 1'!$D:$D,E$2)&gt;0,TRUE)</f>
        <v>0</v>
      </c>
      <c r="F34" s="18" t="b">
        <f>IF(COUNTIFS('Form Responses 1'!$B:$B,$B34,'Form Responses 1'!$C:$C,2024,'Form Responses 1'!$D:$D,F$2)&gt;0,TRUE)</f>
        <v>0</v>
      </c>
      <c r="G34" s="18" t="b">
        <f>IF(COUNTIFS('Form Responses 1'!$B:$B,$B34,'Form Responses 1'!$C:$C,2024,'Form Responses 1'!$D:$D,G$2)&gt;0,TRUE)</f>
        <v>0</v>
      </c>
      <c r="H34" s="18" t="b">
        <f>IF(COUNTIFS('Form Responses 1'!$B:$B,$B34,'Form Responses 1'!$C:$C,2024,'Form Responses 1'!$D:$D,H$2)&gt;0,TRUE)</f>
        <v>0</v>
      </c>
      <c r="I34" s="18" t="b">
        <f>IF(COUNTIFS('Form Responses 1'!$B:$B,$B34,'Form Responses 1'!$C:$C,2024,'Form Responses 1'!$D:$D,I$2)&gt;0,TRUE)</f>
        <v>0</v>
      </c>
      <c r="J34" s="18" t="b">
        <f>IF(COUNTIFS('Form Responses 1'!$B:$B,$B34,'Form Responses 1'!$C:$C,2024,'Form Responses 1'!$D:$D,J$2)&gt;0,TRUE)</f>
        <v>0</v>
      </c>
      <c r="K34" s="18" t="b">
        <f>IF(COUNTIFS('Form Responses 1'!$B:$B,$B34,'Form Responses 1'!$C:$C,2024,'Form Responses 1'!$D:$D,K$2)&gt;0,TRUE)</f>
        <v>0</v>
      </c>
      <c r="L34" s="18" t="b">
        <f>IF(COUNTIFS('Form Responses 1'!$B:$B,$B34,'Form Responses 1'!$C:$C,2024,'Form Responses 1'!$D:$D,L$2)&gt;0,TRUE)</f>
        <v>0</v>
      </c>
      <c r="M34" s="18" t="b">
        <f>IF(COUNTIFS('Form Responses 1'!$B:$B,$B34,'Form Responses 1'!$C:$C,2024,'Form Responses 1'!$D:$D,M$2)&gt;0,TRUE)</f>
        <v>0</v>
      </c>
      <c r="N34" s="18" t="b">
        <f>IF(COUNTIFS('Form Responses 1'!$B:$B,$B34,'Form Responses 1'!$C:$C,2024,'Form Responses 1'!$D:$D,N$2)&gt;0,TRUE)</f>
        <v>0</v>
      </c>
      <c r="O34" s="18" t="b">
        <f>IF(COUNTIFS('Form Responses 1'!$B:$B,$B34,'Form Responses 1'!$C:$C,2024,'Form Responses 1'!$D:$D,O$2)&gt;0,TRUE)</f>
        <v>1</v>
      </c>
      <c r="P34" s="18" t="b">
        <f>IF(COUNTIFS('Form Responses 1'!$B:$B,$B34,'Form Responses 1'!$C:$C,2024,'Form Responses 1'!$D:$D,P$2)&gt;0,TRUE)</f>
        <v>1</v>
      </c>
      <c r="Q34" s="18" t="b">
        <f>IF(COUNTIFS('Form Responses 1'!$B:$B,$B34,'Form Responses 1'!$C:$C,2025,'Form Responses 1'!$D:$D,Q$2)&gt;0,TRUE)</f>
        <v>1</v>
      </c>
      <c r="R34" s="18" t="b">
        <f>IF(COUNTIFS('Form Responses 1'!$B:$B,$B34,'Form Responses 1'!$C:$C,2025,'Form Responses 1'!$D:$D,R$2)&gt;0,TRUE)</f>
        <v>1</v>
      </c>
      <c r="S34" s="19" t="b">
        <f>IF(COUNTIFS('Form Responses 1'!$B:$B,$B34,'Form Responses 1'!$C:$C,2025,'Form Responses 1'!$D:$D,S$2)&gt;0,TRUE)</f>
        <v>1</v>
      </c>
      <c r="T34" s="19" t="b">
        <f>IF(COUNTIFS('Form Responses 1'!$B:$B,$B34,'Form Responses 1'!$C:$C,2025,'Form Responses 1'!$D:$D,T$2)&gt;0,TRUE)</f>
        <v>1</v>
      </c>
      <c r="U34" s="19" t="b">
        <f>IF(COUNTIFS('Form Responses 1'!$B:$B,$B34,'Form Responses 1'!$C:$C,2025,'Form Responses 1'!$D:$D,U$2)&gt;0,TRUE)</f>
        <v>1</v>
      </c>
      <c r="V34" s="19" t="b">
        <f>IF(COUNTIFS('Form Responses 1'!$B:$B,$B34,'Form Responses 1'!$C:$C,2025,'Form Responses 1'!$D:$D,V$2)&gt;0,TRUE)</f>
        <v>1</v>
      </c>
      <c r="W34" s="19" t="b">
        <f>IF(COUNTIFS('Form Responses 1'!$B:$B,$B34,'Form Responses 1'!$C:$C,2025,'Form Responses 1'!$D:$D,W$2)&gt;0,TRUE)</f>
        <v>1</v>
      </c>
      <c r="X34" s="19" t="b">
        <f>IF(COUNTIFS('Form Responses 1'!$B:$B,$B34,'Form Responses 1'!$C:$C,2025,'Form Responses 1'!$D:$D,X$2)&gt;0,TRUE)</f>
        <v>1</v>
      </c>
      <c r="Y34" s="19" t="b">
        <f>IF(COUNTIFS('Form Responses 1'!$B:$B,$B34,'Form Responses 1'!$C:$C,2025,'Form Responses 1'!$D:$D,Y$2)&gt;0,TRUE)</f>
        <v>1</v>
      </c>
      <c r="Z34" s="19" t="b">
        <f>IF(COUNTIFS('Form Responses 1'!$B:$B,$B34,'Form Responses 1'!$C:$C,2025,'Form Responses 1'!$D:$D,Z$2)&gt;0,TRUE)</f>
        <v>1</v>
      </c>
      <c r="AA34" s="19" t="b">
        <f>IF(COUNTIFS('Form Responses 1'!$B:$B,$B34,'Form Responses 1'!$C:$C,2025,'Form Responses 1'!$D:$D,AA$2)&gt;0,TRUE)</f>
        <v>1</v>
      </c>
      <c r="AB34" s="19" t="b">
        <f>IF(COUNTIFS('Form Responses 1'!$B:$B,$B34,'Form Responses 1'!$C:$C,2025,'Form Responses 1'!$D:$D,AB$2)&gt;0,TRUE)</f>
        <v>1</v>
      </c>
      <c r="AC34" s="19" t="b">
        <f>IF(COUNTIFS('Form Responses 1'!$B:$B,$B34,'Form Responses 1'!$C:$C,2025,'Form Responses 1'!$D:$D,AC$2)&gt;0,TRUE)</f>
        <v>1</v>
      </c>
      <c r="AD34" s="19" t="b">
        <f>IF(COUNTIFS('Form Responses 1'!$B:$B,$B34,'Form Responses 1'!$C:$C,2025,'Form Responses 1'!$D:$D,AD$2)&gt;0,TRUE)</f>
        <v>1</v>
      </c>
      <c r="AE34" s="19" t="b">
        <f>IF(COUNTIFS('Form Responses 1'!$B:$B,$B34,'Form Responses 1'!$C:$C,2025,'Form Responses 1'!$D:$D,AE$2)&gt;0,TRUE)</f>
        <v>1</v>
      </c>
      <c r="AF34" s="19" t="b">
        <f>IF(COUNTIFS('Form Responses 1'!$B:$B,$B34,'Form Responses 1'!$C:$C,2025,'Form Responses 1'!$D:$D,AF$2)&gt;0,TRUE)</f>
        <v>1</v>
      </c>
      <c r="AG34" s="19" t="b">
        <f>IF(COUNTIFS('Form Responses 1'!$B:$B,$B34,'Form Responses 1'!$C:$C,2026,'Form Responses 1'!$D:$D,AG$2)&gt;0,TRUE)</f>
        <v>0</v>
      </c>
      <c r="AH34" s="19" t="b">
        <f>IF(COUNTIFS('Form Responses 1'!$B:$B,$B34,'Form Responses 1'!$C:$C,2026,'Form Responses 1'!$D:$D,AH$2)&gt;0,TRUE)</f>
        <v>0</v>
      </c>
      <c r="AI34" s="19" t="b">
        <f>IF(COUNTIFS('Form Responses 1'!$B:$B,$B34,'Form Responses 1'!$C:$C,2026,'Form Responses 1'!$D:$D,AI$2)&gt;0,TRUE)</f>
        <v>0</v>
      </c>
      <c r="AJ34" s="19" t="b">
        <f>IF(COUNTIFS('Form Responses 1'!$B:$B,$B34,'Form Responses 1'!$C:$C,2026,'Form Responses 1'!$D:$D,AJ$2)&gt;0,TRUE)</f>
        <v>0</v>
      </c>
      <c r="AK34" s="19" t="b">
        <f>IF(COUNTIFS('Form Responses 1'!$B:$B,$B34,'Form Responses 1'!$C:$C,2026,'Form Responses 1'!$D:$D,AK$2)&gt;0,TRUE)</f>
        <v>0</v>
      </c>
      <c r="AL34" s="19" t="b">
        <f>IF(COUNTIFS('Form Responses 1'!$B:$B,$B34,'Form Responses 1'!$C:$C,2026,'Form Responses 1'!$D:$D,AL$2)&gt;0,TRUE)</f>
        <v>0</v>
      </c>
      <c r="AM34" s="19" t="b">
        <f>IF(COUNTIFS('Form Responses 1'!$B:$B,$B34,'Form Responses 1'!$C:$C,2026,'Form Responses 1'!$D:$D,AM$2)&gt;0,TRUE)</f>
        <v>0</v>
      </c>
      <c r="AN34" s="19" t="b">
        <f>IF(COUNTIFS('Form Responses 1'!$B:$B,$B34,'Form Responses 1'!$C:$C,2026,'Form Responses 1'!$D:$D,AN$2)&gt;0,TRUE)</f>
        <v>0</v>
      </c>
      <c r="AO34" s="19" t="b">
        <f>IF(COUNTIFS('Form Responses 1'!$B:$B,$B34,'Form Responses 1'!$C:$C,2026,'Form Responses 1'!$D:$D,AO$2)&gt;0,TRUE)</f>
        <v>0</v>
      </c>
      <c r="AP34" s="19" t="b">
        <f>IF(COUNTIFS('Form Responses 1'!$B:$B,$B34,'Form Responses 1'!$C:$C,2026,'Form Responses 1'!$D:$D,AP$2)&gt;0,TRUE)</f>
        <v>0</v>
      </c>
      <c r="AQ34" s="19" t="b">
        <f>IF(COUNTIFS('Form Responses 1'!$B:$B,$B34,'Form Responses 1'!$C:$C,2026,'Form Responses 1'!$D:$D,AQ$2)&gt;0,TRUE)</f>
        <v>0</v>
      </c>
      <c r="AR34" s="19" t="b">
        <f>IF(COUNTIFS('Form Responses 1'!$B:$B,$B34,'Form Responses 1'!$C:$C,2026,'Form Responses 1'!$D:$D,AR$2)&gt;0,TRUE)</f>
        <v>0</v>
      </c>
      <c r="AS34" s="19" t="b">
        <f>IF(COUNTIFS('Form Responses 1'!$B:$B,$B34,'Form Responses 1'!$C:$C,2026,'Form Responses 1'!$D:$D,AS$2)&gt;0,TRUE)</f>
        <v>0</v>
      </c>
      <c r="AT34" s="19" t="b">
        <f>IF(COUNTIFS('Form Responses 1'!$B:$B,$B34,'Form Responses 1'!$C:$C,2026,'Form Responses 1'!$D:$D,AT$2)&gt;0,TRUE)</f>
        <v>0</v>
      </c>
      <c r="AU34" s="19" t="b">
        <f>IF(COUNTIFS('Form Responses 1'!$B:$B,$B34,'Form Responses 1'!$C:$C,2026,'Form Responses 1'!$D:$D,AU$2)&gt;0,TRUE)</f>
        <v>0</v>
      </c>
    </row>
    <row r="35" spans="1:47" ht="12.75" x14ac:dyDescent="0.2">
      <c r="A35" s="9">
        <v>33</v>
      </c>
      <c r="B35" s="10" t="s">
        <v>1873</v>
      </c>
      <c r="C35" s="18"/>
      <c r="D35" s="18"/>
      <c r="E35" s="18"/>
      <c r="F35" s="18"/>
      <c r="G35" s="18"/>
      <c r="H35" s="18"/>
      <c r="I35" s="18"/>
      <c r="J35" s="18"/>
      <c r="K35" s="18"/>
      <c r="L35" s="18" t="b">
        <f>IF(COUNTIFS('Form Responses 1'!$B:$B,$B35,'Form Responses 1'!$C:$C,2024,'Form Responses 1'!$D:$D,L$2)&gt;0,TRUE)</f>
        <v>1</v>
      </c>
      <c r="M35" s="18" t="b">
        <f>IF(COUNTIFS('Form Responses 1'!$B:$B,$B35,'Form Responses 1'!$C:$C,2024,'Form Responses 1'!$D:$D,M$2)&gt;0,TRUE)</f>
        <v>1</v>
      </c>
      <c r="N35" s="18" t="b">
        <f>IF(COUNTIFS('Form Responses 1'!$B:$B,$B35,'Form Responses 1'!$C:$C,2024,'Form Responses 1'!$D:$D,N$2)&gt;0,TRUE)</f>
        <v>0</v>
      </c>
      <c r="O35" s="18" t="b">
        <f>IF(COUNTIFS('Form Responses 1'!$B:$B,$B35,'Form Responses 1'!$C:$C,2024,'Form Responses 1'!$D:$D,O$2)&gt;0,TRUE)</f>
        <v>1</v>
      </c>
      <c r="P35" s="18" t="b">
        <f>IF(COUNTIFS('Form Responses 1'!$B:$B,$B35,'Form Responses 1'!$C:$C,2024,'Form Responses 1'!$D:$D,P$2)&gt;0,TRUE)</f>
        <v>1</v>
      </c>
      <c r="Q35" s="18" t="b">
        <f>IF(COUNTIFS('Form Responses 1'!$B:$B,$B35,'Form Responses 1'!$C:$C,2025,'Form Responses 1'!$D:$D,Q$2)&gt;0,TRUE)</f>
        <v>1</v>
      </c>
      <c r="R35" s="18" t="b">
        <f>IF(COUNTIFS('Form Responses 1'!$B:$B,$B35,'Form Responses 1'!$C:$C,2025,'Form Responses 1'!$D:$D,R$2)&gt;0,TRUE)</f>
        <v>1</v>
      </c>
      <c r="S35" s="19" t="b">
        <f>IF(COUNTIFS('Form Responses 1'!$B:$B,$B35,'Form Responses 1'!$C:$C,2025,'Form Responses 1'!$D:$D,S$2)&gt;0,TRUE)</f>
        <v>1</v>
      </c>
      <c r="T35" s="19" t="b">
        <f>IF(COUNTIFS('Form Responses 1'!$B:$B,$B35,'Form Responses 1'!$C:$C,2025,'Form Responses 1'!$D:$D,T$2)&gt;0,TRUE)</f>
        <v>1</v>
      </c>
      <c r="U35" s="19" t="b">
        <f>IF(COUNTIFS('Form Responses 1'!$B:$B,$B35,'Form Responses 1'!$C:$C,2025,'Form Responses 1'!$D:$D,U$2)&gt;0,TRUE)</f>
        <v>1</v>
      </c>
      <c r="V35" s="19" t="b">
        <f>IF(COUNTIFS('Form Responses 1'!$B:$B,$B35,'Form Responses 1'!$C:$C,2025,'Form Responses 1'!$D:$D,V$2)&gt;0,TRUE)</f>
        <v>1</v>
      </c>
      <c r="W35" s="19" t="b">
        <f>IF(COUNTIFS('Form Responses 1'!$B:$B,$B35,'Form Responses 1'!$C:$C,2025,'Form Responses 1'!$D:$D,W$2)&gt;0,TRUE)</f>
        <v>1</v>
      </c>
      <c r="X35" s="19" t="b">
        <f>IF(COUNTIFS('Form Responses 1'!$B:$B,$B35,'Form Responses 1'!$C:$C,2025,'Form Responses 1'!$D:$D,X$2)&gt;0,TRUE)</f>
        <v>1</v>
      </c>
      <c r="Y35" s="19" t="b">
        <f>IF(COUNTIFS('Form Responses 1'!$B:$B,$B35,'Form Responses 1'!$C:$C,2025,'Form Responses 1'!$D:$D,Y$2)&gt;0,TRUE)</f>
        <v>1</v>
      </c>
      <c r="Z35" s="19" t="b">
        <f>IF(COUNTIFS('Form Responses 1'!$B:$B,$B35,'Form Responses 1'!$C:$C,2025,'Form Responses 1'!$D:$D,Z$2)&gt;0,TRUE)</f>
        <v>1</v>
      </c>
      <c r="AA35" s="19" t="b">
        <f>IF(COUNTIFS('Form Responses 1'!$B:$B,$B35,'Form Responses 1'!$C:$C,2025,'Form Responses 1'!$D:$D,AA$2)&gt;0,TRUE)</f>
        <v>1</v>
      </c>
      <c r="AB35" s="19" t="b">
        <f>IF(COUNTIFS('Form Responses 1'!$B:$B,$B35,'Form Responses 1'!$C:$C,2025,'Form Responses 1'!$D:$D,AB$2)&gt;0,TRUE)</f>
        <v>1</v>
      </c>
      <c r="AC35" s="19" t="b">
        <f>IF(COUNTIFS('Form Responses 1'!$B:$B,$B35,'Form Responses 1'!$C:$C,2025,'Form Responses 1'!$D:$D,AC$2)&gt;0,TRUE)</f>
        <v>1</v>
      </c>
      <c r="AD35" s="19" t="b">
        <f>IF(COUNTIFS('Form Responses 1'!$B:$B,$B35,'Form Responses 1'!$C:$C,2025,'Form Responses 1'!$D:$D,AD$2)&gt;0,TRUE)</f>
        <v>1</v>
      </c>
      <c r="AE35" s="19" t="b">
        <f>IF(COUNTIFS('Form Responses 1'!$B:$B,$B35,'Form Responses 1'!$C:$C,2025,'Form Responses 1'!$D:$D,AE$2)&gt;0,TRUE)</f>
        <v>1</v>
      </c>
      <c r="AF35" s="19" t="b">
        <f>IF(COUNTIFS('Form Responses 1'!$B:$B,$B35,'Form Responses 1'!$C:$C,2025,'Form Responses 1'!$D:$D,AF$2)&gt;0,TRUE)</f>
        <v>1</v>
      </c>
      <c r="AG35" s="19" t="b">
        <f>IF(COUNTIFS('Form Responses 1'!$B:$B,$B35,'Form Responses 1'!$C:$C,2026,'Form Responses 1'!$D:$D,AG$2)&gt;0,TRUE)</f>
        <v>0</v>
      </c>
      <c r="AH35" s="19" t="b">
        <f>IF(COUNTIFS('Form Responses 1'!$B:$B,$B35,'Form Responses 1'!$C:$C,2026,'Form Responses 1'!$D:$D,AH$2)&gt;0,TRUE)</f>
        <v>0</v>
      </c>
      <c r="AI35" s="19" t="b">
        <f>IF(COUNTIFS('Form Responses 1'!$B:$B,$B35,'Form Responses 1'!$C:$C,2026,'Form Responses 1'!$D:$D,AI$2)&gt;0,TRUE)</f>
        <v>0</v>
      </c>
      <c r="AJ35" s="19" t="b">
        <f>IF(COUNTIFS('Form Responses 1'!$B:$B,$B35,'Form Responses 1'!$C:$C,2026,'Form Responses 1'!$D:$D,AJ$2)&gt;0,TRUE)</f>
        <v>0</v>
      </c>
      <c r="AK35" s="19" t="b">
        <f>IF(COUNTIFS('Form Responses 1'!$B:$B,$B35,'Form Responses 1'!$C:$C,2026,'Form Responses 1'!$D:$D,AK$2)&gt;0,TRUE)</f>
        <v>0</v>
      </c>
      <c r="AL35" s="19" t="b">
        <f>IF(COUNTIFS('Form Responses 1'!$B:$B,$B35,'Form Responses 1'!$C:$C,2026,'Form Responses 1'!$D:$D,AL$2)&gt;0,TRUE)</f>
        <v>0</v>
      </c>
      <c r="AM35" s="19" t="b">
        <f>IF(COUNTIFS('Form Responses 1'!$B:$B,$B35,'Form Responses 1'!$C:$C,2026,'Form Responses 1'!$D:$D,AM$2)&gt;0,TRUE)</f>
        <v>0</v>
      </c>
      <c r="AN35" s="19" t="b">
        <f>IF(COUNTIFS('Form Responses 1'!$B:$B,$B35,'Form Responses 1'!$C:$C,2026,'Form Responses 1'!$D:$D,AN$2)&gt;0,TRUE)</f>
        <v>0</v>
      </c>
      <c r="AO35" s="19" t="b">
        <f>IF(COUNTIFS('Form Responses 1'!$B:$B,$B35,'Form Responses 1'!$C:$C,2026,'Form Responses 1'!$D:$D,AO$2)&gt;0,TRUE)</f>
        <v>0</v>
      </c>
      <c r="AP35" s="19" t="b">
        <f>IF(COUNTIFS('Form Responses 1'!$B:$B,$B35,'Form Responses 1'!$C:$C,2026,'Form Responses 1'!$D:$D,AP$2)&gt;0,TRUE)</f>
        <v>0</v>
      </c>
      <c r="AQ35" s="19" t="b">
        <f>IF(COUNTIFS('Form Responses 1'!$B:$B,$B35,'Form Responses 1'!$C:$C,2026,'Form Responses 1'!$D:$D,AQ$2)&gt;0,TRUE)</f>
        <v>0</v>
      </c>
      <c r="AR35" s="19" t="b">
        <f>IF(COUNTIFS('Form Responses 1'!$B:$B,$B35,'Form Responses 1'!$C:$C,2026,'Form Responses 1'!$D:$D,AR$2)&gt;0,TRUE)</f>
        <v>0</v>
      </c>
      <c r="AS35" s="19" t="b">
        <f>IF(COUNTIFS('Form Responses 1'!$B:$B,$B35,'Form Responses 1'!$C:$C,2026,'Form Responses 1'!$D:$D,AS$2)&gt;0,TRUE)</f>
        <v>0</v>
      </c>
      <c r="AT35" s="19" t="b">
        <f>IF(COUNTIFS('Form Responses 1'!$B:$B,$B35,'Form Responses 1'!$C:$C,2026,'Form Responses 1'!$D:$D,AT$2)&gt;0,TRUE)</f>
        <v>0</v>
      </c>
      <c r="AU35" s="19" t="b">
        <f>IF(COUNTIFS('Form Responses 1'!$B:$B,$B35,'Form Responses 1'!$C:$C,2026,'Form Responses 1'!$D:$D,AU$2)&gt;0,TRUE)</f>
        <v>0</v>
      </c>
    </row>
    <row r="36" spans="1:47" ht="12.75" x14ac:dyDescent="0.2">
      <c r="A36" s="11">
        <v>34</v>
      </c>
      <c r="B36" s="10" t="s">
        <v>4140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11"/>
      <c r="Q36" s="18" t="b">
        <f>IF(COUNTIFS('Form Responses 1'!$B:$B,$B36,'Form Responses 1'!$C:$C,2025,'Form Responses 1'!$D:$D,Q$2)&gt;0,TRUE)</f>
        <v>0</v>
      </c>
      <c r="R36" s="18" t="b">
        <f>IF(COUNTIFS('Form Responses 1'!$B:$B,$B36,'Form Responses 1'!$C:$C,2025,'Form Responses 1'!$D:$D,R$2)&gt;0,TRUE)</f>
        <v>1</v>
      </c>
      <c r="S36" s="19" t="b">
        <f>IF(COUNTIFS('Form Responses 1'!$B:$B,$B36,'Form Responses 1'!$C:$C,2025,'Form Responses 1'!$D:$D,S$2)&gt;0,TRUE)</f>
        <v>0</v>
      </c>
      <c r="T36" s="19" t="b">
        <f>IF(COUNTIFS('Form Responses 1'!$B:$B,$B36,'Form Responses 1'!$C:$C,2025,'Form Responses 1'!$D:$D,T$2)&gt;0,TRUE)</f>
        <v>0</v>
      </c>
      <c r="U36" s="19" t="b">
        <f>IF(COUNTIFS('Form Responses 1'!$B:$B,$B36,'Form Responses 1'!$C:$C,2025,'Form Responses 1'!$D:$D,U$2)&gt;0,TRUE)</f>
        <v>0</v>
      </c>
      <c r="V36" s="19" t="b">
        <f>IF(COUNTIFS('Form Responses 1'!$B:$B,$B36,'Form Responses 1'!$C:$C,2025,'Form Responses 1'!$D:$D,V$2)&gt;0,TRUE)</f>
        <v>0</v>
      </c>
      <c r="W36" s="19" t="b">
        <f>IF(COUNTIFS('Form Responses 1'!$B:$B,$B36,'Form Responses 1'!$C:$C,2025,'Form Responses 1'!$D:$D,W$2)&gt;0,TRUE)</f>
        <v>0</v>
      </c>
      <c r="X36" s="19" t="b">
        <f>IF(COUNTIFS('Form Responses 1'!$B:$B,$B36,'Form Responses 1'!$C:$C,2025,'Form Responses 1'!$D:$D,X$2)&gt;0,TRUE)</f>
        <v>0</v>
      </c>
      <c r="Y36" s="19" t="b">
        <f>IF(COUNTIFS('Form Responses 1'!$B:$B,$B36,'Form Responses 1'!$C:$C,2025,'Form Responses 1'!$D:$D,Y$2)&gt;0,TRUE)</f>
        <v>0</v>
      </c>
      <c r="Z36" s="19" t="b">
        <f>IF(COUNTIFS('Form Responses 1'!$B:$B,$B36,'Form Responses 1'!$C:$C,2025,'Form Responses 1'!$D:$D,Z$2)&gt;0,TRUE)</f>
        <v>0</v>
      </c>
      <c r="AA36" s="19" t="b">
        <f>IF(COUNTIFS('Form Responses 1'!$B:$B,$B36,'Form Responses 1'!$C:$C,2025,'Form Responses 1'!$D:$D,AA$2)&gt;0,TRUE)</f>
        <v>0</v>
      </c>
      <c r="AB36" s="19" t="b">
        <f>IF(COUNTIFS('Form Responses 1'!$B:$B,$B36,'Form Responses 1'!$C:$C,2025,'Form Responses 1'!$D:$D,AB$2)&gt;0,TRUE)</f>
        <v>1</v>
      </c>
      <c r="AC36" s="19" t="b">
        <f>IF(COUNTIFS('Form Responses 1'!$B:$B,$B36,'Form Responses 1'!$C:$C,2025,'Form Responses 1'!$D:$D,AC$2)&gt;0,TRUE)</f>
        <v>1</v>
      </c>
      <c r="AD36" s="19" t="b">
        <f>IF(COUNTIFS('Form Responses 1'!$B:$B,$B36,'Form Responses 1'!$C:$C,2025,'Form Responses 1'!$D:$D,AD$2)&gt;0,TRUE)</f>
        <v>1</v>
      </c>
      <c r="AE36" s="19" t="b">
        <f>IF(COUNTIFS('Form Responses 1'!$B:$B,$B36,'Form Responses 1'!$C:$C,2025,'Form Responses 1'!$D:$D,AE$2)&gt;0,TRUE)</f>
        <v>1</v>
      </c>
      <c r="AF36" s="19" t="b">
        <f>IF(COUNTIFS('Form Responses 1'!$B:$B,$B36,'Form Responses 1'!$C:$C,2025,'Form Responses 1'!$D:$D,AF$2)&gt;0,TRUE)</f>
        <v>1</v>
      </c>
      <c r="AG36" s="19" t="b">
        <f>IF(COUNTIFS('Form Responses 1'!$B:$B,$B36,'Form Responses 1'!$C:$C,2026,'Form Responses 1'!$D:$D,AG$2)&gt;0,TRUE)</f>
        <v>0</v>
      </c>
      <c r="AH36" s="19" t="b">
        <f>IF(COUNTIFS('Form Responses 1'!$B:$B,$B36,'Form Responses 1'!$C:$C,2026,'Form Responses 1'!$D:$D,AH$2)&gt;0,TRUE)</f>
        <v>0</v>
      </c>
      <c r="AI36" s="19" t="b">
        <f>IF(COUNTIFS('Form Responses 1'!$B:$B,$B36,'Form Responses 1'!$C:$C,2026,'Form Responses 1'!$D:$D,AI$2)&gt;0,TRUE)</f>
        <v>0</v>
      </c>
      <c r="AJ36" s="19" t="b">
        <f>IF(COUNTIFS('Form Responses 1'!$B:$B,$B36,'Form Responses 1'!$C:$C,2026,'Form Responses 1'!$D:$D,AJ$2)&gt;0,TRUE)</f>
        <v>0</v>
      </c>
      <c r="AK36" s="19" t="b">
        <f>IF(COUNTIFS('Form Responses 1'!$B:$B,$B36,'Form Responses 1'!$C:$C,2026,'Form Responses 1'!$D:$D,AK$2)&gt;0,TRUE)</f>
        <v>0</v>
      </c>
      <c r="AL36" s="19" t="b">
        <f>IF(COUNTIFS('Form Responses 1'!$B:$B,$B36,'Form Responses 1'!$C:$C,2026,'Form Responses 1'!$D:$D,AL$2)&gt;0,TRUE)</f>
        <v>0</v>
      </c>
      <c r="AM36" s="19" t="b">
        <f>IF(COUNTIFS('Form Responses 1'!$B:$B,$B36,'Form Responses 1'!$C:$C,2026,'Form Responses 1'!$D:$D,AM$2)&gt;0,TRUE)</f>
        <v>0</v>
      </c>
      <c r="AN36" s="19" t="b">
        <f>IF(COUNTIFS('Form Responses 1'!$B:$B,$B36,'Form Responses 1'!$C:$C,2026,'Form Responses 1'!$D:$D,AN$2)&gt;0,TRUE)</f>
        <v>0</v>
      </c>
      <c r="AO36" s="19" t="b">
        <f>IF(COUNTIFS('Form Responses 1'!$B:$B,$B36,'Form Responses 1'!$C:$C,2026,'Form Responses 1'!$D:$D,AO$2)&gt;0,TRUE)</f>
        <v>0</v>
      </c>
      <c r="AP36" s="19" t="b">
        <f>IF(COUNTIFS('Form Responses 1'!$B:$B,$B36,'Form Responses 1'!$C:$C,2026,'Form Responses 1'!$D:$D,AP$2)&gt;0,TRUE)</f>
        <v>0</v>
      </c>
      <c r="AQ36" s="19" t="b">
        <f>IF(COUNTIFS('Form Responses 1'!$B:$B,$B36,'Form Responses 1'!$C:$C,2026,'Form Responses 1'!$D:$D,AQ$2)&gt;0,TRUE)</f>
        <v>0</v>
      </c>
      <c r="AR36" s="19" t="b">
        <f>IF(COUNTIFS('Form Responses 1'!$B:$B,$B36,'Form Responses 1'!$C:$C,2026,'Form Responses 1'!$D:$D,AR$2)&gt;0,TRUE)</f>
        <v>0</v>
      </c>
      <c r="AS36" s="19" t="b">
        <f>IF(COUNTIFS('Form Responses 1'!$B:$B,$B36,'Form Responses 1'!$C:$C,2026,'Form Responses 1'!$D:$D,AS$2)&gt;0,TRUE)</f>
        <v>0</v>
      </c>
      <c r="AT36" s="19" t="b">
        <f>IF(COUNTIFS('Form Responses 1'!$B:$B,$B36,'Form Responses 1'!$C:$C,2026,'Form Responses 1'!$D:$D,AT$2)&gt;0,TRUE)</f>
        <v>0</v>
      </c>
      <c r="AU36" s="19" t="b">
        <f>IF(COUNTIFS('Form Responses 1'!$B:$B,$B36,'Form Responses 1'!$C:$C,2026,'Form Responses 1'!$D:$D,AU$2)&gt;0,TRUE)</f>
        <v>0</v>
      </c>
    </row>
    <row r="37" spans="1:47" ht="12.75" x14ac:dyDescent="0.2">
      <c r="A37" s="9">
        <v>35</v>
      </c>
      <c r="B37" s="10" t="s">
        <v>4209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11"/>
      <c r="Q37" s="18" t="b">
        <f>IF(COUNTIFS('Form Responses 1'!$B:$B,$B37,'Form Responses 1'!$C:$C,2025,'Form Responses 1'!$D:$D,Q$2)&gt;0,TRUE)</f>
        <v>0</v>
      </c>
      <c r="R37" s="18" t="b">
        <f>IF(COUNTIFS('Form Responses 1'!$B:$B,$B37,'Form Responses 1'!$C:$C,2025,'Form Responses 1'!$D:$D,R$2)&gt;0,TRUE)</f>
        <v>1</v>
      </c>
      <c r="S37" s="19" t="b">
        <f>IF(COUNTIFS('Form Responses 1'!$B:$B,$B37,'Form Responses 1'!$C:$C,2025,'Form Responses 1'!$D:$D,S$2)&gt;0,TRUE)</f>
        <v>0</v>
      </c>
      <c r="T37" s="19" t="b">
        <f>IF(COUNTIFS('Form Responses 1'!$B:$B,$B37,'Form Responses 1'!$C:$C,2025,'Form Responses 1'!$D:$D,T$2)&gt;0,TRUE)</f>
        <v>0</v>
      </c>
      <c r="U37" s="19" t="b">
        <f>IF(COUNTIFS('Form Responses 1'!$B:$B,$B37,'Form Responses 1'!$C:$C,2025,'Form Responses 1'!$D:$D,U$2)&gt;0,TRUE)</f>
        <v>0</v>
      </c>
      <c r="V37" s="19" t="b">
        <f>IF(COUNTIFS('Form Responses 1'!$B:$B,$B37,'Form Responses 1'!$C:$C,2025,'Form Responses 1'!$D:$D,V$2)&gt;0,TRUE)</f>
        <v>0</v>
      </c>
      <c r="W37" s="19" t="b">
        <f>IF(COUNTIFS('Form Responses 1'!$B:$B,$B37,'Form Responses 1'!$C:$C,2025,'Form Responses 1'!$D:$D,W$2)&gt;0,TRUE)</f>
        <v>0</v>
      </c>
      <c r="X37" s="19" t="b">
        <f>IF(COUNTIFS('Form Responses 1'!$B:$B,$B37,'Form Responses 1'!$C:$C,2025,'Form Responses 1'!$D:$D,X$2)&gt;0,TRUE)</f>
        <v>0</v>
      </c>
      <c r="Y37" s="19" t="b">
        <f>IF(COUNTIFS('Form Responses 1'!$B:$B,$B37,'Form Responses 1'!$C:$C,2025,'Form Responses 1'!$D:$D,Y$2)&gt;0,TRUE)</f>
        <v>0</v>
      </c>
      <c r="Z37" s="19" t="b">
        <f>IF(COUNTIFS('Form Responses 1'!$B:$B,$B37,'Form Responses 1'!$C:$C,2025,'Form Responses 1'!$D:$D,Z$2)&gt;0,TRUE)</f>
        <v>0</v>
      </c>
      <c r="AA37" s="19" t="b">
        <f>IF(COUNTIFS('Form Responses 1'!$B:$B,$B37,'Form Responses 1'!$C:$C,2025,'Form Responses 1'!$D:$D,AA$2)&gt;0,TRUE)</f>
        <v>0</v>
      </c>
      <c r="AB37" s="19" t="b">
        <f>IF(COUNTIFS('Form Responses 1'!$B:$B,$B37,'Form Responses 1'!$C:$C,2025,'Form Responses 1'!$D:$D,AB$2)&gt;0,TRUE)</f>
        <v>1</v>
      </c>
      <c r="AC37" s="19" t="b">
        <f>IF(COUNTIFS('Form Responses 1'!$B:$B,$B37,'Form Responses 1'!$C:$C,2025,'Form Responses 1'!$D:$D,AC$2)&gt;0,TRUE)</f>
        <v>1</v>
      </c>
      <c r="AD37" s="19" t="b">
        <f>IF(COUNTIFS('Form Responses 1'!$B:$B,$B37,'Form Responses 1'!$C:$C,2025,'Form Responses 1'!$D:$D,AD$2)&gt;0,TRUE)</f>
        <v>1</v>
      </c>
      <c r="AE37" s="19" t="b">
        <f>IF(COUNTIFS('Form Responses 1'!$B:$B,$B37,'Form Responses 1'!$C:$C,2025,'Form Responses 1'!$D:$D,AE$2)&gt;0,TRUE)</f>
        <v>1</v>
      </c>
      <c r="AF37" s="19" t="b">
        <f>IF(COUNTIFS('Form Responses 1'!$B:$B,$B37,'Form Responses 1'!$C:$C,2025,'Form Responses 1'!$D:$D,AF$2)&gt;0,TRUE)</f>
        <v>1</v>
      </c>
      <c r="AG37" s="19" t="b">
        <f>IF(COUNTIFS('Form Responses 1'!$B:$B,$B37,'Form Responses 1'!$C:$C,2026,'Form Responses 1'!$D:$D,AG$2)&gt;0,TRUE)</f>
        <v>0</v>
      </c>
      <c r="AH37" s="19" t="b">
        <f>IF(COUNTIFS('Form Responses 1'!$B:$B,$B37,'Form Responses 1'!$C:$C,2026,'Form Responses 1'!$D:$D,AH$2)&gt;0,TRUE)</f>
        <v>0</v>
      </c>
      <c r="AI37" s="19" t="b">
        <f>IF(COUNTIFS('Form Responses 1'!$B:$B,$B37,'Form Responses 1'!$C:$C,2026,'Form Responses 1'!$D:$D,AI$2)&gt;0,TRUE)</f>
        <v>0</v>
      </c>
      <c r="AJ37" s="19" t="b">
        <f>IF(COUNTIFS('Form Responses 1'!$B:$B,$B37,'Form Responses 1'!$C:$C,2026,'Form Responses 1'!$D:$D,AJ$2)&gt;0,TRUE)</f>
        <v>0</v>
      </c>
      <c r="AK37" s="19" t="b">
        <f>IF(COUNTIFS('Form Responses 1'!$B:$B,$B37,'Form Responses 1'!$C:$C,2026,'Form Responses 1'!$D:$D,AK$2)&gt;0,TRUE)</f>
        <v>0</v>
      </c>
      <c r="AL37" s="19" t="b">
        <f>IF(COUNTIFS('Form Responses 1'!$B:$B,$B37,'Form Responses 1'!$C:$C,2026,'Form Responses 1'!$D:$D,AL$2)&gt;0,TRUE)</f>
        <v>0</v>
      </c>
      <c r="AM37" s="19" t="b">
        <f>IF(COUNTIFS('Form Responses 1'!$B:$B,$B37,'Form Responses 1'!$C:$C,2026,'Form Responses 1'!$D:$D,AM$2)&gt;0,TRUE)</f>
        <v>0</v>
      </c>
      <c r="AN37" s="19" t="b">
        <f>IF(COUNTIFS('Form Responses 1'!$B:$B,$B37,'Form Responses 1'!$C:$C,2026,'Form Responses 1'!$D:$D,AN$2)&gt;0,TRUE)</f>
        <v>0</v>
      </c>
      <c r="AO37" s="19" t="b">
        <f>IF(COUNTIFS('Form Responses 1'!$B:$B,$B37,'Form Responses 1'!$C:$C,2026,'Form Responses 1'!$D:$D,AO$2)&gt;0,TRUE)</f>
        <v>0</v>
      </c>
      <c r="AP37" s="19" t="b">
        <f>IF(COUNTIFS('Form Responses 1'!$B:$B,$B37,'Form Responses 1'!$C:$C,2026,'Form Responses 1'!$D:$D,AP$2)&gt;0,TRUE)</f>
        <v>0</v>
      </c>
      <c r="AQ37" s="19" t="b">
        <f>IF(COUNTIFS('Form Responses 1'!$B:$B,$B37,'Form Responses 1'!$C:$C,2026,'Form Responses 1'!$D:$D,AQ$2)&gt;0,TRUE)</f>
        <v>0</v>
      </c>
      <c r="AR37" s="19" t="b">
        <f>IF(COUNTIFS('Form Responses 1'!$B:$B,$B37,'Form Responses 1'!$C:$C,2026,'Form Responses 1'!$D:$D,AR$2)&gt;0,TRUE)</f>
        <v>0</v>
      </c>
      <c r="AS37" s="19" t="b">
        <f>IF(COUNTIFS('Form Responses 1'!$B:$B,$B37,'Form Responses 1'!$C:$C,2026,'Form Responses 1'!$D:$D,AS$2)&gt;0,TRUE)</f>
        <v>0</v>
      </c>
      <c r="AT37" s="19" t="b">
        <f>IF(COUNTIFS('Form Responses 1'!$B:$B,$B37,'Form Responses 1'!$C:$C,2026,'Form Responses 1'!$D:$D,AT$2)&gt;0,TRUE)</f>
        <v>0</v>
      </c>
      <c r="AU37" s="19" t="b">
        <f>IF(COUNTIFS('Form Responses 1'!$B:$B,$B37,'Form Responses 1'!$C:$C,2026,'Form Responses 1'!$D:$D,AU$2)&gt;0,TRUE)</f>
        <v>0</v>
      </c>
    </row>
    <row r="38" spans="1:47" ht="12.75" x14ac:dyDescent="0.2">
      <c r="A38" s="11">
        <v>36</v>
      </c>
      <c r="B38" s="10" t="s">
        <v>4178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11"/>
      <c r="Q38" s="18" t="b">
        <f>IF(COUNTIFS('Form Responses 1'!$B:$B,$B38,'Form Responses 1'!$C:$C,2025,'Form Responses 1'!$D:$D,Q$2)&gt;0,TRUE)</f>
        <v>0</v>
      </c>
      <c r="R38" s="18" t="b">
        <f>IF(COUNTIFS('Form Responses 1'!$B:$B,$B38,'Form Responses 1'!$C:$C,2025,'Form Responses 1'!$D:$D,R$2)&gt;0,TRUE)</f>
        <v>1</v>
      </c>
      <c r="S38" s="19" t="b">
        <f>IF(COUNTIFS('Form Responses 1'!$B:$B,$B38,'Form Responses 1'!$C:$C,2025,'Form Responses 1'!$D:$D,S$2)&gt;0,TRUE)</f>
        <v>0</v>
      </c>
      <c r="T38" s="19" t="b">
        <f>IF(COUNTIFS('Form Responses 1'!$B:$B,$B38,'Form Responses 1'!$C:$C,2025,'Form Responses 1'!$D:$D,T$2)&gt;0,TRUE)</f>
        <v>0</v>
      </c>
      <c r="U38" s="19" t="b">
        <f>IF(COUNTIFS('Form Responses 1'!$B:$B,$B38,'Form Responses 1'!$C:$C,2025,'Form Responses 1'!$D:$D,U$2)&gt;0,TRUE)</f>
        <v>0</v>
      </c>
      <c r="V38" s="19" t="b">
        <f>IF(COUNTIFS('Form Responses 1'!$B:$B,$B38,'Form Responses 1'!$C:$C,2025,'Form Responses 1'!$D:$D,V$2)&gt;0,TRUE)</f>
        <v>0</v>
      </c>
      <c r="W38" s="19" t="b">
        <f>IF(COUNTIFS('Form Responses 1'!$B:$B,$B38,'Form Responses 1'!$C:$C,2025,'Form Responses 1'!$D:$D,W$2)&gt;0,TRUE)</f>
        <v>0</v>
      </c>
      <c r="X38" s="19" t="b">
        <f>IF(COUNTIFS('Form Responses 1'!$B:$B,$B38,'Form Responses 1'!$C:$C,2025,'Form Responses 1'!$D:$D,X$2)&gt;0,TRUE)</f>
        <v>0</v>
      </c>
      <c r="Y38" s="19" t="b">
        <f>IF(COUNTIFS('Form Responses 1'!$B:$B,$B38,'Form Responses 1'!$C:$C,2025,'Form Responses 1'!$D:$D,Y$2)&gt;0,TRUE)</f>
        <v>0</v>
      </c>
      <c r="Z38" s="19" t="b">
        <f>IF(COUNTIFS('Form Responses 1'!$B:$B,$B38,'Form Responses 1'!$C:$C,2025,'Form Responses 1'!$D:$D,Z$2)&gt;0,TRUE)</f>
        <v>0</v>
      </c>
      <c r="AA38" s="19" t="b">
        <f>IF(COUNTIFS('Form Responses 1'!$B:$B,$B38,'Form Responses 1'!$C:$C,2025,'Form Responses 1'!$D:$D,AA$2)&gt;0,TRUE)</f>
        <v>0</v>
      </c>
      <c r="AB38" s="19" t="b">
        <f>IF(COUNTIFS('Form Responses 1'!$B:$B,$B38,'Form Responses 1'!$C:$C,2025,'Form Responses 1'!$D:$D,AB$2)&gt;0,TRUE)</f>
        <v>1</v>
      </c>
      <c r="AC38" s="19" t="b">
        <f>IF(COUNTIFS('Form Responses 1'!$B:$B,$B38,'Form Responses 1'!$C:$C,2025,'Form Responses 1'!$D:$D,AC$2)&gt;0,TRUE)</f>
        <v>1</v>
      </c>
      <c r="AD38" s="19" t="b">
        <f>IF(COUNTIFS('Form Responses 1'!$B:$B,$B38,'Form Responses 1'!$C:$C,2025,'Form Responses 1'!$D:$D,AD$2)&gt;0,TRUE)</f>
        <v>1</v>
      </c>
      <c r="AE38" s="19" t="b">
        <f>IF(COUNTIFS('Form Responses 1'!$B:$B,$B38,'Form Responses 1'!$C:$C,2025,'Form Responses 1'!$D:$D,AE$2)&gt;0,TRUE)</f>
        <v>1</v>
      </c>
      <c r="AF38" s="19" t="b">
        <f>IF(COUNTIFS('Form Responses 1'!$B:$B,$B38,'Form Responses 1'!$C:$C,2025,'Form Responses 1'!$D:$D,AF$2)&gt;0,TRUE)</f>
        <v>1</v>
      </c>
      <c r="AG38" s="19" t="b">
        <f>IF(COUNTIFS('Form Responses 1'!$B:$B,$B38,'Form Responses 1'!$C:$C,2026,'Form Responses 1'!$D:$D,AG$2)&gt;0,TRUE)</f>
        <v>0</v>
      </c>
      <c r="AH38" s="19" t="b">
        <f>IF(COUNTIFS('Form Responses 1'!$B:$B,$B38,'Form Responses 1'!$C:$C,2026,'Form Responses 1'!$D:$D,AH$2)&gt;0,TRUE)</f>
        <v>0</v>
      </c>
      <c r="AI38" s="19" t="b">
        <f>IF(COUNTIFS('Form Responses 1'!$B:$B,$B38,'Form Responses 1'!$C:$C,2026,'Form Responses 1'!$D:$D,AI$2)&gt;0,TRUE)</f>
        <v>0</v>
      </c>
      <c r="AJ38" s="19" t="b">
        <f>IF(COUNTIFS('Form Responses 1'!$B:$B,$B38,'Form Responses 1'!$C:$C,2026,'Form Responses 1'!$D:$D,AJ$2)&gt;0,TRUE)</f>
        <v>0</v>
      </c>
      <c r="AK38" s="19" t="b">
        <f>IF(COUNTIFS('Form Responses 1'!$B:$B,$B38,'Form Responses 1'!$C:$C,2026,'Form Responses 1'!$D:$D,AK$2)&gt;0,TRUE)</f>
        <v>0</v>
      </c>
      <c r="AL38" s="19" t="b">
        <f>IF(COUNTIFS('Form Responses 1'!$B:$B,$B38,'Form Responses 1'!$C:$C,2026,'Form Responses 1'!$D:$D,AL$2)&gt;0,TRUE)</f>
        <v>0</v>
      </c>
      <c r="AM38" s="19" t="b">
        <f>IF(COUNTIFS('Form Responses 1'!$B:$B,$B38,'Form Responses 1'!$C:$C,2026,'Form Responses 1'!$D:$D,AM$2)&gt;0,TRUE)</f>
        <v>0</v>
      </c>
      <c r="AN38" s="19" t="b">
        <f>IF(COUNTIFS('Form Responses 1'!$B:$B,$B38,'Form Responses 1'!$C:$C,2026,'Form Responses 1'!$D:$D,AN$2)&gt;0,TRUE)</f>
        <v>0</v>
      </c>
      <c r="AO38" s="19" t="b">
        <f>IF(COUNTIFS('Form Responses 1'!$B:$B,$B38,'Form Responses 1'!$C:$C,2026,'Form Responses 1'!$D:$D,AO$2)&gt;0,TRUE)</f>
        <v>0</v>
      </c>
      <c r="AP38" s="19" t="b">
        <f>IF(COUNTIFS('Form Responses 1'!$B:$B,$B38,'Form Responses 1'!$C:$C,2026,'Form Responses 1'!$D:$D,AP$2)&gt;0,TRUE)</f>
        <v>0</v>
      </c>
      <c r="AQ38" s="19" t="b">
        <f>IF(COUNTIFS('Form Responses 1'!$B:$B,$B38,'Form Responses 1'!$C:$C,2026,'Form Responses 1'!$D:$D,AQ$2)&gt;0,TRUE)</f>
        <v>0</v>
      </c>
      <c r="AR38" s="19" t="b">
        <f>IF(COUNTIFS('Form Responses 1'!$B:$B,$B38,'Form Responses 1'!$C:$C,2026,'Form Responses 1'!$D:$D,AR$2)&gt;0,TRUE)</f>
        <v>0</v>
      </c>
      <c r="AS38" s="19" t="b">
        <f>IF(COUNTIFS('Form Responses 1'!$B:$B,$B38,'Form Responses 1'!$C:$C,2026,'Form Responses 1'!$D:$D,AS$2)&gt;0,TRUE)</f>
        <v>0</v>
      </c>
      <c r="AT38" s="19" t="b">
        <f>IF(COUNTIFS('Form Responses 1'!$B:$B,$B38,'Form Responses 1'!$C:$C,2026,'Form Responses 1'!$D:$D,AT$2)&gt;0,TRUE)</f>
        <v>0</v>
      </c>
      <c r="AU38" s="19" t="b">
        <f>IF(COUNTIFS('Form Responses 1'!$B:$B,$B38,'Form Responses 1'!$C:$C,2026,'Form Responses 1'!$D:$D,AU$2)&gt;0,TRUE)</f>
        <v>0</v>
      </c>
    </row>
    <row r="39" spans="1:47" ht="12.75" x14ac:dyDescent="0.2">
      <c r="A39" s="11">
        <v>37</v>
      </c>
      <c r="B39" s="10" t="s">
        <v>4159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11"/>
      <c r="Q39" s="18" t="b">
        <f>IF(COUNTIFS('Form Responses 1'!$B:$B,$B39,'Form Responses 1'!$C:$C,2025,'Form Responses 1'!$D:$D,Q$2)&gt;0,TRUE)</f>
        <v>0</v>
      </c>
      <c r="R39" s="18" t="b">
        <f>IF(COUNTIFS('Form Responses 1'!$B:$B,$B39,'Form Responses 1'!$C:$C,2025,'Form Responses 1'!$D:$D,R$2)&gt;0,TRUE)</f>
        <v>1</v>
      </c>
      <c r="S39" s="19" t="b">
        <f>IF(COUNTIFS('Form Responses 1'!$B:$B,$B39,'Form Responses 1'!$C:$C,2025,'Form Responses 1'!$D:$D,S$2)&gt;0,TRUE)</f>
        <v>0</v>
      </c>
      <c r="T39" s="19" t="b">
        <f>IF(COUNTIFS('Form Responses 1'!$B:$B,$B39,'Form Responses 1'!$C:$C,2025,'Form Responses 1'!$D:$D,T$2)&gt;0,TRUE)</f>
        <v>0</v>
      </c>
      <c r="U39" s="19" t="b">
        <f>IF(COUNTIFS('Form Responses 1'!$B:$B,$B39,'Form Responses 1'!$C:$C,2025,'Form Responses 1'!$D:$D,U$2)&gt;0,TRUE)</f>
        <v>0</v>
      </c>
      <c r="V39" s="19" t="b">
        <f>IF(COUNTIFS('Form Responses 1'!$B:$B,$B39,'Form Responses 1'!$C:$C,2025,'Form Responses 1'!$D:$D,V$2)&gt;0,TRUE)</f>
        <v>0</v>
      </c>
      <c r="W39" s="19" t="b">
        <f>IF(COUNTIFS('Form Responses 1'!$B:$B,$B39,'Form Responses 1'!$C:$C,2025,'Form Responses 1'!$D:$D,W$2)&gt;0,TRUE)</f>
        <v>0</v>
      </c>
      <c r="X39" s="19" t="b">
        <f>IF(COUNTIFS('Form Responses 1'!$B:$B,$B39,'Form Responses 1'!$C:$C,2025,'Form Responses 1'!$D:$D,X$2)&gt;0,TRUE)</f>
        <v>0</v>
      </c>
      <c r="Y39" s="19" t="b">
        <f>IF(COUNTIFS('Form Responses 1'!$B:$B,$B39,'Form Responses 1'!$C:$C,2025,'Form Responses 1'!$D:$D,Y$2)&gt;0,TRUE)</f>
        <v>0</v>
      </c>
      <c r="Z39" s="19" t="b">
        <f>IF(COUNTIFS('Form Responses 1'!$B:$B,$B39,'Form Responses 1'!$C:$C,2025,'Form Responses 1'!$D:$D,Z$2)&gt;0,TRUE)</f>
        <v>0</v>
      </c>
      <c r="AA39" s="19" t="b">
        <f>IF(COUNTIFS('Form Responses 1'!$B:$B,$B39,'Form Responses 1'!$C:$C,2025,'Form Responses 1'!$D:$D,AA$2)&gt;0,TRUE)</f>
        <v>0</v>
      </c>
      <c r="AB39" s="19" t="b">
        <f>IF(COUNTIFS('Form Responses 1'!$B:$B,$B39,'Form Responses 1'!$C:$C,2025,'Form Responses 1'!$D:$D,AB$2)&gt;0,TRUE)</f>
        <v>1</v>
      </c>
      <c r="AC39" s="19" t="b">
        <f>IF(COUNTIFS('Form Responses 1'!$B:$B,$B39,'Form Responses 1'!$C:$C,2025,'Form Responses 1'!$D:$D,AC$2)&gt;0,TRUE)</f>
        <v>1</v>
      </c>
      <c r="AD39" s="19" t="b">
        <f>IF(COUNTIFS('Form Responses 1'!$B:$B,$B39,'Form Responses 1'!$C:$C,2025,'Form Responses 1'!$D:$D,AD$2)&gt;0,TRUE)</f>
        <v>1</v>
      </c>
      <c r="AE39" s="19" t="b">
        <f>IF(COUNTIFS('Form Responses 1'!$B:$B,$B39,'Form Responses 1'!$C:$C,2025,'Form Responses 1'!$D:$D,AE$2)&gt;0,TRUE)</f>
        <v>1</v>
      </c>
      <c r="AF39" s="19" t="b">
        <f>IF(COUNTIFS('Form Responses 1'!$B:$B,$B39,'Form Responses 1'!$C:$C,2025,'Form Responses 1'!$D:$D,AF$2)&gt;0,TRUE)</f>
        <v>1</v>
      </c>
      <c r="AG39" s="19" t="b">
        <f>IF(COUNTIFS('Form Responses 1'!$B:$B,$B39,'Form Responses 1'!$C:$C,2026,'Form Responses 1'!$D:$D,AG$2)&gt;0,TRUE)</f>
        <v>0</v>
      </c>
      <c r="AH39" s="19" t="b">
        <f>IF(COUNTIFS('Form Responses 1'!$B:$B,$B39,'Form Responses 1'!$C:$C,2026,'Form Responses 1'!$D:$D,AH$2)&gt;0,TRUE)</f>
        <v>0</v>
      </c>
      <c r="AI39" s="19" t="b">
        <f>IF(COUNTIFS('Form Responses 1'!$B:$B,$B39,'Form Responses 1'!$C:$C,2026,'Form Responses 1'!$D:$D,AI$2)&gt;0,TRUE)</f>
        <v>0</v>
      </c>
      <c r="AJ39" s="19" t="b">
        <f>IF(COUNTIFS('Form Responses 1'!$B:$B,$B39,'Form Responses 1'!$C:$C,2026,'Form Responses 1'!$D:$D,AJ$2)&gt;0,TRUE)</f>
        <v>0</v>
      </c>
      <c r="AK39" s="19" t="b">
        <f>IF(COUNTIFS('Form Responses 1'!$B:$B,$B39,'Form Responses 1'!$C:$C,2026,'Form Responses 1'!$D:$D,AK$2)&gt;0,TRUE)</f>
        <v>0</v>
      </c>
      <c r="AL39" s="19" t="b">
        <f>IF(COUNTIFS('Form Responses 1'!$B:$B,$B39,'Form Responses 1'!$C:$C,2026,'Form Responses 1'!$D:$D,AL$2)&gt;0,TRUE)</f>
        <v>0</v>
      </c>
      <c r="AM39" s="19" t="b">
        <f>IF(COUNTIFS('Form Responses 1'!$B:$B,$B39,'Form Responses 1'!$C:$C,2026,'Form Responses 1'!$D:$D,AM$2)&gt;0,TRUE)</f>
        <v>0</v>
      </c>
      <c r="AN39" s="19" t="b">
        <f>IF(COUNTIFS('Form Responses 1'!$B:$B,$B39,'Form Responses 1'!$C:$C,2026,'Form Responses 1'!$D:$D,AN$2)&gt;0,TRUE)</f>
        <v>0</v>
      </c>
      <c r="AO39" s="19" t="b">
        <f>IF(COUNTIFS('Form Responses 1'!$B:$B,$B39,'Form Responses 1'!$C:$C,2026,'Form Responses 1'!$D:$D,AO$2)&gt;0,TRUE)</f>
        <v>0</v>
      </c>
      <c r="AP39" s="19" t="b">
        <f>IF(COUNTIFS('Form Responses 1'!$B:$B,$B39,'Form Responses 1'!$C:$C,2026,'Form Responses 1'!$D:$D,AP$2)&gt;0,TRUE)</f>
        <v>0</v>
      </c>
      <c r="AQ39" s="19" t="b">
        <f>IF(COUNTIFS('Form Responses 1'!$B:$B,$B39,'Form Responses 1'!$C:$C,2026,'Form Responses 1'!$D:$D,AQ$2)&gt;0,TRUE)</f>
        <v>0</v>
      </c>
      <c r="AR39" s="19" t="b">
        <f>IF(COUNTIFS('Form Responses 1'!$B:$B,$B39,'Form Responses 1'!$C:$C,2026,'Form Responses 1'!$D:$D,AR$2)&gt;0,TRUE)</f>
        <v>0</v>
      </c>
      <c r="AS39" s="19" t="b">
        <f>IF(COUNTIFS('Form Responses 1'!$B:$B,$B39,'Form Responses 1'!$C:$C,2026,'Form Responses 1'!$D:$D,AS$2)&gt;0,TRUE)</f>
        <v>0</v>
      </c>
      <c r="AT39" s="19" t="b">
        <f>IF(COUNTIFS('Form Responses 1'!$B:$B,$B39,'Form Responses 1'!$C:$C,2026,'Form Responses 1'!$D:$D,AT$2)&gt;0,TRUE)</f>
        <v>0</v>
      </c>
      <c r="AU39" s="19" t="b">
        <f>IF(COUNTIFS('Form Responses 1'!$B:$B,$B39,'Form Responses 1'!$C:$C,2026,'Form Responses 1'!$D:$D,AU$2)&gt;0,TRUE)</f>
        <v>0</v>
      </c>
    </row>
    <row r="40" spans="1:47" ht="12.75" x14ac:dyDescent="0.2">
      <c r="A40" s="9">
        <v>38</v>
      </c>
      <c r="B40" s="10" t="s">
        <v>4230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11"/>
      <c r="Q40" s="18" t="b">
        <f>IF(COUNTIFS('Form Responses 1'!$B:$B,$B40,'Form Responses 1'!$C:$C,2025,'Form Responses 1'!$D:$D,Q$2)&gt;0,TRUE)</f>
        <v>0</v>
      </c>
      <c r="R40" s="18" t="b">
        <f>IF(COUNTIFS('Form Responses 1'!$B:$B,$B40,'Form Responses 1'!$C:$C,2025,'Form Responses 1'!$D:$D,R$2)&gt;0,TRUE)</f>
        <v>0</v>
      </c>
      <c r="S40" s="19" t="b">
        <f>IF(COUNTIFS('Form Responses 1'!$B:$B,$B40,'Form Responses 1'!$C:$C,2025,'Form Responses 1'!$D:$D,S$2)&gt;0,TRUE)</f>
        <v>0</v>
      </c>
      <c r="T40" s="19" t="b">
        <f>IF(COUNTIFS('Form Responses 1'!$B:$B,$B40,'Form Responses 1'!$C:$C,2025,'Form Responses 1'!$D:$D,T$2)&gt;0,TRUE)</f>
        <v>0</v>
      </c>
      <c r="U40" s="19" t="b">
        <f>IF(COUNTIFS('Form Responses 1'!$B:$B,$B40,'Form Responses 1'!$C:$C,2025,'Form Responses 1'!$D:$D,U$2)&gt;0,TRUE)</f>
        <v>0</v>
      </c>
      <c r="V40" s="19" t="b">
        <f>IF(COUNTIFS('Form Responses 1'!$B:$B,$B40,'Form Responses 1'!$C:$C,2025,'Form Responses 1'!$D:$D,V$2)&gt;0,TRUE)</f>
        <v>0</v>
      </c>
      <c r="W40" s="19" t="b">
        <f>IF(COUNTIFS('Form Responses 1'!$B:$B,$B40,'Form Responses 1'!$C:$C,2025,'Form Responses 1'!$D:$D,W$2)&gt;0,TRUE)</f>
        <v>0</v>
      </c>
      <c r="X40" s="19" t="b">
        <f>IF(COUNTIFS('Form Responses 1'!$B:$B,$B40,'Form Responses 1'!$C:$C,2025,'Form Responses 1'!$D:$D,X$2)&gt;0,TRUE)</f>
        <v>0</v>
      </c>
      <c r="Y40" s="19" t="b">
        <f>IF(COUNTIFS('Form Responses 1'!$B:$B,$B40,'Form Responses 1'!$C:$C,2025,'Form Responses 1'!$D:$D,Y$2)&gt;0,TRUE)</f>
        <v>0</v>
      </c>
      <c r="Z40" s="19" t="b">
        <f>IF(COUNTIFS('Form Responses 1'!$B:$B,$B40,'Form Responses 1'!$C:$C,2025,'Form Responses 1'!$D:$D,Z$2)&gt;0,TRUE)</f>
        <v>0</v>
      </c>
      <c r="AA40" s="19" t="b">
        <f>IF(COUNTIFS('Form Responses 1'!$B:$B,$B40,'Form Responses 1'!$C:$C,2025,'Form Responses 1'!$D:$D,AA$2)&gt;0,TRUE)</f>
        <v>0</v>
      </c>
      <c r="AB40" s="19" t="b">
        <f>IF(COUNTIFS('Form Responses 1'!$B:$B,$B40,'Form Responses 1'!$C:$C,2025,'Form Responses 1'!$D:$D,AB$2)&gt;0,TRUE)</f>
        <v>0</v>
      </c>
      <c r="AC40" s="19" t="b">
        <f>IF(COUNTIFS('Form Responses 1'!$B:$B,$B40,'Form Responses 1'!$C:$C,2025,'Form Responses 1'!$D:$D,AC$2)&gt;0,TRUE)</f>
        <v>0</v>
      </c>
      <c r="AD40" s="19" t="b">
        <f>IF(COUNTIFS('Form Responses 1'!$B:$B,$B40,'Form Responses 1'!$C:$C,2025,'Form Responses 1'!$D:$D,AD$2)&gt;0,TRUE)</f>
        <v>0</v>
      </c>
      <c r="AE40" s="19" t="b">
        <f>IF(COUNTIFS('Form Responses 1'!$B:$B,$B40,'Form Responses 1'!$C:$C,2025,'Form Responses 1'!$D:$D,AE$2)&gt;0,TRUE)</f>
        <v>0</v>
      </c>
      <c r="AF40" s="19" t="b">
        <f>IF(COUNTIFS('Form Responses 1'!$B:$B,$B40,'Form Responses 1'!$C:$C,2025,'Form Responses 1'!$D:$D,AF$2)&gt;0,TRUE)</f>
        <v>0</v>
      </c>
      <c r="AG40" s="19" t="b">
        <f>IF(COUNTIFS('Form Responses 1'!$B:$B,$B40,'Form Responses 1'!$C:$C,2026,'Form Responses 1'!$D:$D,AG$2)&gt;0,TRUE)</f>
        <v>0</v>
      </c>
      <c r="AH40" s="19" t="b">
        <f>IF(COUNTIFS('Form Responses 1'!$B:$B,$B40,'Form Responses 1'!$C:$C,2026,'Form Responses 1'!$D:$D,AH$2)&gt;0,TRUE)</f>
        <v>0</v>
      </c>
      <c r="AI40" s="19" t="b">
        <f>IF(COUNTIFS('Form Responses 1'!$B:$B,$B40,'Form Responses 1'!$C:$C,2026,'Form Responses 1'!$D:$D,AI$2)&gt;0,TRUE)</f>
        <v>0</v>
      </c>
      <c r="AJ40" s="19" t="b">
        <f>IF(COUNTIFS('Form Responses 1'!$B:$B,$B40,'Form Responses 1'!$C:$C,2026,'Form Responses 1'!$D:$D,AJ$2)&gt;0,TRUE)</f>
        <v>0</v>
      </c>
      <c r="AK40" s="19" t="b">
        <f>IF(COUNTIFS('Form Responses 1'!$B:$B,$B40,'Form Responses 1'!$C:$C,2026,'Form Responses 1'!$D:$D,AK$2)&gt;0,TRUE)</f>
        <v>0</v>
      </c>
      <c r="AL40" s="19" t="b">
        <f>IF(COUNTIFS('Form Responses 1'!$B:$B,$B40,'Form Responses 1'!$C:$C,2026,'Form Responses 1'!$D:$D,AL$2)&gt;0,TRUE)</f>
        <v>0</v>
      </c>
      <c r="AM40" s="19" t="b">
        <f>IF(COUNTIFS('Form Responses 1'!$B:$B,$B40,'Form Responses 1'!$C:$C,2026,'Form Responses 1'!$D:$D,AM$2)&gt;0,TRUE)</f>
        <v>0</v>
      </c>
      <c r="AN40" s="19" t="b">
        <f>IF(COUNTIFS('Form Responses 1'!$B:$B,$B40,'Form Responses 1'!$C:$C,2026,'Form Responses 1'!$D:$D,AN$2)&gt;0,TRUE)</f>
        <v>0</v>
      </c>
      <c r="AO40" s="19" t="b">
        <f>IF(COUNTIFS('Form Responses 1'!$B:$B,$B40,'Form Responses 1'!$C:$C,2026,'Form Responses 1'!$D:$D,AO$2)&gt;0,TRUE)</f>
        <v>0</v>
      </c>
      <c r="AP40" s="19" t="b">
        <f>IF(COUNTIFS('Form Responses 1'!$B:$B,$B40,'Form Responses 1'!$C:$C,2026,'Form Responses 1'!$D:$D,AP$2)&gt;0,TRUE)</f>
        <v>0</v>
      </c>
      <c r="AQ40" s="19" t="b">
        <f>IF(COUNTIFS('Form Responses 1'!$B:$B,$B40,'Form Responses 1'!$C:$C,2026,'Form Responses 1'!$D:$D,AQ$2)&gt;0,TRUE)</f>
        <v>0</v>
      </c>
      <c r="AR40" s="19" t="b">
        <f>IF(COUNTIFS('Form Responses 1'!$B:$B,$B40,'Form Responses 1'!$C:$C,2026,'Form Responses 1'!$D:$D,AR$2)&gt;0,TRUE)</f>
        <v>0</v>
      </c>
      <c r="AS40" s="19" t="b">
        <f>IF(COUNTIFS('Form Responses 1'!$B:$B,$B40,'Form Responses 1'!$C:$C,2026,'Form Responses 1'!$D:$D,AS$2)&gt;0,TRUE)</f>
        <v>0</v>
      </c>
      <c r="AT40" s="19" t="b">
        <f>IF(COUNTIFS('Form Responses 1'!$B:$B,$B40,'Form Responses 1'!$C:$C,2026,'Form Responses 1'!$D:$D,AT$2)&gt;0,TRUE)</f>
        <v>0</v>
      </c>
      <c r="AU40" s="19" t="b">
        <f>IF(COUNTIFS('Form Responses 1'!$B:$B,$B40,'Form Responses 1'!$C:$C,2026,'Form Responses 1'!$D:$D,AU$2)&gt;0,TRUE)</f>
        <v>0</v>
      </c>
    </row>
    <row r="41" spans="1:47" ht="12.75" x14ac:dyDescent="0.2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  <c r="M41" s="1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pans="1:47" ht="12.75" x14ac:dyDescent="0.2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  <c r="M42" s="1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pans="1:47" ht="12.75" x14ac:dyDescent="0.2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1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pans="1:47" ht="12.75" x14ac:dyDescent="0.2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1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pans="1:47" ht="12.75" x14ac:dyDescent="0.2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1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 spans="1:47" ht="12.75" x14ac:dyDescent="0.2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  <c r="M46" s="1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 spans="1:47" ht="12.75" x14ac:dyDescent="0.2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  <c r="M47" s="1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 spans="1:47" ht="12.75" x14ac:dyDescent="0.2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  <c r="M48" s="1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 spans="1:47" ht="12.75" x14ac:dyDescent="0.2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1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 spans="1:47" ht="12.75" x14ac:dyDescent="0.2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  <c r="M50" s="1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 spans="1:47" ht="12.75" x14ac:dyDescent="0.2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  <c r="M51" s="1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 spans="1:47" ht="12.75" x14ac:dyDescent="0.2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  <c r="M52" s="1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 spans="1:47" ht="12.75" x14ac:dyDescent="0.2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1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 spans="1:47" ht="12.75" x14ac:dyDescent="0.2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  <c r="M54" s="1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pans="1:47" ht="12.75" x14ac:dyDescent="0.2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  <c r="M55" s="1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 spans="1:47" ht="12.75" x14ac:dyDescent="0.2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1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 spans="1:47" ht="12.75" x14ac:dyDescent="0.2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1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 spans="1:47" ht="12.75" x14ac:dyDescent="0.2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1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 spans="1:47" ht="12.75" x14ac:dyDescent="0.2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1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 spans="1:47" ht="12.75" x14ac:dyDescent="0.2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1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 spans="1:47" ht="12.75" x14ac:dyDescent="0.2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1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 spans="1:47" ht="12.75" x14ac:dyDescent="0.2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  <c r="M62" s="1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pans="1:47" ht="12.75" x14ac:dyDescent="0.2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1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 spans="1:47" ht="12.75" x14ac:dyDescent="0.2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1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 spans="1:47" ht="12.75" x14ac:dyDescent="0.2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1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 spans="1:47" ht="12.75" x14ac:dyDescent="0.2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1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 spans="1:47" ht="12.75" x14ac:dyDescent="0.2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1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 spans="1:47" ht="12.75" x14ac:dyDescent="0.2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  <c r="M68" s="1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 spans="1:47" ht="12.75" x14ac:dyDescent="0.2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1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 spans="1:47" ht="12.75" x14ac:dyDescent="0.2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1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 spans="1:47" ht="12.75" x14ac:dyDescent="0.2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1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 spans="1:47" ht="12.75" x14ac:dyDescent="0.2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1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 spans="1:47" ht="12.75" x14ac:dyDescent="0.2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  <c r="M73" s="1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 spans="1:47" ht="12.75" x14ac:dyDescent="0.2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1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 spans="1:47" ht="12.75" x14ac:dyDescent="0.2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  <c r="M75" s="1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 spans="1:47" ht="12.75" x14ac:dyDescent="0.2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  <c r="M76" s="1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 spans="1:47" ht="12.75" x14ac:dyDescent="0.2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  <c r="M77" s="1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 spans="1:47" ht="12.75" x14ac:dyDescent="0.2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  <c r="M78" s="1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 spans="1:47" ht="12.75" x14ac:dyDescent="0.2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  <c r="M79" s="1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 spans="1:47" ht="12.75" x14ac:dyDescent="0.2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  <c r="M80" s="1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 spans="1:47" ht="12.75" x14ac:dyDescent="0.2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  <c r="M81" s="1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 spans="1:47" ht="12.75" x14ac:dyDescent="0.2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  <c r="M82" s="1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 spans="1:47" ht="12.75" x14ac:dyDescent="0.2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  <c r="M83" s="1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 spans="1:47" ht="12.75" x14ac:dyDescent="0.2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  <c r="M84" s="1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 spans="1:47" ht="12.75" x14ac:dyDescent="0.2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  <c r="M85" s="1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 spans="1:47" ht="12.75" x14ac:dyDescent="0.2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  <c r="M86" s="1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 spans="1:47" ht="12.75" x14ac:dyDescent="0.2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  <c r="M87" s="1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 spans="1:47" ht="12.75" x14ac:dyDescent="0.2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1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 spans="1:47" ht="12.75" x14ac:dyDescent="0.2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  <c r="M89" s="1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 spans="1:47" ht="12.75" x14ac:dyDescent="0.2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  <c r="M90" s="1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 spans="1:47" ht="12.75" x14ac:dyDescent="0.2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  <c r="M91" s="1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 spans="1:47" ht="12.75" x14ac:dyDescent="0.2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  <c r="M92" s="1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 spans="1:47" ht="12.75" x14ac:dyDescent="0.2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1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 spans="1:47" ht="12.75" x14ac:dyDescent="0.2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1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 spans="1:47" ht="12.75" x14ac:dyDescent="0.2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  <c r="M95" s="1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 spans="1:47" ht="12.75" x14ac:dyDescent="0.2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  <c r="M96" s="1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 spans="1:47" ht="12.75" x14ac:dyDescent="0.2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  <c r="M97" s="1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 spans="1:47" ht="12.75" x14ac:dyDescent="0.2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  <c r="M98" s="1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 spans="1:47" ht="12.75" x14ac:dyDescent="0.2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  <c r="M99" s="1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 spans="1:47" ht="12.75" x14ac:dyDescent="0.2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 spans="1:47" ht="12.75" x14ac:dyDescent="0.2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 spans="1:47" ht="12.75" x14ac:dyDescent="0.2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 spans="1:47" ht="12.75" x14ac:dyDescent="0.2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 spans="1:47" ht="12.75" x14ac:dyDescent="0.2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 spans="1:47" ht="12.75" x14ac:dyDescent="0.2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 spans="1:47" ht="12.75" x14ac:dyDescent="0.2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 spans="1:47" ht="12.75" x14ac:dyDescent="0.2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 spans="1:47" ht="12.75" x14ac:dyDescent="0.2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 spans="1:47" ht="12.75" x14ac:dyDescent="0.2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 spans="1:47" ht="12.75" x14ac:dyDescent="0.2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 spans="1:47" ht="12.75" x14ac:dyDescent="0.2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 spans="1:47" ht="12.75" x14ac:dyDescent="0.2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 spans="1:47" ht="12.75" x14ac:dyDescent="0.2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 spans="1:47" ht="12.75" x14ac:dyDescent="0.2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 spans="1:47" ht="12.75" x14ac:dyDescent="0.2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 spans="1:47" ht="12.75" x14ac:dyDescent="0.2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  <row r="117" spans="1:47" ht="12.75" x14ac:dyDescent="0.2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</row>
    <row r="118" spans="1:47" ht="12.75" x14ac:dyDescent="0.2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</row>
    <row r="119" spans="1:47" ht="12.75" x14ac:dyDescent="0.2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</row>
    <row r="120" spans="1:47" ht="12.75" x14ac:dyDescent="0.2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</row>
    <row r="121" spans="1:47" ht="12.75" x14ac:dyDescent="0.2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</row>
    <row r="122" spans="1:47" ht="12.75" x14ac:dyDescent="0.2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</row>
    <row r="123" spans="1:47" ht="12.75" x14ac:dyDescent="0.2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</row>
    <row r="124" spans="1:47" ht="12.75" x14ac:dyDescent="0.2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</row>
    <row r="125" spans="1:47" ht="12.75" x14ac:dyDescent="0.2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</row>
    <row r="126" spans="1:47" ht="12.75" x14ac:dyDescent="0.2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</row>
    <row r="127" spans="1:47" ht="12.75" x14ac:dyDescent="0.2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</row>
    <row r="128" spans="1:47" ht="12.75" x14ac:dyDescent="0.2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</row>
    <row r="129" spans="1:47" ht="12.75" x14ac:dyDescent="0.2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</row>
    <row r="130" spans="1:47" ht="12.75" x14ac:dyDescent="0.2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</row>
    <row r="131" spans="1:47" ht="12.75" x14ac:dyDescent="0.2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</row>
    <row r="132" spans="1:47" ht="12.75" x14ac:dyDescent="0.2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</row>
    <row r="133" spans="1:47" ht="12.75" x14ac:dyDescent="0.2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</row>
    <row r="134" spans="1:47" ht="12.75" x14ac:dyDescent="0.2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</row>
    <row r="135" spans="1:47" ht="12.75" x14ac:dyDescent="0.2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</row>
    <row r="136" spans="1:47" ht="12.75" x14ac:dyDescent="0.2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</row>
    <row r="137" spans="1:47" ht="12.75" x14ac:dyDescent="0.2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</row>
    <row r="138" spans="1:47" ht="12.75" x14ac:dyDescent="0.2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</row>
    <row r="139" spans="1:47" ht="12.75" x14ac:dyDescent="0.2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</row>
    <row r="140" spans="1:47" ht="12.75" x14ac:dyDescent="0.2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</row>
    <row r="141" spans="1:47" ht="12.75" x14ac:dyDescent="0.2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</row>
    <row r="142" spans="1:47" ht="12.75" x14ac:dyDescent="0.2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</row>
    <row r="143" spans="1:47" ht="12.75" x14ac:dyDescent="0.2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</row>
    <row r="144" spans="1:47" ht="12.75" x14ac:dyDescent="0.2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</row>
    <row r="145" spans="1:47" ht="12.75" x14ac:dyDescent="0.2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</row>
    <row r="146" spans="1:47" ht="12.75" x14ac:dyDescent="0.2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 spans="1:47" ht="12.75" x14ac:dyDescent="0.2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 spans="1:47" ht="12.75" x14ac:dyDescent="0.2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 spans="1:47" ht="12.75" x14ac:dyDescent="0.2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 spans="1:47" ht="12.75" x14ac:dyDescent="0.2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 spans="1:47" ht="12.75" x14ac:dyDescent="0.2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 spans="1:47" ht="12.75" x14ac:dyDescent="0.2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1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 spans="1:47" ht="12.75" x14ac:dyDescent="0.2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 spans="1:47" ht="12.75" x14ac:dyDescent="0.2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 spans="1:47" ht="12.75" x14ac:dyDescent="0.2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 spans="1:47" ht="12.75" x14ac:dyDescent="0.2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 spans="1:47" ht="12.75" x14ac:dyDescent="0.2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 spans="1:47" ht="12.75" x14ac:dyDescent="0.2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 spans="1:47" ht="12.75" x14ac:dyDescent="0.2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 spans="1:47" ht="12.75" x14ac:dyDescent="0.2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 spans="1:47" ht="12.75" x14ac:dyDescent="0.2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 spans="1:47" ht="12.75" x14ac:dyDescent="0.2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 spans="1:47" ht="12.75" x14ac:dyDescent="0.2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  <row r="164" spans="1:47" ht="12.75" x14ac:dyDescent="0.2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</row>
    <row r="165" spans="1:47" ht="12.75" x14ac:dyDescent="0.2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</row>
    <row r="166" spans="1:47" ht="12.75" x14ac:dyDescent="0.2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</row>
    <row r="167" spans="1:47" ht="12.75" x14ac:dyDescent="0.2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</row>
    <row r="168" spans="1:47" ht="12.75" x14ac:dyDescent="0.2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</row>
    <row r="169" spans="1:47" ht="12.75" x14ac:dyDescent="0.2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</row>
    <row r="170" spans="1:47" ht="12.75" x14ac:dyDescent="0.2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</row>
    <row r="171" spans="1:47" ht="12.75" x14ac:dyDescent="0.2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</row>
    <row r="172" spans="1:47" ht="12.75" x14ac:dyDescent="0.2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</row>
    <row r="173" spans="1:47" ht="12.75" x14ac:dyDescent="0.2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</row>
    <row r="174" spans="1:47" ht="12.75" x14ac:dyDescent="0.2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</row>
    <row r="175" spans="1:47" ht="12.75" x14ac:dyDescent="0.2">
      <c r="A175" s="9"/>
      <c r="B175" s="1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</row>
    <row r="176" spans="1:47" ht="12.75" x14ac:dyDescent="0.2">
      <c r="A176" s="9"/>
      <c r="B176" s="10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</row>
    <row r="177" spans="1:47" ht="12.75" x14ac:dyDescent="0.2">
      <c r="A177" s="9"/>
      <c r="B177" s="10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</row>
    <row r="178" spans="1:47" ht="12.75" x14ac:dyDescent="0.2">
      <c r="A178" s="9"/>
      <c r="B178" s="10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</row>
    <row r="179" spans="1:47" ht="12.75" x14ac:dyDescent="0.2">
      <c r="A179" s="9"/>
      <c r="B179" s="10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</row>
    <row r="180" spans="1:47" ht="12.75" x14ac:dyDescent="0.2">
      <c r="A180" s="9"/>
      <c r="B180" s="10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</row>
    <row r="181" spans="1:47" ht="12.75" x14ac:dyDescent="0.2">
      <c r="A181" s="9"/>
      <c r="B181" s="10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</row>
    <row r="182" spans="1:47" ht="12.75" x14ac:dyDescent="0.2">
      <c r="A182" s="9"/>
      <c r="B182" s="10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</row>
    <row r="183" spans="1:47" ht="12.75" x14ac:dyDescent="0.2">
      <c r="A183" s="9"/>
      <c r="B183" s="10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</row>
    <row r="184" spans="1:47" ht="12.75" x14ac:dyDescent="0.2">
      <c r="A184" s="9"/>
      <c r="B184" s="10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</row>
    <row r="185" spans="1:47" ht="12.75" x14ac:dyDescent="0.2">
      <c r="A185" s="9"/>
      <c r="B185" s="10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</row>
    <row r="186" spans="1:47" ht="12.75" x14ac:dyDescent="0.2">
      <c r="A186" s="9"/>
      <c r="B186" s="10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</row>
    <row r="187" spans="1:47" ht="12.75" x14ac:dyDescent="0.2">
      <c r="A187" s="9"/>
      <c r="B187" s="1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</row>
    <row r="188" spans="1:47" ht="12.75" x14ac:dyDescent="0.2">
      <c r="A188" s="9"/>
      <c r="B188" s="10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</row>
    <row r="189" spans="1:47" ht="12.75" x14ac:dyDescent="0.2">
      <c r="A189" s="9"/>
      <c r="B189" s="10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</row>
    <row r="190" spans="1:47" ht="12.75" x14ac:dyDescent="0.2">
      <c r="A190" s="9"/>
      <c r="B190" s="10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</row>
    <row r="191" spans="1:47" ht="12.75" x14ac:dyDescent="0.2">
      <c r="A191" s="9"/>
      <c r="B191" s="10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</row>
    <row r="192" spans="1:47" ht="12.75" x14ac:dyDescent="0.2">
      <c r="A192" s="9"/>
      <c r="B192" s="10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</row>
    <row r="193" spans="1:47" ht="12.75" x14ac:dyDescent="0.2">
      <c r="A193" s="9"/>
      <c r="B193" s="10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</row>
    <row r="194" spans="1:47" ht="12.75" x14ac:dyDescent="0.2">
      <c r="A194" s="9"/>
      <c r="B194" s="10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</row>
    <row r="195" spans="1:47" ht="12.75" x14ac:dyDescent="0.2">
      <c r="A195" s="9"/>
      <c r="B195" s="10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</row>
    <row r="196" spans="1:47" ht="12.75" x14ac:dyDescent="0.2">
      <c r="A196" s="9"/>
      <c r="B196" s="10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</row>
    <row r="197" spans="1:47" ht="12.75" x14ac:dyDescent="0.2">
      <c r="A197" s="9"/>
      <c r="B197" s="1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</row>
    <row r="198" spans="1:47" ht="12.75" x14ac:dyDescent="0.2">
      <c r="A198" s="9"/>
      <c r="B198" s="10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</row>
    <row r="199" spans="1:47" ht="12.75" x14ac:dyDescent="0.2">
      <c r="A199" s="9"/>
      <c r="B199" s="10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</row>
    <row r="200" spans="1:47" ht="12.75" x14ac:dyDescent="0.2">
      <c r="A200" s="9"/>
      <c r="B200" s="10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</row>
    <row r="201" spans="1:47" ht="12.75" x14ac:dyDescent="0.2">
      <c r="A201" s="9"/>
      <c r="B201" s="1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</row>
    <row r="202" spans="1:47" ht="12.75" x14ac:dyDescent="0.2">
      <c r="A202" s="9"/>
      <c r="B202" s="10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</row>
    <row r="203" spans="1:47" ht="12.75" x14ac:dyDescent="0.2">
      <c r="A203" s="9"/>
      <c r="B203" s="10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</row>
    <row r="204" spans="1:47" ht="12.75" x14ac:dyDescent="0.2">
      <c r="A204" s="9"/>
      <c r="B204" s="10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</row>
    <row r="205" spans="1:47" ht="12.75" x14ac:dyDescent="0.2">
      <c r="A205" s="9"/>
      <c r="B205" s="10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</row>
    <row r="206" spans="1:47" ht="12.75" x14ac:dyDescent="0.2">
      <c r="A206" s="9"/>
      <c r="B206" s="10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</row>
    <row r="207" spans="1:47" ht="12.75" x14ac:dyDescent="0.2">
      <c r="A207" s="9"/>
      <c r="B207" s="10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</row>
    <row r="208" spans="1:47" ht="12.75" x14ac:dyDescent="0.2">
      <c r="A208" s="9"/>
      <c r="B208" s="1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</row>
    <row r="209" spans="1:47" ht="12.75" x14ac:dyDescent="0.2">
      <c r="A209" s="9"/>
      <c r="B209" s="10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</row>
    <row r="210" spans="1:47" ht="12.75" x14ac:dyDescent="0.2">
      <c r="A210" s="9"/>
      <c r="B210" s="10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</row>
    <row r="211" spans="1:47" ht="12.75" x14ac:dyDescent="0.2">
      <c r="A211" s="9"/>
      <c r="B211" s="10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</row>
    <row r="212" spans="1:47" ht="12.75" x14ac:dyDescent="0.2">
      <c r="A212" s="9"/>
      <c r="B212" s="10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</row>
    <row r="213" spans="1:47" ht="12.75" x14ac:dyDescent="0.2">
      <c r="A213" s="9"/>
      <c r="B213" s="10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</row>
    <row r="214" spans="1:47" ht="12.75" x14ac:dyDescent="0.2">
      <c r="A214" s="9"/>
      <c r="B214" s="10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</row>
    <row r="215" spans="1:47" ht="12.75" x14ac:dyDescent="0.2">
      <c r="A215" s="9"/>
      <c r="B215" s="10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</row>
    <row r="216" spans="1:47" ht="12.75" x14ac:dyDescent="0.2">
      <c r="A216" s="9"/>
      <c r="B216" s="10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</row>
    <row r="217" spans="1:47" ht="12.75" x14ac:dyDescent="0.2">
      <c r="A217" s="9"/>
      <c r="B217" s="10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</row>
    <row r="218" spans="1:47" ht="12.75" x14ac:dyDescent="0.2">
      <c r="A218" s="9"/>
      <c r="B218" s="10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</row>
    <row r="219" spans="1:47" ht="12.75" x14ac:dyDescent="0.2">
      <c r="A219" s="9"/>
      <c r="B219" s="10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</row>
    <row r="220" spans="1:47" ht="12.75" x14ac:dyDescent="0.2">
      <c r="A220" s="9"/>
      <c r="B220" s="10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</row>
    <row r="221" spans="1:47" ht="12.75" x14ac:dyDescent="0.2">
      <c r="A221" s="9"/>
      <c r="B221" s="10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</row>
    <row r="222" spans="1:47" ht="12.75" x14ac:dyDescent="0.2">
      <c r="A222" s="9"/>
      <c r="B222" s="10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</row>
    <row r="223" spans="1:47" ht="12.75" x14ac:dyDescent="0.2">
      <c r="A223" s="9"/>
      <c r="B223" s="10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</row>
    <row r="224" spans="1:47" ht="12.75" x14ac:dyDescent="0.2">
      <c r="A224" s="9"/>
      <c r="B224" s="10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</row>
    <row r="225" spans="1:47" ht="12.75" x14ac:dyDescent="0.2">
      <c r="A225" s="9"/>
      <c r="B225" s="10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</row>
    <row r="226" spans="1:47" ht="12.75" x14ac:dyDescent="0.2">
      <c r="A226" s="9"/>
      <c r="B226" s="10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</row>
    <row r="227" spans="1:47" ht="12.75" x14ac:dyDescent="0.2">
      <c r="A227" s="9"/>
      <c r="B227" s="10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</row>
    <row r="228" spans="1:47" ht="12.75" x14ac:dyDescent="0.2">
      <c r="A228" s="9"/>
      <c r="B228" s="10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</row>
    <row r="229" spans="1:47" ht="12.75" x14ac:dyDescent="0.2">
      <c r="A229" s="9"/>
      <c r="B229" s="10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</row>
    <row r="230" spans="1:47" ht="12.75" x14ac:dyDescent="0.2">
      <c r="A230" s="9"/>
      <c r="B230" s="10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</row>
    <row r="231" spans="1:47" ht="12.75" x14ac:dyDescent="0.2">
      <c r="A231" s="9"/>
      <c r="B231" s="10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</row>
    <row r="232" spans="1:47" ht="12.75" x14ac:dyDescent="0.2">
      <c r="A232" s="9"/>
      <c r="B232" s="10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</row>
    <row r="233" spans="1:47" ht="12.75" x14ac:dyDescent="0.2">
      <c r="A233" s="9"/>
      <c r="B233" s="10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</row>
    <row r="234" spans="1:47" ht="12.75" x14ac:dyDescent="0.2">
      <c r="A234" s="9"/>
      <c r="B234" s="10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</row>
    <row r="235" spans="1:47" ht="12.75" x14ac:dyDescent="0.2">
      <c r="A235" s="9"/>
      <c r="B235" s="10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</row>
    <row r="236" spans="1:47" ht="12.75" x14ac:dyDescent="0.2">
      <c r="A236" s="9"/>
      <c r="B236" s="10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</row>
    <row r="237" spans="1:47" ht="12.75" x14ac:dyDescent="0.2">
      <c r="A237" s="9"/>
      <c r="B237" s="10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</row>
    <row r="238" spans="1:47" ht="12.75" x14ac:dyDescent="0.2">
      <c r="A238" s="9"/>
      <c r="B238" s="10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</row>
    <row r="239" spans="1:47" ht="12.75" x14ac:dyDescent="0.2">
      <c r="A239" s="9"/>
      <c r="B239" s="10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</row>
    <row r="240" spans="1:47" ht="12.75" x14ac:dyDescent="0.2">
      <c r="A240" s="9"/>
      <c r="B240" s="10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</row>
    <row r="241" spans="1:47" ht="12.75" x14ac:dyDescent="0.2">
      <c r="A241" s="9"/>
      <c r="B241" s="10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</row>
    <row r="242" spans="1:47" ht="12.75" x14ac:dyDescent="0.2">
      <c r="A242" s="9"/>
      <c r="B242" s="10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</row>
    <row r="243" spans="1:47" ht="12.75" x14ac:dyDescent="0.2">
      <c r="A243" s="9"/>
      <c r="B243" s="10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</row>
    <row r="244" spans="1:47" ht="12.75" x14ac:dyDescent="0.2">
      <c r="A244" s="9"/>
      <c r="B244" s="10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</row>
    <row r="245" spans="1:47" ht="12.75" x14ac:dyDescent="0.2">
      <c r="A245" s="9"/>
      <c r="B245" s="10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</row>
    <row r="246" spans="1:47" ht="12.75" x14ac:dyDescent="0.2">
      <c r="A246" s="9"/>
      <c r="B246" s="10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</row>
    <row r="247" spans="1:47" ht="12.75" x14ac:dyDescent="0.2">
      <c r="A247" s="9"/>
      <c r="B247" s="10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</row>
    <row r="248" spans="1:47" ht="12.75" x14ac:dyDescent="0.2">
      <c r="A248" s="9"/>
      <c r="B248" s="10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</row>
    <row r="249" spans="1:47" ht="12.75" x14ac:dyDescent="0.2">
      <c r="A249" s="9"/>
      <c r="B249" s="10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</row>
    <row r="250" spans="1:47" ht="12.75" x14ac:dyDescent="0.2">
      <c r="A250" s="9"/>
      <c r="B250" s="10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</row>
    <row r="251" spans="1:47" ht="12.75" x14ac:dyDescent="0.2">
      <c r="A251" s="9"/>
      <c r="B251" s="10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</row>
    <row r="252" spans="1:47" ht="12.75" x14ac:dyDescent="0.2">
      <c r="A252" s="9"/>
      <c r="B252" s="10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</row>
    <row r="253" spans="1:47" ht="12.75" x14ac:dyDescent="0.2">
      <c r="A253" s="9"/>
      <c r="B253" s="10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</row>
    <row r="254" spans="1:47" ht="12.75" x14ac:dyDescent="0.2">
      <c r="A254" s="9"/>
      <c r="B254" s="10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</row>
    <row r="255" spans="1:47" ht="12.75" x14ac:dyDescent="0.2">
      <c r="A255" s="9"/>
      <c r="B255" s="10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</row>
    <row r="256" spans="1:47" ht="12.75" x14ac:dyDescent="0.2">
      <c r="A256" s="9"/>
      <c r="B256" s="10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</row>
    <row r="257" spans="1:47" ht="12.75" x14ac:dyDescent="0.2">
      <c r="A257" s="9"/>
      <c r="B257" s="10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</row>
    <row r="258" spans="1:47" ht="12.75" x14ac:dyDescent="0.2">
      <c r="A258" s="9"/>
      <c r="B258" s="10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</row>
    <row r="259" spans="1:47" ht="12.75" x14ac:dyDescent="0.2">
      <c r="A259" s="9"/>
      <c r="B259" s="10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</row>
    <row r="260" spans="1:47" ht="12.75" x14ac:dyDescent="0.2">
      <c r="A260" s="9"/>
      <c r="B260" s="10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</row>
    <row r="261" spans="1:47" ht="12.75" x14ac:dyDescent="0.2">
      <c r="A261" s="9"/>
      <c r="B261" s="10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</row>
    <row r="262" spans="1:47" ht="12.75" x14ac:dyDescent="0.2">
      <c r="A262" s="9"/>
      <c r="B262" s="10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</row>
    <row r="263" spans="1:47" ht="12.75" x14ac:dyDescent="0.2">
      <c r="A263" s="9"/>
      <c r="B263" s="10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</row>
    <row r="264" spans="1:47" ht="12.75" x14ac:dyDescent="0.2">
      <c r="A264" s="9"/>
      <c r="B264" s="10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</row>
    <row r="265" spans="1:47" ht="12.75" x14ac:dyDescent="0.2">
      <c r="A265" s="9"/>
      <c r="B265" s="10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</row>
    <row r="266" spans="1:47" ht="12.75" x14ac:dyDescent="0.2">
      <c r="A266" s="9"/>
      <c r="B266" s="10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</row>
    <row r="267" spans="1:47" ht="12.75" x14ac:dyDescent="0.2">
      <c r="A267" s="9"/>
      <c r="B267" s="10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</row>
    <row r="268" spans="1:47" ht="12.75" x14ac:dyDescent="0.2">
      <c r="A268" s="9"/>
      <c r="B268" s="10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</row>
    <row r="269" spans="1:47" ht="12.75" x14ac:dyDescent="0.2">
      <c r="A269" s="9"/>
      <c r="B269" s="10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</row>
    <row r="270" spans="1:47" ht="12.75" x14ac:dyDescent="0.2">
      <c r="A270" s="9"/>
      <c r="B270" s="10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</row>
    <row r="271" spans="1:47" ht="12.75" x14ac:dyDescent="0.2">
      <c r="A271" s="9"/>
      <c r="B271" s="10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</row>
    <row r="272" spans="1:47" ht="12.75" x14ac:dyDescent="0.2">
      <c r="A272" s="9"/>
      <c r="B272" s="10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</row>
    <row r="273" spans="1:47" ht="12.75" x14ac:dyDescent="0.2">
      <c r="A273" s="9"/>
      <c r="B273" s="10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</row>
    <row r="274" spans="1:47" ht="12.75" x14ac:dyDescent="0.2">
      <c r="A274" s="9"/>
      <c r="B274" s="10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</row>
    <row r="275" spans="1:47" ht="12.75" x14ac:dyDescent="0.2">
      <c r="A275" s="9"/>
      <c r="B275" s="10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</row>
    <row r="276" spans="1:47" ht="12.75" x14ac:dyDescent="0.2">
      <c r="A276" s="9"/>
      <c r="B276" s="10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</row>
    <row r="277" spans="1:47" ht="12.75" x14ac:dyDescent="0.2">
      <c r="A277" s="9"/>
      <c r="B277" s="10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</row>
    <row r="278" spans="1:47" ht="12.75" x14ac:dyDescent="0.2">
      <c r="A278" s="9"/>
      <c r="B278" s="10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</row>
    <row r="279" spans="1:47" ht="12.75" x14ac:dyDescent="0.2">
      <c r="A279" s="9"/>
      <c r="B279" s="10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</row>
    <row r="280" spans="1:47" ht="12.75" x14ac:dyDescent="0.2">
      <c r="A280" s="9"/>
      <c r="B280" s="10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</row>
    <row r="281" spans="1:47" ht="12.75" x14ac:dyDescent="0.2">
      <c r="A281" s="9"/>
      <c r="B281" s="10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</row>
    <row r="282" spans="1:47" ht="12.75" x14ac:dyDescent="0.2">
      <c r="A282" s="9"/>
      <c r="B282" s="10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1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</row>
    <row r="283" spans="1:47" ht="12.75" x14ac:dyDescent="0.2">
      <c r="A283" s="9"/>
      <c r="B283" s="10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</row>
    <row r="284" spans="1:47" ht="12.75" x14ac:dyDescent="0.2">
      <c r="A284" s="9"/>
      <c r="B284" s="10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</row>
    <row r="285" spans="1:47" ht="12.75" x14ac:dyDescent="0.2">
      <c r="A285" s="9"/>
      <c r="B285" s="10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</row>
    <row r="286" spans="1:47" ht="12.75" x14ac:dyDescent="0.2">
      <c r="A286" s="9"/>
      <c r="B286" s="10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</row>
    <row r="287" spans="1:47" ht="12.75" x14ac:dyDescent="0.2">
      <c r="A287" s="9"/>
      <c r="B287" s="10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</row>
    <row r="288" spans="1:47" ht="12.75" x14ac:dyDescent="0.2">
      <c r="A288" s="9"/>
      <c r="B288" s="10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</row>
    <row r="289" spans="1:47" ht="12.75" x14ac:dyDescent="0.2">
      <c r="A289" s="9"/>
      <c r="B289" s="10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</row>
    <row r="290" spans="1:47" ht="12.75" x14ac:dyDescent="0.2">
      <c r="A290" s="9"/>
      <c r="B290" s="10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1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</row>
    <row r="291" spans="1:47" ht="12.75" x14ac:dyDescent="0.2">
      <c r="A291" s="9"/>
      <c r="B291" s="10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</row>
    <row r="292" spans="1:47" ht="12.75" x14ac:dyDescent="0.2">
      <c r="A292" s="9"/>
      <c r="B292" s="10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1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</row>
    <row r="293" spans="1:47" ht="12.75" x14ac:dyDescent="0.2">
      <c r="A293" s="9"/>
      <c r="B293" s="10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</row>
    <row r="294" spans="1:47" ht="12.75" x14ac:dyDescent="0.2">
      <c r="A294" s="9"/>
      <c r="B294" s="10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</row>
    <row r="295" spans="1:47" ht="12.75" x14ac:dyDescent="0.2">
      <c r="A295" s="9"/>
      <c r="B295" s="10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</row>
    <row r="296" spans="1:47" ht="12.75" x14ac:dyDescent="0.2">
      <c r="A296" s="9"/>
      <c r="B296" s="10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</row>
    <row r="297" spans="1:47" ht="12.75" x14ac:dyDescent="0.2">
      <c r="A297" s="9"/>
      <c r="B297" s="10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</row>
    <row r="298" spans="1:47" ht="12.75" x14ac:dyDescent="0.2">
      <c r="A298" s="9"/>
      <c r="B298" s="10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</row>
    <row r="299" spans="1:47" ht="12.75" x14ac:dyDescent="0.2">
      <c r="A299" s="9"/>
      <c r="B299" s="10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</row>
    <row r="300" spans="1:47" ht="12.75" x14ac:dyDescent="0.2">
      <c r="A300" s="9"/>
      <c r="B300" s="10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</row>
    <row r="301" spans="1:47" ht="12.75" x14ac:dyDescent="0.2">
      <c r="A301" s="9"/>
      <c r="B301" s="10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</row>
    <row r="302" spans="1:47" ht="12.75" x14ac:dyDescent="0.2">
      <c r="A302" s="9"/>
      <c r="B302" s="10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1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</row>
    <row r="303" spans="1:47" ht="12.75" x14ac:dyDescent="0.2">
      <c r="A303" s="9"/>
      <c r="B303" s="10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</row>
    <row r="304" spans="1:47" ht="12.75" x14ac:dyDescent="0.2">
      <c r="A304" s="9"/>
      <c r="B304" s="10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</row>
    <row r="305" spans="1:47" ht="12.75" x14ac:dyDescent="0.2">
      <c r="A305" s="9"/>
      <c r="B305" s="10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</row>
    <row r="306" spans="1:47" ht="12.75" x14ac:dyDescent="0.2">
      <c r="A306" s="9"/>
      <c r="B306" s="10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</row>
    <row r="307" spans="1:47" ht="12.75" x14ac:dyDescent="0.2">
      <c r="A307" s="9"/>
      <c r="B307" s="10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</row>
    <row r="308" spans="1:47" ht="12.75" x14ac:dyDescent="0.2">
      <c r="A308" s="9"/>
      <c r="B308" s="10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</row>
    <row r="309" spans="1:47" ht="12.75" x14ac:dyDescent="0.2">
      <c r="A309" s="9"/>
      <c r="B309" s="10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</row>
    <row r="310" spans="1:47" ht="12.75" x14ac:dyDescent="0.2">
      <c r="A310" s="9"/>
      <c r="B310" s="10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1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</row>
    <row r="311" spans="1:47" ht="12.75" x14ac:dyDescent="0.2">
      <c r="A311" s="9"/>
      <c r="B311" s="10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</row>
    <row r="312" spans="1:47" ht="12.75" x14ac:dyDescent="0.2">
      <c r="A312" s="9"/>
      <c r="B312" s="10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</row>
    <row r="313" spans="1:47" ht="12.75" x14ac:dyDescent="0.2">
      <c r="A313" s="9"/>
      <c r="B313" s="10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</row>
    <row r="314" spans="1:47" ht="12.75" x14ac:dyDescent="0.2">
      <c r="A314" s="9"/>
      <c r="B314" s="10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</row>
    <row r="315" spans="1:47" ht="12.75" x14ac:dyDescent="0.2">
      <c r="A315" s="9"/>
      <c r="B315" s="10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</row>
    <row r="316" spans="1:47" ht="12.75" x14ac:dyDescent="0.2">
      <c r="A316" s="9"/>
      <c r="B316" s="10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</row>
    <row r="317" spans="1:47" ht="12.75" x14ac:dyDescent="0.2">
      <c r="A317" s="9"/>
      <c r="B317" s="10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</row>
    <row r="318" spans="1:47" ht="12.75" x14ac:dyDescent="0.2">
      <c r="A318" s="9"/>
      <c r="B318" s="10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</row>
    <row r="319" spans="1:47" ht="12.75" x14ac:dyDescent="0.2">
      <c r="A319" s="9"/>
      <c r="B319" s="10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</row>
    <row r="320" spans="1:47" ht="12.75" x14ac:dyDescent="0.2">
      <c r="A320" s="9"/>
      <c r="B320" s="10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</row>
    <row r="321" spans="1:47" ht="12.75" x14ac:dyDescent="0.2">
      <c r="A321" s="9"/>
      <c r="B321" s="10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</row>
    <row r="322" spans="1:47" ht="12.75" x14ac:dyDescent="0.2">
      <c r="A322" s="9"/>
      <c r="B322" s="10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1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</row>
    <row r="323" spans="1:47" ht="12.75" x14ac:dyDescent="0.2">
      <c r="A323" s="9"/>
      <c r="B323" s="10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</row>
    <row r="324" spans="1:47" ht="12.75" x14ac:dyDescent="0.2">
      <c r="A324" s="9"/>
      <c r="B324" s="10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</row>
    <row r="325" spans="1:47" ht="12.75" x14ac:dyDescent="0.2">
      <c r="A325" s="9"/>
      <c r="B325" s="10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</row>
    <row r="326" spans="1:47" ht="12.75" x14ac:dyDescent="0.2">
      <c r="A326" s="9"/>
      <c r="B326" s="10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</row>
    <row r="327" spans="1:47" ht="12.75" x14ac:dyDescent="0.2">
      <c r="A327" s="9"/>
      <c r="B327" s="10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</row>
    <row r="328" spans="1:47" ht="12.75" x14ac:dyDescent="0.2">
      <c r="A328" s="9"/>
      <c r="B328" s="10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</row>
    <row r="329" spans="1:47" ht="12.75" x14ac:dyDescent="0.2">
      <c r="A329" s="9"/>
      <c r="B329" s="10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</row>
    <row r="330" spans="1:47" ht="12.75" x14ac:dyDescent="0.2">
      <c r="A330" s="9"/>
      <c r="B330" s="10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1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</row>
    <row r="331" spans="1:47" ht="12.75" x14ac:dyDescent="0.2">
      <c r="A331" s="9"/>
      <c r="B331" s="10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</row>
    <row r="332" spans="1:47" ht="12.75" x14ac:dyDescent="0.2">
      <c r="A332" s="9"/>
      <c r="B332" s="10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1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</row>
    <row r="333" spans="1:47" ht="12.75" x14ac:dyDescent="0.2">
      <c r="A333" s="9"/>
      <c r="B333" s="10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</row>
    <row r="334" spans="1:47" ht="12.75" x14ac:dyDescent="0.2">
      <c r="A334" s="9"/>
      <c r="B334" s="10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</row>
    <row r="335" spans="1:47" ht="12.75" x14ac:dyDescent="0.2">
      <c r="A335" s="9"/>
      <c r="B335" s="10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</row>
    <row r="336" spans="1:47" ht="12.75" x14ac:dyDescent="0.2">
      <c r="A336" s="9"/>
      <c r="B336" s="10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</row>
    <row r="337" spans="1:47" ht="12.75" x14ac:dyDescent="0.2">
      <c r="A337" s="9"/>
      <c r="B337" s="10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</row>
    <row r="338" spans="1:47" ht="12.75" x14ac:dyDescent="0.2">
      <c r="A338" s="9"/>
      <c r="B338" s="10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</row>
    <row r="339" spans="1:47" ht="12.75" x14ac:dyDescent="0.2">
      <c r="A339" s="9"/>
      <c r="B339" s="10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</row>
    <row r="340" spans="1:47" ht="12.75" x14ac:dyDescent="0.2">
      <c r="A340" s="9"/>
      <c r="B340" s="10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1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</row>
    <row r="341" spans="1:47" ht="12.75" x14ac:dyDescent="0.2">
      <c r="A341" s="9"/>
      <c r="B341" s="10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</row>
    <row r="342" spans="1:47" ht="12.75" x14ac:dyDescent="0.2">
      <c r="A342" s="9"/>
      <c r="B342" s="10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</row>
    <row r="343" spans="1:47" ht="12.75" x14ac:dyDescent="0.2">
      <c r="A343" s="9"/>
      <c r="B343" s="10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</row>
    <row r="344" spans="1:47" ht="12.75" x14ac:dyDescent="0.2">
      <c r="A344" s="9"/>
      <c r="B344" s="10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</row>
    <row r="345" spans="1:47" ht="12.75" x14ac:dyDescent="0.2">
      <c r="A345" s="9"/>
      <c r="B345" s="10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</row>
    <row r="346" spans="1:47" ht="12.75" x14ac:dyDescent="0.2">
      <c r="A346" s="9"/>
      <c r="B346" s="10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</row>
    <row r="347" spans="1:47" ht="12.75" x14ac:dyDescent="0.2">
      <c r="A347" s="9"/>
      <c r="B347" s="10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</row>
    <row r="348" spans="1:47" ht="12.75" x14ac:dyDescent="0.2">
      <c r="A348" s="9"/>
      <c r="B348" s="10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</row>
    <row r="349" spans="1:47" ht="12.75" x14ac:dyDescent="0.2">
      <c r="A349" s="9"/>
      <c r="B349" s="10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</row>
    <row r="350" spans="1:47" ht="12.75" x14ac:dyDescent="0.2">
      <c r="A350" s="9"/>
      <c r="B350" s="10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1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</row>
    <row r="351" spans="1:47" ht="12.75" x14ac:dyDescent="0.2">
      <c r="A351" s="9"/>
      <c r="B351" s="10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</row>
    <row r="352" spans="1:47" ht="12.75" x14ac:dyDescent="0.2">
      <c r="A352" s="9"/>
      <c r="B352" s="10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</row>
    <row r="353" spans="1:47" ht="12.75" x14ac:dyDescent="0.2">
      <c r="A353" s="9"/>
      <c r="B353" s="10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</row>
    <row r="354" spans="1:47" ht="12.75" x14ac:dyDescent="0.2">
      <c r="A354" s="9"/>
      <c r="B354" s="10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</row>
    <row r="355" spans="1:47" ht="12.75" x14ac:dyDescent="0.2">
      <c r="A355" s="9"/>
      <c r="B355" s="10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</row>
    <row r="356" spans="1:47" ht="12.75" x14ac:dyDescent="0.2">
      <c r="A356" s="9"/>
      <c r="B356" s="10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</row>
    <row r="357" spans="1:47" ht="12.75" x14ac:dyDescent="0.2">
      <c r="A357" s="9"/>
      <c r="B357" s="10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</row>
    <row r="358" spans="1:47" ht="12.75" x14ac:dyDescent="0.2">
      <c r="A358" s="9"/>
      <c r="B358" s="10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</row>
    <row r="359" spans="1:47" ht="12.75" x14ac:dyDescent="0.2">
      <c r="A359" s="9"/>
      <c r="B359" s="10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</row>
    <row r="360" spans="1:47" ht="12.75" x14ac:dyDescent="0.2">
      <c r="A360" s="9"/>
      <c r="B360" s="10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1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</row>
    <row r="361" spans="1:47" ht="12.75" x14ac:dyDescent="0.2">
      <c r="A361" s="9"/>
      <c r="B361" s="10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</row>
    <row r="362" spans="1:47" ht="12.75" x14ac:dyDescent="0.2">
      <c r="A362" s="9"/>
      <c r="B362" s="10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1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</row>
    <row r="363" spans="1:47" ht="12.75" x14ac:dyDescent="0.2">
      <c r="A363" s="9"/>
      <c r="B363" s="10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</row>
    <row r="364" spans="1:47" ht="12.75" x14ac:dyDescent="0.2">
      <c r="A364" s="9"/>
      <c r="B364" s="10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</row>
    <row r="365" spans="1:47" ht="12.75" x14ac:dyDescent="0.2">
      <c r="A365" s="9"/>
      <c r="B365" s="10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</row>
    <row r="366" spans="1:47" ht="12.75" x14ac:dyDescent="0.2">
      <c r="A366" s="9"/>
      <c r="B366" s="10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</row>
    <row r="367" spans="1:47" ht="12.75" x14ac:dyDescent="0.2">
      <c r="A367" s="9"/>
      <c r="B367" s="10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</row>
    <row r="368" spans="1:47" ht="12.75" x14ac:dyDescent="0.2">
      <c r="A368" s="9"/>
      <c r="B368" s="10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</row>
    <row r="369" spans="1:47" ht="12.75" x14ac:dyDescent="0.2">
      <c r="A369" s="9"/>
      <c r="B369" s="10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</row>
    <row r="370" spans="1:47" ht="12.75" x14ac:dyDescent="0.2">
      <c r="A370" s="9"/>
      <c r="B370" s="10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1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</row>
    <row r="371" spans="1:47" ht="12.75" x14ac:dyDescent="0.2">
      <c r="A371" s="9"/>
      <c r="B371" s="10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</row>
    <row r="372" spans="1:47" ht="12.75" x14ac:dyDescent="0.2">
      <c r="A372" s="9"/>
      <c r="B372" s="10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1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</row>
    <row r="373" spans="1:47" ht="12.75" x14ac:dyDescent="0.2">
      <c r="A373" s="9"/>
      <c r="B373" s="10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</row>
    <row r="374" spans="1:47" ht="12.75" x14ac:dyDescent="0.2">
      <c r="A374" s="9"/>
      <c r="B374" s="10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</row>
    <row r="375" spans="1:47" ht="12.75" x14ac:dyDescent="0.2">
      <c r="A375" s="9"/>
      <c r="B375" s="10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</row>
    <row r="376" spans="1:47" ht="12.75" x14ac:dyDescent="0.2">
      <c r="A376" s="9"/>
      <c r="B376" s="10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</row>
    <row r="377" spans="1:47" ht="12.75" x14ac:dyDescent="0.2">
      <c r="A377" s="9"/>
      <c r="B377" s="10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</row>
    <row r="378" spans="1:47" ht="12.75" x14ac:dyDescent="0.2">
      <c r="A378" s="9"/>
      <c r="B378" s="10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</row>
    <row r="379" spans="1:47" ht="12.75" x14ac:dyDescent="0.2">
      <c r="A379" s="9"/>
      <c r="B379" s="10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</row>
    <row r="380" spans="1:47" ht="12.75" x14ac:dyDescent="0.2">
      <c r="A380" s="9"/>
      <c r="B380" s="10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</row>
    <row r="381" spans="1:47" ht="12.75" x14ac:dyDescent="0.2">
      <c r="A381" s="9"/>
      <c r="B381" s="10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</row>
    <row r="382" spans="1:47" ht="12.75" x14ac:dyDescent="0.2">
      <c r="A382" s="9"/>
      <c r="B382" s="10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</row>
    <row r="383" spans="1:47" ht="12.75" x14ac:dyDescent="0.2">
      <c r="A383" s="9"/>
      <c r="B383" s="10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</row>
    <row r="384" spans="1:47" ht="12.75" x14ac:dyDescent="0.2">
      <c r="A384" s="9"/>
      <c r="B384" s="10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</row>
    <row r="385" spans="1:47" ht="12.75" x14ac:dyDescent="0.2">
      <c r="A385" s="9"/>
      <c r="B385" s="10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</row>
    <row r="386" spans="1:47" ht="12.75" x14ac:dyDescent="0.2">
      <c r="A386" s="9"/>
      <c r="B386" s="10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</row>
    <row r="387" spans="1:47" ht="12.75" x14ac:dyDescent="0.2">
      <c r="A387" s="9"/>
      <c r="B387" s="10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</row>
    <row r="388" spans="1:47" ht="12.75" x14ac:dyDescent="0.2">
      <c r="A388" s="9"/>
      <c r="B388" s="10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</row>
    <row r="389" spans="1:47" ht="12.75" x14ac:dyDescent="0.2">
      <c r="A389" s="9"/>
      <c r="B389" s="10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</row>
    <row r="390" spans="1:47" ht="12.75" x14ac:dyDescent="0.2">
      <c r="A390" s="9"/>
      <c r="B390" s="10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</row>
    <row r="391" spans="1:47" ht="12.75" x14ac:dyDescent="0.2">
      <c r="A391" s="9"/>
      <c r="B391" s="10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</row>
    <row r="392" spans="1:47" ht="12.75" x14ac:dyDescent="0.2">
      <c r="A392" s="9"/>
      <c r="B392" s="10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1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</row>
    <row r="393" spans="1:47" ht="12.75" x14ac:dyDescent="0.2">
      <c r="A393" s="9"/>
      <c r="B393" s="10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</row>
    <row r="394" spans="1:47" ht="12.75" x14ac:dyDescent="0.2">
      <c r="A394" s="9"/>
      <c r="B394" s="10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</row>
    <row r="395" spans="1:47" ht="12.75" x14ac:dyDescent="0.2">
      <c r="A395" s="9"/>
      <c r="B395" s="10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</row>
    <row r="396" spans="1:47" ht="12.75" x14ac:dyDescent="0.2">
      <c r="A396" s="9"/>
      <c r="B396" s="10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</row>
    <row r="397" spans="1:47" ht="12.75" x14ac:dyDescent="0.2">
      <c r="A397" s="9"/>
      <c r="B397" s="10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</row>
    <row r="398" spans="1:47" ht="12.75" x14ac:dyDescent="0.2">
      <c r="A398" s="9"/>
      <c r="B398" s="10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</row>
    <row r="399" spans="1:47" ht="12.75" x14ac:dyDescent="0.2">
      <c r="A399" s="9"/>
      <c r="B399" s="10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</row>
    <row r="400" spans="1:47" ht="12.75" x14ac:dyDescent="0.2">
      <c r="A400" s="9"/>
      <c r="B400" s="10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1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</row>
    <row r="401" spans="1:47" ht="12.75" x14ac:dyDescent="0.2">
      <c r="A401" s="9"/>
      <c r="B401" s="10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</row>
    <row r="402" spans="1:47" ht="12.75" x14ac:dyDescent="0.2">
      <c r="A402" s="9"/>
      <c r="B402" s="10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1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</row>
    <row r="403" spans="1:47" ht="12.75" x14ac:dyDescent="0.2">
      <c r="A403" s="9"/>
      <c r="B403" s="10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</row>
    <row r="404" spans="1:47" ht="12.75" x14ac:dyDescent="0.2">
      <c r="A404" s="9"/>
      <c r="B404" s="10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1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</row>
    <row r="405" spans="1:47" ht="12.75" x14ac:dyDescent="0.2">
      <c r="A405" s="9"/>
      <c r="B405" s="10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</row>
    <row r="406" spans="1:47" ht="12.75" x14ac:dyDescent="0.2">
      <c r="A406" s="9"/>
      <c r="B406" s="10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</row>
    <row r="407" spans="1:47" ht="12.75" x14ac:dyDescent="0.2">
      <c r="A407" s="9"/>
      <c r="B407" s="10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</row>
    <row r="408" spans="1:47" ht="12.75" x14ac:dyDescent="0.2">
      <c r="A408" s="9"/>
      <c r="B408" s="10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</row>
    <row r="409" spans="1:47" ht="12.75" x14ac:dyDescent="0.2">
      <c r="A409" s="9"/>
      <c r="B409" s="10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</row>
    <row r="410" spans="1:47" ht="12.75" x14ac:dyDescent="0.2">
      <c r="A410" s="9"/>
      <c r="B410" s="10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</row>
    <row r="411" spans="1:47" ht="12.75" x14ac:dyDescent="0.2">
      <c r="A411" s="9"/>
      <c r="B411" s="10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</row>
    <row r="412" spans="1:47" ht="12.75" x14ac:dyDescent="0.2">
      <c r="A412" s="9"/>
      <c r="B412" s="10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</row>
    <row r="413" spans="1:47" ht="12.75" x14ac:dyDescent="0.2">
      <c r="A413" s="9"/>
      <c r="B413" s="10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</row>
    <row r="414" spans="1:47" ht="12.75" x14ac:dyDescent="0.2">
      <c r="A414" s="9"/>
      <c r="B414" s="10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</row>
    <row r="415" spans="1:47" ht="12.75" x14ac:dyDescent="0.2">
      <c r="A415" s="9"/>
      <c r="B415" s="10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</row>
    <row r="416" spans="1:47" ht="12.75" x14ac:dyDescent="0.2">
      <c r="A416" s="9"/>
      <c r="B416" s="10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</row>
    <row r="417" spans="1:47" ht="12.75" x14ac:dyDescent="0.2">
      <c r="A417" s="9"/>
      <c r="B417" s="10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</row>
    <row r="418" spans="1:47" ht="12.75" x14ac:dyDescent="0.2">
      <c r="A418" s="9"/>
      <c r="B418" s="10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</row>
    <row r="419" spans="1:47" ht="12.75" x14ac:dyDescent="0.2">
      <c r="A419" s="9"/>
      <c r="B419" s="10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</row>
    <row r="420" spans="1:47" ht="12.75" x14ac:dyDescent="0.2">
      <c r="A420" s="9"/>
      <c r="B420" s="10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</row>
    <row r="421" spans="1:47" ht="12.75" x14ac:dyDescent="0.2">
      <c r="A421" s="9"/>
      <c r="B421" s="10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</row>
    <row r="422" spans="1:47" ht="12.75" x14ac:dyDescent="0.2">
      <c r="A422" s="9"/>
      <c r="B422" s="10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</row>
    <row r="423" spans="1:47" ht="12.75" x14ac:dyDescent="0.2">
      <c r="A423" s="9"/>
      <c r="B423" s="10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</row>
    <row r="424" spans="1:47" ht="12.75" x14ac:dyDescent="0.2">
      <c r="A424" s="9"/>
      <c r="B424" s="10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</row>
    <row r="425" spans="1:47" ht="12.75" x14ac:dyDescent="0.2">
      <c r="A425" s="9"/>
      <c r="B425" s="10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</row>
    <row r="426" spans="1:47" ht="12.75" x14ac:dyDescent="0.2">
      <c r="A426" s="9"/>
      <c r="B426" s="10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</row>
    <row r="427" spans="1:47" ht="12.75" x14ac:dyDescent="0.2">
      <c r="A427" s="9"/>
      <c r="B427" s="10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</row>
    <row r="428" spans="1:47" ht="12.75" x14ac:dyDescent="0.2">
      <c r="A428" s="9"/>
      <c r="B428" s="10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</row>
    <row r="429" spans="1:47" ht="12.75" x14ac:dyDescent="0.2">
      <c r="A429" s="9"/>
      <c r="B429" s="10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</row>
    <row r="430" spans="1:47" ht="12.75" x14ac:dyDescent="0.2">
      <c r="A430" s="9"/>
      <c r="B430" s="10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</row>
    <row r="431" spans="1:47" ht="12.75" x14ac:dyDescent="0.2">
      <c r="A431" s="9"/>
      <c r="B431" s="10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</row>
    <row r="432" spans="1:47" ht="12.75" x14ac:dyDescent="0.2">
      <c r="A432" s="9"/>
      <c r="B432" s="10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</row>
    <row r="433" spans="1:47" ht="12.75" x14ac:dyDescent="0.2">
      <c r="A433" s="9"/>
      <c r="B433" s="10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</row>
    <row r="434" spans="1:47" ht="12.75" x14ac:dyDescent="0.2">
      <c r="A434" s="9"/>
      <c r="B434" s="10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</row>
    <row r="435" spans="1:47" ht="12.75" x14ac:dyDescent="0.2">
      <c r="A435" s="9"/>
      <c r="B435" s="10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</row>
    <row r="436" spans="1:47" ht="12.75" x14ac:dyDescent="0.2">
      <c r="A436" s="9"/>
      <c r="B436" s="10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</row>
    <row r="437" spans="1:47" ht="12.75" x14ac:dyDescent="0.2">
      <c r="A437" s="9"/>
      <c r="B437" s="10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</row>
    <row r="438" spans="1:47" ht="12.75" x14ac:dyDescent="0.2">
      <c r="A438" s="9"/>
      <c r="B438" s="10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</row>
    <row r="439" spans="1:47" ht="12.75" x14ac:dyDescent="0.2">
      <c r="A439" s="9"/>
      <c r="B439" s="10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</row>
    <row r="440" spans="1:47" ht="12.75" x14ac:dyDescent="0.2">
      <c r="A440" s="9"/>
      <c r="B440" s="10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</row>
    <row r="441" spans="1:47" ht="12.75" x14ac:dyDescent="0.2">
      <c r="A441" s="9"/>
      <c r="B441" s="10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</row>
    <row r="442" spans="1:47" ht="12.75" x14ac:dyDescent="0.2">
      <c r="A442" s="9"/>
      <c r="B442" s="10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</row>
    <row r="443" spans="1:47" ht="12.75" x14ac:dyDescent="0.2">
      <c r="A443" s="9"/>
      <c r="B443" s="10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</row>
    <row r="444" spans="1:47" ht="12.75" x14ac:dyDescent="0.2">
      <c r="A444" s="9"/>
      <c r="B444" s="10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</row>
    <row r="445" spans="1:47" ht="12.75" x14ac:dyDescent="0.2">
      <c r="A445" s="9"/>
      <c r="B445" s="10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</row>
    <row r="446" spans="1:47" ht="12.75" x14ac:dyDescent="0.2">
      <c r="A446" s="9"/>
      <c r="B446" s="10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</row>
    <row r="447" spans="1:47" ht="12.75" x14ac:dyDescent="0.2">
      <c r="A447" s="9"/>
      <c r="B447" s="10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</row>
    <row r="448" spans="1:47" ht="12.75" x14ac:dyDescent="0.2">
      <c r="A448" s="9"/>
      <c r="B448" s="10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</row>
    <row r="449" spans="1:47" ht="12.75" x14ac:dyDescent="0.2">
      <c r="A449" s="9"/>
      <c r="B449" s="10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</row>
    <row r="450" spans="1:47" ht="12.75" x14ac:dyDescent="0.2">
      <c r="A450" s="9"/>
      <c r="B450" s="10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</row>
    <row r="451" spans="1:47" ht="12.75" x14ac:dyDescent="0.2">
      <c r="A451" s="9"/>
      <c r="B451" s="10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</row>
    <row r="452" spans="1:47" ht="12.75" x14ac:dyDescent="0.2">
      <c r="A452" s="9"/>
      <c r="B452" s="10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</row>
    <row r="453" spans="1:47" ht="12.75" x14ac:dyDescent="0.2">
      <c r="A453" s="9"/>
      <c r="B453" s="10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</row>
    <row r="454" spans="1:47" ht="12.75" x14ac:dyDescent="0.2">
      <c r="A454" s="9"/>
      <c r="B454" s="10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</row>
    <row r="455" spans="1:47" ht="12.75" x14ac:dyDescent="0.2">
      <c r="A455" s="9"/>
      <c r="B455" s="10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</row>
    <row r="456" spans="1:47" ht="12.75" x14ac:dyDescent="0.2">
      <c r="A456" s="9"/>
      <c r="B456" s="10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</row>
    <row r="457" spans="1:47" ht="12.75" x14ac:dyDescent="0.2">
      <c r="A457" s="9"/>
      <c r="B457" s="10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</row>
    <row r="458" spans="1:47" ht="12.75" x14ac:dyDescent="0.2">
      <c r="A458" s="9"/>
      <c r="B458" s="10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</row>
    <row r="459" spans="1:47" ht="12.75" x14ac:dyDescent="0.2">
      <c r="A459" s="9"/>
      <c r="B459" s="10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</row>
    <row r="460" spans="1:47" ht="12.75" x14ac:dyDescent="0.2">
      <c r="A460" s="9"/>
      <c r="B460" s="10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</row>
    <row r="461" spans="1:47" ht="12.75" x14ac:dyDescent="0.2">
      <c r="A461" s="9"/>
      <c r="B461" s="10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</row>
    <row r="462" spans="1:47" ht="12.75" x14ac:dyDescent="0.2">
      <c r="A462" s="9"/>
      <c r="B462" s="10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</row>
    <row r="463" spans="1:47" ht="12.75" x14ac:dyDescent="0.2">
      <c r="A463" s="9"/>
      <c r="B463" s="10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</row>
    <row r="464" spans="1:47" ht="12.75" x14ac:dyDescent="0.2">
      <c r="A464" s="9"/>
      <c r="B464" s="10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</row>
    <row r="465" spans="1:47" ht="12.75" x14ac:dyDescent="0.2">
      <c r="A465" s="9"/>
      <c r="B465" s="10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</row>
    <row r="466" spans="1:47" ht="12.75" x14ac:dyDescent="0.2">
      <c r="A466" s="9"/>
      <c r="B466" s="10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</row>
    <row r="467" spans="1:47" ht="12.75" x14ac:dyDescent="0.2">
      <c r="A467" s="9"/>
      <c r="B467" s="10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</row>
    <row r="468" spans="1:47" ht="12.75" x14ac:dyDescent="0.2">
      <c r="A468" s="9"/>
      <c r="B468" s="10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</row>
    <row r="469" spans="1:47" ht="12.75" x14ac:dyDescent="0.2">
      <c r="A469" s="9"/>
      <c r="B469" s="10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</row>
    <row r="470" spans="1:47" ht="12.75" x14ac:dyDescent="0.2">
      <c r="A470" s="9"/>
      <c r="B470" s="10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</row>
    <row r="471" spans="1:47" ht="12.75" x14ac:dyDescent="0.2">
      <c r="A471" s="9"/>
      <c r="B471" s="10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</row>
    <row r="472" spans="1:47" ht="12.75" x14ac:dyDescent="0.2">
      <c r="A472" s="9"/>
      <c r="B472" s="10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</row>
    <row r="473" spans="1:47" ht="12.75" x14ac:dyDescent="0.2">
      <c r="A473" s="9"/>
      <c r="B473" s="10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</row>
    <row r="474" spans="1:47" ht="12.75" x14ac:dyDescent="0.2">
      <c r="A474" s="9"/>
      <c r="B474" s="10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</row>
    <row r="475" spans="1:47" ht="12.75" x14ac:dyDescent="0.2">
      <c r="A475" s="9"/>
      <c r="B475" s="10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</row>
    <row r="476" spans="1:47" ht="12.75" x14ac:dyDescent="0.2">
      <c r="A476" s="9"/>
      <c r="B476" s="10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</row>
    <row r="477" spans="1:47" ht="12.75" x14ac:dyDescent="0.2">
      <c r="A477" s="9"/>
      <c r="B477" s="10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</row>
    <row r="478" spans="1:47" ht="12.75" x14ac:dyDescent="0.2">
      <c r="A478" s="9"/>
      <c r="B478" s="10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</row>
    <row r="479" spans="1:47" ht="12.75" x14ac:dyDescent="0.2">
      <c r="A479" s="9"/>
      <c r="B479" s="10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</row>
    <row r="480" spans="1:47" ht="12.75" x14ac:dyDescent="0.2">
      <c r="A480" s="9"/>
      <c r="B480" s="10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</row>
    <row r="481" spans="1:47" ht="12.75" x14ac:dyDescent="0.2">
      <c r="A481" s="9"/>
      <c r="B481" s="10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</row>
    <row r="482" spans="1:47" ht="12.75" x14ac:dyDescent="0.2">
      <c r="A482" s="9"/>
      <c r="B482" s="10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</row>
    <row r="483" spans="1:47" ht="12.75" x14ac:dyDescent="0.2">
      <c r="A483" s="9"/>
      <c r="B483" s="10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</row>
    <row r="484" spans="1:47" ht="12.75" x14ac:dyDescent="0.2">
      <c r="A484" s="9"/>
      <c r="B484" s="10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</row>
    <row r="485" spans="1:47" ht="12.75" x14ac:dyDescent="0.2">
      <c r="A485" s="9"/>
      <c r="B485" s="10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</row>
    <row r="486" spans="1:47" ht="12.75" x14ac:dyDescent="0.2">
      <c r="A486" s="9"/>
      <c r="B486" s="10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</row>
    <row r="487" spans="1:47" ht="12.75" x14ac:dyDescent="0.2">
      <c r="A487" s="9"/>
      <c r="B487" s="10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</row>
    <row r="488" spans="1:47" ht="12.75" x14ac:dyDescent="0.2">
      <c r="A488" s="9"/>
      <c r="B488" s="10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</row>
    <row r="489" spans="1:47" ht="12.75" x14ac:dyDescent="0.2">
      <c r="A489" s="9"/>
      <c r="B489" s="10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</row>
    <row r="490" spans="1:47" ht="12.75" x14ac:dyDescent="0.2">
      <c r="A490" s="9"/>
      <c r="B490" s="10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</row>
    <row r="491" spans="1:47" ht="12.75" x14ac:dyDescent="0.2">
      <c r="A491" s="9"/>
      <c r="B491" s="10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</row>
    <row r="492" spans="1:47" ht="12.75" x14ac:dyDescent="0.2">
      <c r="A492" s="9"/>
      <c r="B492" s="10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</row>
    <row r="493" spans="1:47" ht="12.75" x14ac:dyDescent="0.2">
      <c r="A493" s="9"/>
      <c r="B493" s="10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</row>
    <row r="494" spans="1:47" ht="12.75" x14ac:dyDescent="0.2">
      <c r="A494" s="9"/>
      <c r="B494" s="10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</row>
    <row r="495" spans="1:47" ht="12.75" x14ac:dyDescent="0.2">
      <c r="A495" s="9"/>
      <c r="B495" s="10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</row>
    <row r="496" spans="1:47" ht="12.75" x14ac:dyDescent="0.2">
      <c r="A496" s="9"/>
      <c r="B496" s="10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</row>
    <row r="497" spans="1:47" ht="12.75" x14ac:dyDescent="0.2">
      <c r="A497" s="9"/>
      <c r="B497" s="10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</row>
    <row r="498" spans="1:47" ht="12.75" x14ac:dyDescent="0.2">
      <c r="A498" s="9"/>
      <c r="B498" s="10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</row>
    <row r="499" spans="1:47" ht="12.75" x14ac:dyDescent="0.2">
      <c r="A499" s="9"/>
      <c r="B499" s="10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</row>
    <row r="500" spans="1:47" ht="12.75" x14ac:dyDescent="0.2">
      <c r="A500" s="9"/>
      <c r="B500" s="10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</row>
    <row r="501" spans="1:47" ht="12.75" x14ac:dyDescent="0.2">
      <c r="A501" s="9"/>
      <c r="B501" s="10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</row>
    <row r="502" spans="1:47" ht="12.75" x14ac:dyDescent="0.2">
      <c r="A502" s="9"/>
      <c r="B502" s="10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</row>
    <row r="503" spans="1:47" ht="12.75" x14ac:dyDescent="0.2">
      <c r="A503" s="9"/>
      <c r="B503" s="10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</row>
    <row r="504" spans="1:47" ht="12.75" x14ac:dyDescent="0.2">
      <c r="A504" s="9"/>
      <c r="B504" s="10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</row>
    <row r="505" spans="1:47" ht="12.75" x14ac:dyDescent="0.2">
      <c r="A505" s="9"/>
      <c r="B505" s="10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</row>
    <row r="506" spans="1:47" ht="12.75" x14ac:dyDescent="0.2">
      <c r="A506" s="9"/>
      <c r="B506" s="10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</row>
    <row r="507" spans="1:47" ht="12.75" x14ac:dyDescent="0.2">
      <c r="A507" s="9"/>
      <c r="B507" s="10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</row>
    <row r="508" spans="1:47" ht="12.75" x14ac:dyDescent="0.2">
      <c r="A508" s="9"/>
      <c r="B508" s="10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</row>
    <row r="509" spans="1:47" ht="12.75" x14ac:dyDescent="0.2">
      <c r="A509" s="9"/>
      <c r="B509" s="10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</row>
    <row r="510" spans="1:47" ht="12.75" x14ac:dyDescent="0.2">
      <c r="A510" s="9"/>
      <c r="B510" s="10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</row>
    <row r="511" spans="1:47" ht="12.75" x14ac:dyDescent="0.2">
      <c r="A511" s="9"/>
      <c r="B511" s="10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</row>
    <row r="512" spans="1:47" ht="12.75" x14ac:dyDescent="0.2">
      <c r="A512" s="9"/>
      <c r="B512" s="10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</row>
    <row r="513" spans="1:47" ht="12.75" x14ac:dyDescent="0.2">
      <c r="A513" s="9"/>
      <c r="B513" s="10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</row>
    <row r="514" spans="1:47" ht="12.75" x14ac:dyDescent="0.2">
      <c r="A514" s="9"/>
      <c r="B514" s="10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</row>
    <row r="515" spans="1:47" ht="12.75" x14ac:dyDescent="0.2">
      <c r="A515" s="9"/>
      <c r="B515" s="10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</row>
    <row r="516" spans="1:47" ht="12.75" x14ac:dyDescent="0.2">
      <c r="A516" s="9"/>
      <c r="B516" s="10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</row>
    <row r="517" spans="1:47" ht="12.75" x14ac:dyDescent="0.2">
      <c r="A517" s="9"/>
      <c r="B517" s="10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</row>
    <row r="518" spans="1:47" ht="12.75" x14ac:dyDescent="0.2">
      <c r="A518" s="9"/>
      <c r="B518" s="10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</row>
    <row r="519" spans="1:47" ht="12.75" x14ac:dyDescent="0.2">
      <c r="A519" s="9"/>
      <c r="B519" s="10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</row>
    <row r="520" spans="1:47" ht="12.75" x14ac:dyDescent="0.2">
      <c r="A520" s="9"/>
      <c r="B520" s="10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</row>
    <row r="521" spans="1:47" ht="12.75" x14ac:dyDescent="0.2">
      <c r="A521" s="9"/>
      <c r="B521" s="10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</row>
    <row r="522" spans="1:47" ht="12.75" x14ac:dyDescent="0.2">
      <c r="A522" s="9"/>
      <c r="B522" s="10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</row>
    <row r="523" spans="1:47" ht="12.75" x14ac:dyDescent="0.2">
      <c r="A523" s="9"/>
      <c r="B523" s="10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</row>
    <row r="524" spans="1:47" ht="12.75" x14ac:dyDescent="0.2">
      <c r="A524" s="9"/>
      <c r="B524" s="10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</row>
    <row r="525" spans="1:47" ht="12.75" x14ac:dyDescent="0.2">
      <c r="A525" s="9"/>
      <c r="B525" s="10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</row>
    <row r="526" spans="1:47" ht="12.75" x14ac:dyDescent="0.2">
      <c r="A526" s="9"/>
      <c r="B526" s="10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</row>
    <row r="527" spans="1:47" ht="12.75" x14ac:dyDescent="0.2">
      <c r="A527" s="9"/>
      <c r="B527" s="10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</row>
    <row r="528" spans="1:47" ht="12.75" x14ac:dyDescent="0.2">
      <c r="A528" s="9"/>
      <c r="B528" s="10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</row>
    <row r="529" spans="1:47" ht="12.75" x14ac:dyDescent="0.2">
      <c r="A529" s="9"/>
      <c r="B529" s="10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</row>
    <row r="530" spans="1:47" ht="12.75" x14ac:dyDescent="0.2">
      <c r="A530" s="9"/>
      <c r="B530" s="10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</row>
    <row r="531" spans="1:47" ht="12.75" x14ac:dyDescent="0.2">
      <c r="A531" s="9"/>
      <c r="B531" s="10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</row>
    <row r="532" spans="1:47" ht="12.75" x14ac:dyDescent="0.2">
      <c r="A532" s="9"/>
      <c r="B532" s="10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</row>
    <row r="533" spans="1:47" ht="12.75" x14ac:dyDescent="0.2">
      <c r="A533" s="9"/>
      <c r="B533" s="10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</row>
    <row r="534" spans="1:47" ht="12.75" x14ac:dyDescent="0.2">
      <c r="A534" s="9"/>
      <c r="B534" s="10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</row>
    <row r="535" spans="1:47" ht="12.75" x14ac:dyDescent="0.2">
      <c r="A535" s="9"/>
      <c r="B535" s="10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</row>
    <row r="536" spans="1:47" ht="12.75" x14ac:dyDescent="0.2">
      <c r="A536" s="9"/>
      <c r="B536" s="10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</row>
    <row r="537" spans="1:47" ht="12.75" x14ac:dyDescent="0.2">
      <c r="A537" s="9"/>
      <c r="B537" s="10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</row>
    <row r="538" spans="1:47" ht="12.75" x14ac:dyDescent="0.2">
      <c r="A538" s="9"/>
      <c r="B538" s="10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</row>
    <row r="539" spans="1:47" ht="12.75" x14ac:dyDescent="0.2">
      <c r="A539" s="9"/>
      <c r="B539" s="10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</row>
    <row r="540" spans="1:47" ht="12.75" x14ac:dyDescent="0.2">
      <c r="A540" s="9"/>
      <c r="B540" s="10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</row>
    <row r="541" spans="1:47" ht="12.75" x14ac:dyDescent="0.2">
      <c r="A541" s="9"/>
      <c r="B541" s="10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</row>
    <row r="542" spans="1:47" ht="12.75" x14ac:dyDescent="0.2">
      <c r="A542" s="9"/>
      <c r="B542" s="10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</row>
    <row r="543" spans="1:47" ht="12.75" x14ac:dyDescent="0.2">
      <c r="A543" s="9"/>
      <c r="B543" s="10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</row>
    <row r="544" spans="1:47" ht="12.75" x14ac:dyDescent="0.2">
      <c r="A544" s="9"/>
      <c r="B544" s="10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</row>
    <row r="545" spans="1:47" ht="12.75" x14ac:dyDescent="0.2">
      <c r="A545" s="9"/>
      <c r="B545" s="10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</row>
    <row r="546" spans="1:47" ht="12.75" x14ac:dyDescent="0.2">
      <c r="A546" s="9"/>
      <c r="B546" s="10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</row>
    <row r="547" spans="1:47" ht="12.75" x14ac:dyDescent="0.2">
      <c r="A547" s="9"/>
      <c r="B547" s="10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</row>
    <row r="548" spans="1:47" ht="12.75" x14ac:dyDescent="0.2">
      <c r="A548" s="9"/>
      <c r="B548" s="10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</row>
    <row r="549" spans="1:47" ht="12.75" x14ac:dyDescent="0.2">
      <c r="A549" s="9"/>
      <c r="B549" s="10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</row>
    <row r="550" spans="1:47" ht="12.75" x14ac:dyDescent="0.2">
      <c r="A550" s="9"/>
      <c r="B550" s="10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</row>
    <row r="551" spans="1:47" ht="12.75" x14ac:dyDescent="0.2">
      <c r="A551" s="9"/>
      <c r="B551" s="10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</row>
    <row r="552" spans="1:47" ht="12.75" x14ac:dyDescent="0.2">
      <c r="A552" s="9"/>
      <c r="B552" s="10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</row>
    <row r="553" spans="1:47" ht="12.75" x14ac:dyDescent="0.2">
      <c r="A553" s="9"/>
      <c r="B553" s="10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</row>
    <row r="554" spans="1:47" ht="12.75" x14ac:dyDescent="0.2">
      <c r="A554" s="9"/>
      <c r="B554" s="10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</row>
    <row r="555" spans="1:47" ht="12.75" x14ac:dyDescent="0.2">
      <c r="A555" s="9"/>
      <c r="B555" s="10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</row>
    <row r="556" spans="1:47" ht="12.75" x14ac:dyDescent="0.2">
      <c r="A556" s="9"/>
      <c r="B556" s="10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</row>
    <row r="557" spans="1:47" ht="12.75" x14ac:dyDescent="0.2">
      <c r="A557" s="9"/>
      <c r="B557" s="10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</row>
    <row r="558" spans="1:47" ht="12.75" x14ac:dyDescent="0.2">
      <c r="A558" s="9"/>
      <c r="B558" s="10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</row>
    <row r="559" spans="1:47" ht="12.75" x14ac:dyDescent="0.2">
      <c r="A559" s="9"/>
      <c r="B559" s="10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</row>
    <row r="560" spans="1:47" ht="12.75" x14ac:dyDescent="0.2">
      <c r="A560" s="9"/>
      <c r="B560" s="10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</row>
    <row r="561" spans="1:47" ht="12.75" x14ac:dyDescent="0.2">
      <c r="A561" s="9"/>
      <c r="B561" s="10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</row>
    <row r="562" spans="1:47" ht="12.75" x14ac:dyDescent="0.2">
      <c r="A562" s="9"/>
      <c r="B562" s="10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</row>
    <row r="563" spans="1:47" ht="12.75" x14ac:dyDescent="0.2">
      <c r="A563" s="9"/>
      <c r="B563" s="10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</row>
    <row r="564" spans="1:47" ht="12.75" x14ac:dyDescent="0.2">
      <c r="A564" s="9"/>
      <c r="B564" s="10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</row>
    <row r="565" spans="1:47" ht="12.75" x14ac:dyDescent="0.2">
      <c r="A565" s="9"/>
      <c r="B565" s="10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</row>
    <row r="566" spans="1:47" ht="12.75" x14ac:dyDescent="0.2">
      <c r="A566" s="9"/>
      <c r="B566" s="10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</row>
    <row r="567" spans="1:47" ht="12.75" x14ac:dyDescent="0.2">
      <c r="A567" s="9"/>
      <c r="B567" s="10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</row>
    <row r="568" spans="1:47" ht="12.75" x14ac:dyDescent="0.2">
      <c r="A568" s="9"/>
      <c r="B568" s="10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</row>
    <row r="569" spans="1:47" ht="12.75" x14ac:dyDescent="0.2">
      <c r="A569" s="9"/>
      <c r="B569" s="10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</row>
    <row r="570" spans="1:47" ht="12.75" x14ac:dyDescent="0.2">
      <c r="A570" s="9"/>
      <c r="B570" s="10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</row>
    <row r="571" spans="1:47" ht="12.75" x14ac:dyDescent="0.2">
      <c r="A571" s="9"/>
      <c r="B571" s="10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</row>
    <row r="572" spans="1:47" ht="12.75" x14ac:dyDescent="0.2">
      <c r="A572" s="9"/>
      <c r="B572" s="10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</row>
    <row r="573" spans="1:47" ht="12.75" x14ac:dyDescent="0.2">
      <c r="A573" s="9"/>
      <c r="B573" s="10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</row>
    <row r="574" spans="1:47" ht="12.75" x14ac:dyDescent="0.2">
      <c r="A574" s="9"/>
      <c r="B574" s="10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</row>
    <row r="575" spans="1:47" ht="12.75" x14ac:dyDescent="0.2">
      <c r="A575" s="9"/>
      <c r="B575" s="10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</row>
    <row r="576" spans="1:47" ht="12.75" x14ac:dyDescent="0.2">
      <c r="A576" s="9"/>
      <c r="B576" s="10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</row>
    <row r="577" spans="1:47" ht="12.75" x14ac:dyDescent="0.2">
      <c r="A577" s="9"/>
      <c r="B577" s="10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</row>
    <row r="578" spans="1:47" ht="12.75" x14ac:dyDescent="0.2">
      <c r="A578" s="9"/>
      <c r="B578" s="10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</row>
    <row r="579" spans="1:47" ht="12.75" x14ac:dyDescent="0.2">
      <c r="A579" s="9"/>
      <c r="B579" s="10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</row>
    <row r="580" spans="1:47" ht="12.75" x14ac:dyDescent="0.2">
      <c r="A580" s="9"/>
      <c r="B580" s="10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</row>
    <row r="581" spans="1:47" ht="12.75" x14ac:dyDescent="0.2">
      <c r="A581" s="9"/>
      <c r="B581" s="10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</row>
    <row r="582" spans="1:47" ht="12.75" x14ac:dyDescent="0.2">
      <c r="A582" s="9"/>
      <c r="B582" s="10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</row>
    <row r="583" spans="1:47" ht="12.75" x14ac:dyDescent="0.2">
      <c r="A583" s="9"/>
      <c r="B583" s="10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</row>
    <row r="584" spans="1:47" ht="12.75" x14ac:dyDescent="0.2">
      <c r="A584" s="9"/>
      <c r="B584" s="10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</row>
    <row r="585" spans="1:47" ht="12.75" x14ac:dyDescent="0.2">
      <c r="A585" s="9"/>
      <c r="B585" s="10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</row>
    <row r="586" spans="1:47" ht="12.75" x14ac:dyDescent="0.2">
      <c r="A586" s="9"/>
      <c r="B586" s="10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</row>
    <row r="587" spans="1:47" ht="12.75" x14ac:dyDescent="0.2">
      <c r="A587" s="9"/>
      <c r="B587" s="10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</row>
    <row r="588" spans="1:47" ht="12.75" x14ac:dyDescent="0.2">
      <c r="A588" s="9"/>
      <c r="B588" s="10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</row>
    <row r="589" spans="1:47" ht="12.75" x14ac:dyDescent="0.2">
      <c r="A589" s="9"/>
      <c r="B589" s="10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</row>
    <row r="590" spans="1:47" ht="12.75" x14ac:dyDescent="0.2">
      <c r="A590" s="9"/>
      <c r="B590" s="10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</row>
    <row r="591" spans="1:47" ht="12.75" x14ac:dyDescent="0.2">
      <c r="A591" s="9"/>
      <c r="B591" s="10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</row>
    <row r="592" spans="1:47" ht="12.75" x14ac:dyDescent="0.2">
      <c r="A592" s="9"/>
      <c r="B592" s="10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</row>
    <row r="593" spans="1:47" ht="12.75" x14ac:dyDescent="0.2">
      <c r="A593" s="9"/>
      <c r="B593" s="10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</row>
    <row r="594" spans="1:47" ht="12.75" x14ac:dyDescent="0.2">
      <c r="A594" s="9"/>
      <c r="B594" s="10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</row>
    <row r="595" spans="1:47" ht="12.75" x14ac:dyDescent="0.2">
      <c r="A595" s="9"/>
      <c r="B595" s="10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</row>
    <row r="596" spans="1:47" ht="12.75" x14ac:dyDescent="0.2">
      <c r="A596" s="9"/>
      <c r="B596" s="10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</row>
    <row r="597" spans="1:47" ht="12.75" x14ac:dyDescent="0.2">
      <c r="A597" s="9"/>
      <c r="B597" s="10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</row>
    <row r="598" spans="1:47" ht="12.75" x14ac:dyDescent="0.2">
      <c r="A598" s="9"/>
      <c r="B598" s="10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</row>
    <row r="599" spans="1:47" ht="12.75" x14ac:dyDescent="0.2">
      <c r="A599" s="9"/>
      <c r="B599" s="10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</row>
    <row r="600" spans="1:47" ht="12.75" x14ac:dyDescent="0.2">
      <c r="A600" s="9"/>
      <c r="B600" s="10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</row>
    <row r="601" spans="1:47" ht="12.75" x14ac:dyDescent="0.2">
      <c r="A601" s="9"/>
      <c r="B601" s="10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</row>
    <row r="602" spans="1:47" ht="12.75" x14ac:dyDescent="0.2">
      <c r="A602" s="9"/>
      <c r="B602" s="10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</row>
    <row r="603" spans="1:47" ht="12.75" x14ac:dyDescent="0.2">
      <c r="A603" s="9"/>
      <c r="B603" s="10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</row>
    <row r="604" spans="1:47" ht="12.75" x14ac:dyDescent="0.2">
      <c r="A604" s="9"/>
      <c r="B604" s="10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</row>
    <row r="605" spans="1:47" ht="12.75" x14ac:dyDescent="0.2">
      <c r="A605" s="9"/>
      <c r="B605" s="10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</row>
    <row r="606" spans="1:47" ht="12.75" x14ac:dyDescent="0.2">
      <c r="A606" s="9"/>
      <c r="B606" s="10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</row>
    <row r="607" spans="1:47" ht="12.75" x14ac:dyDescent="0.2">
      <c r="A607" s="9"/>
      <c r="B607" s="10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</row>
    <row r="608" spans="1:47" ht="12.75" x14ac:dyDescent="0.2">
      <c r="A608" s="9"/>
      <c r="B608" s="10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</row>
    <row r="609" spans="1:47" ht="12.75" x14ac:dyDescent="0.2">
      <c r="A609" s="9"/>
      <c r="B609" s="10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</row>
    <row r="610" spans="1:47" ht="12.75" x14ac:dyDescent="0.2">
      <c r="A610" s="9"/>
      <c r="B610" s="10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</row>
    <row r="611" spans="1:47" ht="12.75" x14ac:dyDescent="0.2">
      <c r="A611" s="9"/>
      <c r="B611" s="10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</row>
    <row r="612" spans="1:47" ht="12.75" x14ac:dyDescent="0.2">
      <c r="A612" s="9"/>
      <c r="B612" s="10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</row>
    <row r="613" spans="1:47" ht="12.75" x14ac:dyDescent="0.2">
      <c r="A613" s="9"/>
      <c r="B613" s="10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</row>
    <row r="614" spans="1:47" ht="12.75" x14ac:dyDescent="0.2">
      <c r="A614" s="9"/>
      <c r="B614" s="10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</row>
    <row r="615" spans="1:47" ht="12.75" x14ac:dyDescent="0.2">
      <c r="A615" s="9"/>
      <c r="B615" s="10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</row>
    <row r="616" spans="1:47" ht="12.75" x14ac:dyDescent="0.2">
      <c r="A616" s="9"/>
      <c r="B616" s="10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</row>
    <row r="617" spans="1:47" ht="12.75" x14ac:dyDescent="0.2">
      <c r="A617" s="9"/>
      <c r="B617" s="10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</row>
    <row r="618" spans="1:47" ht="12.75" x14ac:dyDescent="0.2">
      <c r="A618" s="9"/>
      <c r="B618" s="10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</row>
    <row r="619" spans="1:47" ht="12.75" x14ac:dyDescent="0.2">
      <c r="A619" s="9"/>
      <c r="B619" s="10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</row>
    <row r="620" spans="1:47" ht="12.75" x14ac:dyDescent="0.2">
      <c r="A620" s="9"/>
      <c r="B620" s="10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</row>
    <row r="621" spans="1:47" ht="12.75" x14ac:dyDescent="0.2">
      <c r="A621" s="9"/>
      <c r="B621" s="10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</row>
    <row r="622" spans="1:47" ht="12.75" x14ac:dyDescent="0.2">
      <c r="A622" s="9"/>
      <c r="B622" s="10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</row>
    <row r="623" spans="1:47" ht="12.75" x14ac:dyDescent="0.2">
      <c r="A623" s="9"/>
      <c r="B623" s="10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</row>
    <row r="624" spans="1:47" ht="12.75" x14ac:dyDescent="0.2">
      <c r="A624" s="9"/>
      <c r="B624" s="10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</row>
    <row r="625" spans="1:47" ht="12.75" x14ac:dyDescent="0.2">
      <c r="A625" s="9"/>
      <c r="B625" s="10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</row>
    <row r="626" spans="1:47" ht="12.75" x14ac:dyDescent="0.2">
      <c r="A626" s="9"/>
      <c r="B626" s="10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</row>
    <row r="627" spans="1:47" ht="12.75" x14ac:dyDescent="0.2">
      <c r="A627" s="9"/>
      <c r="B627" s="10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</row>
    <row r="628" spans="1:47" ht="12.75" x14ac:dyDescent="0.2">
      <c r="A628" s="9"/>
      <c r="B628" s="10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</row>
    <row r="629" spans="1:47" ht="12.75" x14ac:dyDescent="0.2">
      <c r="A629" s="9"/>
      <c r="B629" s="10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</row>
    <row r="630" spans="1:47" ht="12.75" x14ac:dyDescent="0.2">
      <c r="A630" s="9"/>
      <c r="B630" s="10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</row>
    <row r="631" spans="1:47" ht="12.75" x14ac:dyDescent="0.2">
      <c r="A631" s="9"/>
      <c r="B631" s="10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</row>
    <row r="632" spans="1:47" ht="12.75" x14ac:dyDescent="0.2">
      <c r="A632" s="9"/>
      <c r="B632" s="10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</row>
    <row r="633" spans="1:47" ht="12.75" x14ac:dyDescent="0.2">
      <c r="A633" s="9"/>
      <c r="B633" s="10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</row>
    <row r="634" spans="1:47" ht="12.75" x14ac:dyDescent="0.2">
      <c r="A634" s="9"/>
      <c r="B634" s="10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</row>
    <row r="635" spans="1:47" ht="12.75" x14ac:dyDescent="0.2">
      <c r="A635" s="9"/>
      <c r="B635" s="10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</row>
    <row r="636" spans="1:47" ht="12.75" x14ac:dyDescent="0.2">
      <c r="A636" s="9"/>
      <c r="B636" s="10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</row>
    <row r="637" spans="1:47" ht="12.75" x14ac:dyDescent="0.2">
      <c r="A637" s="9"/>
      <c r="B637" s="10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</row>
    <row r="638" spans="1:47" ht="12.75" x14ac:dyDescent="0.2">
      <c r="A638" s="9"/>
      <c r="B638" s="10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</row>
    <row r="639" spans="1:47" ht="12.75" x14ac:dyDescent="0.2">
      <c r="A639" s="9"/>
      <c r="B639" s="10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</row>
    <row r="640" spans="1:47" ht="12.75" x14ac:dyDescent="0.2">
      <c r="A640" s="9"/>
      <c r="B640" s="10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</row>
    <row r="641" spans="1:47" ht="12.75" x14ac:dyDescent="0.2">
      <c r="A641" s="9"/>
      <c r="B641" s="10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</row>
    <row r="642" spans="1:47" ht="12.75" x14ac:dyDescent="0.2">
      <c r="A642" s="9"/>
      <c r="B642" s="10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</row>
    <row r="643" spans="1:47" ht="12.75" x14ac:dyDescent="0.2">
      <c r="A643" s="9"/>
      <c r="B643" s="10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</row>
    <row r="644" spans="1:47" ht="12.75" x14ac:dyDescent="0.2">
      <c r="A644" s="9"/>
      <c r="B644" s="10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</row>
    <row r="645" spans="1:47" ht="12.75" x14ac:dyDescent="0.2">
      <c r="A645" s="9"/>
      <c r="B645" s="10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</row>
    <row r="646" spans="1:47" ht="12.75" x14ac:dyDescent="0.2">
      <c r="A646" s="9"/>
      <c r="B646" s="10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</row>
    <row r="647" spans="1:47" ht="12.75" x14ac:dyDescent="0.2">
      <c r="A647" s="9"/>
      <c r="B647" s="10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</row>
    <row r="648" spans="1:47" ht="12.75" x14ac:dyDescent="0.2">
      <c r="A648" s="9"/>
      <c r="B648" s="10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</row>
    <row r="649" spans="1:47" ht="12.75" x14ac:dyDescent="0.2">
      <c r="A649" s="9"/>
      <c r="B649" s="10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</row>
    <row r="650" spans="1:47" ht="12.75" x14ac:dyDescent="0.2">
      <c r="A650" s="9"/>
      <c r="B650" s="10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</row>
    <row r="651" spans="1:47" ht="12.75" x14ac:dyDescent="0.2">
      <c r="A651" s="9"/>
      <c r="B651" s="10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</row>
    <row r="652" spans="1:47" ht="12.75" x14ac:dyDescent="0.2">
      <c r="A652" s="9"/>
      <c r="B652" s="10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</row>
    <row r="653" spans="1:47" ht="12.75" x14ac:dyDescent="0.2">
      <c r="A653" s="9"/>
      <c r="B653" s="10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</row>
    <row r="654" spans="1:47" ht="12.75" x14ac:dyDescent="0.2">
      <c r="A654" s="9"/>
      <c r="B654" s="10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</row>
    <row r="655" spans="1:47" ht="12.75" x14ac:dyDescent="0.2">
      <c r="A655" s="9"/>
      <c r="B655" s="10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</row>
    <row r="656" spans="1:47" ht="12.75" x14ac:dyDescent="0.2">
      <c r="A656" s="9"/>
      <c r="B656" s="10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</row>
    <row r="657" spans="1:47" ht="12.75" x14ac:dyDescent="0.2">
      <c r="A657" s="9"/>
      <c r="B657" s="10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</row>
    <row r="658" spans="1:47" ht="12.75" x14ac:dyDescent="0.2">
      <c r="A658" s="9"/>
      <c r="B658" s="10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</row>
    <row r="659" spans="1:47" ht="12.75" x14ac:dyDescent="0.2">
      <c r="A659" s="9"/>
      <c r="B659" s="10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</row>
    <row r="660" spans="1:47" ht="12.75" x14ac:dyDescent="0.2">
      <c r="A660" s="9"/>
      <c r="B660" s="10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</row>
    <row r="661" spans="1:47" ht="12.75" x14ac:dyDescent="0.2">
      <c r="A661" s="9"/>
      <c r="B661" s="10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</row>
    <row r="662" spans="1:47" ht="12.75" x14ac:dyDescent="0.2">
      <c r="A662" s="9"/>
      <c r="B662" s="10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</row>
    <row r="663" spans="1:47" ht="12.75" x14ac:dyDescent="0.2">
      <c r="A663" s="9"/>
      <c r="B663" s="10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</row>
    <row r="664" spans="1:47" ht="12.75" x14ac:dyDescent="0.2">
      <c r="A664" s="9"/>
      <c r="B664" s="10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</row>
    <row r="665" spans="1:47" ht="12.75" x14ac:dyDescent="0.2">
      <c r="A665" s="9"/>
      <c r="B665" s="10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</row>
    <row r="666" spans="1:47" ht="12.75" x14ac:dyDescent="0.2">
      <c r="A666" s="9"/>
      <c r="B666" s="10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</row>
    <row r="667" spans="1:47" ht="12.75" x14ac:dyDescent="0.2">
      <c r="A667" s="9"/>
      <c r="B667" s="10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</row>
    <row r="668" spans="1:47" ht="12.75" x14ac:dyDescent="0.2">
      <c r="A668" s="9"/>
      <c r="B668" s="10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</row>
    <row r="669" spans="1:47" ht="12.75" x14ac:dyDescent="0.2">
      <c r="A669" s="9"/>
      <c r="B669" s="10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</row>
    <row r="670" spans="1:47" ht="12.75" x14ac:dyDescent="0.2">
      <c r="A670" s="9"/>
      <c r="B670" s="10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</row>
    <row r="671" spans="1:47" ht="12.75" x14ac:dyDescent="0.2">
      <c r="A671" s="9"/>
      <c r="B671" s="10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</row>
    <row r="672" spans="1:47" ht="12.75" x14ac:dyDescent="0.2">
      <c r="A672" s="9"/>
      <c r="B672" s="10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</row>
    <row r="673" spans="1:47" ht="12.75" x14ac:dyDescent="0.2">
      <c r="A673" s="9"/>
      <c r="B673" s="10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</row>
    <row r="674" spans="1:47" ht="12.75" x14ac:dyDescent="0.2">
      <c r="A674" s="9"/>
      <c r="B674" s="10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</row>
    <row r="675" spans="1:47" ht="12.75" x14ac:dyDescent="0.2">
      <c r="A675" s="9"/>
      <c r="B675" s="10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</row>
    <row r="676" spans="1:47" ht="12.75" x14ac:dyDescent="0.2">
      <c r="A676" s="9"/>
      <c r="B676" s="10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</row>
    <row r="677" spans="1:47" ht="12.75" x14ac:dyDescent="0.2">
      <c r="A677" s="9"/>
      <c r="B677" s="10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</row>
    <row r="678" spans="1:47" ht="12.75" x14ac:dyDescent="0.2">
      <c r="A678" s="9"/>
      <c r="B678" s="10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</row>
    <row r="679" spans="1:47" ht="12.75" x14ac:dyDescent="0.2">
      <c r="A679" s="9"/>
      <c r="B679" s="10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</row>
    <row r="680" spans="1:47" ht="12.75" x14ac:dyDescent="0.2">
      <c r="A680" s="9"/>
      <c r="B680" s="10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</row>
    <row r="681" spans="1:47" ht="12.75" x14ac:dyDescent="0.2">
      <c r="A681" s="9"/>
      <c r="B681" s="10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</row>
    <row r="682" spans="1:47" ht="12.75" x14ac:dyDescent="0.2">
      <c r="A682" s="9"/>
      <c r="B682" s="10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</row>
    <row r="683" spans="1:47" ht="12.75" x14ac:dyDescent="0.2">
      <c r="A683" s="9"/>
      <c r="B683" s="10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</row>
    <row r="684" spans="1:47" ht="12.75" x14ac:dyDescent="0.2">
      <c r="A684" s="9"/>
      <c r="B684" s="10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</row>
    <row r="685" spans="1:47" ht="12.75" x14ac:dyDescent="0.2">
      <c r="A685" s="9"/>
      <c r="B685" s="10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</row>
    <row r="686" spans="1:47" ht="12.75" x14ac:dyDescent="0.2">
      <c r="A686" s="9"/>
      <c r="B686" s="10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</row>
    <row r="687" spans="1:47" ht="12.75" x14ac:dyDescent="0.2">
      <c r="A687" s="9"/>
      <c r="B687" s="10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</row>
    <row r="688" spans="1:47" ht="12.75" x14ac:dyDescent="0.2">
      <c r="A688" s="9"/>
      <c r="B688" s="10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</row>
    <row r="689" spans="1:47" ht="12.75" x14ac:dyDescent="0.2">
      <c r="A689" s="9"/>
      <c r="B689" s="10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</row>
    <row r="690" spans="1:47" ht="12.75" x14ac:dyDescent="0.2">
      <c r="A690" s="9"/>
      <c r="B690" s="10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</row>
    <row r="691" spans="1:47" ht="12.75" x14ac:dyDescent="0.2">
      <c r="A691" s="9"/>
      <c r="B691" s="10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</row>
    <row r="692" spans="1:47" ht="12.75" x14ac:dyDescent="0.2">
      <c r="A692" s="9"/>
      <c r="B692" s="10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</row>
    <row r="693" spans="1:47" ht="12.75" x14ac:dyDescent="0.2">
      <c r="A693" s="9"/>
      <c r="B693" s="10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</row>
    <row r="694" spans="1:47" ht="12.75" x14ac:dyDescent="0.2">
      <c r="A694" s="9"/>
      <c r="B694" s="10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</row>
    <row r="695" spans="1:47" ht="12.75" x14ac:dyDescent="0.2">
      <c r="A695" s="9"/>
      <c r="B695" s="10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</row>
    <row r="696" spans="1:47" ht="12.75" x14ac:dyDescent="0.2">
      <c r="A696" s="9"/>
      <c r="B696" s="10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</row>
    <row r="697" spans="1:47" ht="12.75" x14ac:dyDescent="0.2">
      <c r="A697" s="9"/>
      <c r="B697" s="10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</row>
    <row r="698" spans="1:47" ht="12.75" x14ac:dyDescent="0.2">
      <c r="A698" s="9"/>
      <c r="B698" s="10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</row>
    <row r="699" spans="1:47" ht="12.75" x14ac:dyDescent="0.2">
      <c r="A699" s="9"/>
      <c r="B699" s="10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</row>
    <row r="700" spans="1:47" ht="12.75" x14ac:dyDescent="0.2">
      <c r="A700" s="9"/>
      <c r="B700" s="10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</row>
    <row r="701" spans="1:47" ht="12.75" x14ac:dyDescent="0.2">
      <c r="A701" s="9"/>
      <c r="B701" s="10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</row>
    <row r="702" spans="1:47" ht="12.75" x14ac:dyDescent="0.2">
      <c r="A702" s="9"/>
      <c r="B702" s="10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</row>
    <row r="703" spans="1:47" ht="12.75" x14ac:dyDescent="0.2">
      <c r="A703" s="9"/>
      <c r="B703" s="10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</row>
    <row r="704" spans="1:47" ht="12.75" x14ac:dyDescent="0.2">
      <c r="A704" s="9"/>
      <c r="B704" s="10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</row>
    <row r="705" spans="1:47" ht="12.75" x14ac:dyDescent="0.2">
      <c r="A705" s="9"/>
      <c r="B705" s="10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</row>
    <row r="706" spans="1:47" ht="12.75" x14ac:dyDescent="0.2">
      <c r="A706" s="9"/>
      <c r="B706" s="10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</row>
    <row r="707" spans="1:47" ht="12.75" x14ac:dyDescent="0.2">
      <c r="A707" s="9"/>
      <c r="B707" s="10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</row>
    <row r="708" spans="1:47" ht="12.75" x14ac:dyDescent="0.2">
      <c r="A708" s="9"/>
      <c r="B708" s="10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</row>
    <row r="709" spans="1:47" ht="12.75" x14ac:dyDescent="0.2">
      <c r="A709" s="9"/>
      <c r="B709" s="10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</row>
    <row r="710" spans="1:47" ht="12.75" x14ac:dyDescent="0.2">
      <c r="A710" s="9"/>
      <c r="B710" s="10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</row>
    <row r="711" spans="1:47" ht="12.75" x14ac:dyDescent="0.2">
      <c r="A711" s="9"/>
      <c r="B711" s="10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</row>
    <row r="712" spans="1:47" ht="12.75" x14ac:dyDescent="0.2">
      <c r="A712" s="9"/>
      <c r="B712" s="10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</row>
    <row r="713" spans="1:47" ht="12.75" x14ac:dyDescent="0.2">
      <c r="A713" s="9"/>
      <c r="B713" s="10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</row>
    <row r="714" spans="1:47" ht="12.75" x14ac:dyDescent="0.2">
      <c r="A714" s="9"/>
      <c r="B714" s="10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</row>
    <row r="715" spans="1:47" ht="12.75" x14ac:dyDescent="0.2">
      <c r="A715" s="9"/>
      <c r="B715" s="10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</row>
    <row r="716" spans="1:47" ht="12.75" x14ac:dyDescent="0.2">
      <c r="A716" s="9"/>
      <c r="B716" s="10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</row>
    <row r="717" spans="1:47" ht="12.75" x14ac:dyDescent="0.2">
      <c r="A717" s="9"/>
      <c r="B717" s="10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</row>
    <row r="718" spans="1:47" ht="12.75" x14ac:dyDescent="0.2">
      <c r="A718" s="9"/>
      <c r="B718" s="10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</row>
    <row r="719" spans="1:47" ht="12.75" x14ac:dyDescent="0.2">
      <c r="A719" s="9"/>
      <c r="B719" s="10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</row>
    <row r="720" spans="1:47" ht="12.75" x14ac:dyDescent="0.2">
      <c r="A720" s="9"/>
      <c r="B720" s="10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</row>
    <row r="721" spans="1:47" ht="12.75" x14ac:dyDescent="0.2">
      <c r="A721" s="9"/>
      <c r="B721" s="10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</row>
    <row r="722" spans="1:47" ht="12.75" x14ac:dyDescent="0.2">
      <c r="A722" s="9"/>
      <c r="B722" s="10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</row>
    <row r="723" spans="1:47" ht="12.75" x14ac:dyDescent="0.2">
      <c r="A723" s="9"/>
      <c r="B723" s="10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</row>
    <row r="724" spans="1:47" ht="12.75" x14ac:dyDescent="0.2">
      <c r="A724" s="9"/>
      <c r="B724" s="10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</row>
    <row r="725" spans="1:47" ht="12.75" x14ac:dyDescent="0.2">
      <c r="A725" s="9"/>
      <c r="B725" s="10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</row>
    <row r="726" spans="1:47" ht="12.75" x14ac:dyDescent="0.2">
      <c r="A726" s="9"/>
      <c r="B726" s="10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</row>
    <row r="727" spans="1:47" ht="12.75" x14ac:dyDescent="0.2">
      <c r="A727" s="9"/>
      <c r="B727" s="10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</row>
    <row r="728" spans="1:47" ht="12.75" x14ac:dyDescent="0.2">
      <c r="A728" s="9"/>
      <c r="B728" s="10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</row>
    <row r="729" spans="1:47" ht="12.75" x14ac:dyDescent="0.2">
      <c r="A729" s="9"/>
      <c r="B729" s="10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</row>
    <row r="730" spans="1:47" ht="12.75" x14ac:dyDescent="0.2">
      <c r="A730" s="9"/>
      <c r="B730" s="10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</row>
    <row r="731" spans="1:47" ht="12.75" x14ac:dyDescent="0.2">
      <c r="A731" s="9"/>
      <c r="B731" s="10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</row>
    <row r="732" spans="1:47" ht="12.75" x14ac:dyDescent="0.2">
      <c r="A732" s="9"/>
      <c r="B732" s="10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</row>
    <row r="733" spans="1:47" ht="12.75" x14ac:dyDescent="0.2">
      <c r="A733" s="9"/>
      <c r="B733" s="10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</row>
    <row r="734" spans="1:47" ht="12.75" x14ac:dyDescent="0.2">
      <c r="A734" s="9"/>
      <c r="B734" s="10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</row>
    <row r="735" spans="1:47" ht="12.75" x14ac:dyDescent="0.2">
      <c r="A735" s="9"/>
      <c r="B735" s="10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</row>
    <row r="736" spans="1:47" ht="12.75" x14ac:dyDescent="0.2">
      <c r="A736" s="9"/>
      <c r="B736" s="10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</row>
    <row r="737" spans="1:47" ht="12.75" x14ac:dyDescent="0.2">
      <c r="A737" s="9"/>
      <c r="B737" s="10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</row>
    <row r="738" spans="1:47" ht="12.75" x14ac:dyDescent="0.2">
      <c r="A738" s="9"/>
      <c r="B738" s="10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</row>
    <row r="739" spans="1:47" ht="12.75" x14ac:dyDescent="0.2">
      <c r="A739" s="9"/>
      <c r="B739" s="10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</row>
    <row r="740" spans="1:47" ht="12.75" x14ac:dyDescent="0.2">
      <c r="A740" s="9"/>
      <c r="B740" s="10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</row>
    <row r="741" spans="1:47" ht="12.75" x14ac:dyDescent="0.2">
      <c r="A741" s="9"/>
      <c r="B741" s="10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</row>
    <row r="742" spans="1:47" ht="12.75" x14ac:dyDescent="0.2">
      <c r="A742" s="9"/>
      <c r="B742" s="10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</row>
    <row r="743" spans="1:47" ht="12.75" x14ac:dyDescent="0.2">
      <c r="A743" s="9"/>
      <c r="B743" s="10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</row>
    <row r="744" spans="1:47" ht="12.75" x14ac:dyDescent="0.2">
      <c r="A744" s="9"/>
      <c r="B744" s="10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</row>
    <row r="745" spans="1:47" ht="12.75" x14ac:dyDescent="0.2">
      <c r="A745" s="9"/>
      <c r="B745" s="10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</row>
    <row r="746" spans="1:47" ht="12.75" x14ac:dyDescent="0.2">
      <c r="A746" s="9"/>
      <c r="B746" s="10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</row>
    <row r="747" spans="1:47" ht="12.75" x14ac:dyDescent="0.2">
      <c r="A747" s="9"/>
      <c r="B747" s="10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</row>
    <row r="748" spans="1:47" ht="12.75" x14ac:dyDescent="0.2">
      <c r="A748" s="9"/>
      <c r="B748" s="10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</row>
    <row r="749" spans="1:47" ht="12.75" x14ac:dyDescent="0.2">
      <c r="A749" s="9"/>
      <c r="B749" s="10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</row>
    <row r="750" spans="1:47" ht="12.75" x14ac:dyDescent="0.2">
      <c r="A750" s="9"/>
      <c r="B750" s="10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</row>
    <row r="751" spans="1:47" ht="12.75" x14ac:dyDescent="0.2">
      <c r="A751" s="9"/>
      <c r="B751" s="10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</row>
    <row r="752" spans="1:47" ht="12.75" x14ac:dyDescent="0.2">
      <c r="A752" s="9"/>
      <c r="B752" s="10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</row>
    <row r="753" spans="1:47" ht="12.75" x14ac:dyDescent="0.2">
      <c r="A753" s="9"/>
      <c r="B753" s="10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</row>
    <row r="754" spans="1:47" ht="12.75" x14ac:dyDescent="0.2">
      <c r="A754" s="9"/>
      <c r="B754" s="10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</row>
    <row r="755" spans="1:47" ht="12.75" x14ac:dyDescent="0.2">
      <c r="A755" s="9"/>
      <c r="B755" s="10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</row>
    <row r="756" spans="1:47" ht="12.75" x14ac:dyDescent="0.2">
      <c r="A756" s="9"/>
      <c r="B756" s="10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</row>
    <row r="757" spans="1:47" ht="12.75" x14ac:dyDescent="0.2">
      <c r="A757" s="9"/>
      <c r="B757" s="10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</row>
    <row r="758" spans="1:47" ht="12.75" x14ac:dyDescent="0.2">
      <c r="A758" s="9"/>
      <c r="B758" s="10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</row>
    <row r="759" spans="1:47" ht="12.75" x14ac:dyDescent="0.2">
      <c r="A759" s="9"/>
      <c r="B759" s="10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</row>
    <row r="760" spans="1:47" ht="12.75" x14ac:dyDescent="0.2">
      <c r="A760" s="9"/>
      <c r="B760" s="10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</row>
    <row r="761" spans="1:47" ht="12.75" x14ac:dyDescent="0.2">
      <c r="A761" s="9"/>
      <c r="B761" s="10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</row>
    <row r="762" spans="1:47" ht="12.75" x14ac:dyDescent="0.2">
      <c r="A762" s="9"/>
      <c r="B762" s="10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</row>
    <row r="763" spans="1:47" ht="12.75" x14ac:dyDescent="0.2">
      <c r="A763" s="9"/>
      <c r="B763" s="10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</row>
    <row r="764" spans="1:47" ht="12.75" x14ac:dyDescent="0.2">
      <c r="A764" s="9"/>
      <c r="B764" s="10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</row>
    <row r="765" spans="1:47" ht="12.75" x14ac:dyDescent="0.2">
      <c r="A765" s="9"/>
      <c r="B765" s="10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</row>
    <row r="766" spans="1:47" ht="12.75" x14ac:dyDescent="0.2">
      <c r="A766" s="9"/>
      <c r="B766" s="10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</row>
    <row r="767" spans="1:47" ht="12.75" x14ac:dyDescent="0.2">
      <c r="A767" s="9"/>
      <c r="B767" s="10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</row>
    <row r="768" spans="1:47" ht="12.75" x14ac:dyDescent="0.2">
      <c r="A768" s="9"/>
      <c r="B768" s="10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</row>
    <row r="769" spans="1:47" ht="12.75" x14ac:dyDescent="0.2">
      <c r="A769" s="9"/>
      <c r="B769" s="10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</row>
    <row r="770" spans="1:47" ht="12.75" x14ac:dyDescent="0.2">
      <c r="A770" s="9"/>
      <c r="B770" s="10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</row>
    <row r="771" spans="1:47" ht="12.75" x14ac:dyDescent="0.2">
      <c r="A771" s="9"/>
      <c r="B771" s="10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</row>
    <row r="772" spans="1:47" ht="12.75" x14ac:dyDescent="0.2">
      <c r="A772" s="9"/>
      <c r="B772" s="10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</row>
    <row r="773" spans="1:47" ht="12.75" x14ac:dyDescent="0.2">
      <c r="A773" s="9"/>
      <c r="B773" s="10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</row>
    <row r="774" spans="1:47" ht="12.75" x14ac:dyDescent="0.2">
      <c r="A774" s="9"/>
      <c r="B774" s="10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</row>
    <row r="775" spans="1:47" ht="12.75" x14ac:dyDescent="0.2">
      <c r="A775" s="9"/>
      <c r="B775" s="10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</row>
    <row r="776" spans="1:47" ht="12.75" x14ac:dyDescent="0.2">
      <c r="A776" s="9"/>
      <c r="B776" s="10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</row>
    <row r="777" spans="1:47" ht="12.75" x14ac:dyDescent="0.2">
      <c r="A777" s="9"/>
      <c r="B777" s="10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</row>
    <row r="778" spans="1:47" ht="12.75" x14ac:dyDescent="0.2">
      <c r="A778" s="9"/>
      <c r="B778" s="10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</row>
    <row r="779" spans="1:47" ht="12.75" x14ac:dyDescent="0.2">
      <c r="A779" s="9"/>
      <c r="B779" s="10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</row>
    <row r="780" spans="1:47" ht="12.75" x14ac:dyDescent="0.2">
      <c r="A780" s="9"/>
      <c r="B780" s="10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</row>
    <row r="781" spans="1:47" ht="12.75" x14ac:dyDescent="0.2">
      <c r="A781" s="9"/>
      <c r="B781" s="10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</row>
    <row r="782" spans="1:47" ht="12.75" x14ac:dyDescent="0.2">
      <c r="A782" s="9"/>
      <c r="B782" s="10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</row>
    <row r="783" spans="1:47" ht="12.75" x14ac:dyDescent="0.2">
      <c r="A783" s="9"/>
      <c r="B783" s="10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</row>
    <row r="784" spans="1:47" ht="12.75" x14ac:dyDescent="0.2">
      <c r="A784" s="9"/>
      <c r="B784" s="10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</row>
    <row r="785" spans="1:47" ht="12.75" x14ac:dyDescent="0.2">
      <c r="A785" s="9"/>
      <c r="B785" s="10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</row>
    <row r="786" spans="1:47" ht="12.75" x14ac:dyDescent="0.2">
      <c r="A786" s="9"/>
      <c r="B786" s="10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</row>
    <row r="787" spans="1:47" ht="12.75" x14ac:dyDescent="0.2">
      <c r="A787" s="9"/>
      <c r="B787" s="10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</row>
    <row r="788" spans="1:47" ht="12.75" x14ac:dyDescent="0.2">
      <c r="A788" s="9"/>
      <c r="B788" s="10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</row>
    <row r="789" spans="1:47" ht="12.75" x14ac:dyDescent="0.2">
      <c r="A789" s="9"/>
      <c r="B789" s="10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</row>
    <row r="790" spans="1:47" ht="12.75" x14ac:dyDescent="0.2">
      <c r="A790" s="9"/>
      <c r="B790" s="10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</row>
    <row r="791" spans="1:47" ht="12.75" x14ac:dyDescent="0.2">
      <c r="A791" s="9"/>
      <c r="B791" s="10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</row>
    <row r="792" spans="1:47" ht="12.75" x14ac:dyDescent="0.2">
      <c r="A792" s="9"/>
      <c r="B792" s="10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</row>
    <row r="793" spans="1:47" ht="12.75" x14ac:dyDescent="0.2">
      <c r="A793" s="9"/>
      <c r="B793" s="10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</row>
    <row r="794" spans="1:47" ht="12.75" x14ac:dyDescent="0.2">
      <c r="A794" s="9"/>
      <c r="B794" s="10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</row>
    <row r="795" spans="1:47" ht="12.75" x14ac:dyDescent="0.2">
      <c r="A795" s="9"/>
      <c r="B795" s="10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</row>
    <row r="796" spans="1:47" ht="12.75" x14ac:dyDescent="0.2">
      <c r="A796" s="9"/>
      <c r="B796" s="10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</row>
    <row r="797" spans="1:47" ht="12.75" x14ac:dyDescent="0.2">
      <c r="A797" s="9"/>
      <c r="B797" s="10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</row>
    <row r="798" spans="1:47" ht="12.75" x14ac:dyDescent="0.2">
      <c r="A798" s="9"/>
      <c r="B798" s="10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</row>
    <row r="799" spans="1:47" ht="12.75" x14ac:dyDescent="0.2">
      <c r="A799" s="9"/>
      <c r="B799" s="10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</row>
    <row r="800" spans="1:47" ht="12.75" x14ac:dyDescent="0.2">
      <c r="A800" s="9"/>
      <c r="B800" s="10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</row>
    <row r="801" spans="1:47" ht="12.75" x14ac:dyDescent="0.2">
      <c r="A801" s="9"/>
      <c r="B801" s="10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</row>
    <row r="802" spans="1:47" ht="12.75" x14ac:dyDescent="0.2">
      <c r="A802" s="9"/>
      <c r="B802" s="10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</row>
    <row r="803" spans="1:47" ht="12.75" x14ac:dyDescent="0.2">
      <c r="A803" s="9"/>
      <c r="B803" s="10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</row>
    <row r="804" spans="1:47" ht="12.75" x14ac:dyDescent="0.2">
      <c r="A804" s="9"/>
      <c r="B804" s="10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</row>
    <row r="805" spans="1:47" ht="12.75" x14ac:dyDescent="0.2">
      <c r="A805" s="9"/>
      <c r="B805" s="10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</row>
    <row r="806" spans="1:47" ht="12.75" x14ac:dyDescent="0.2">
      <c r="A806" s="9"/>
      <c r="B806" s="10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</row>
    <row r="807" spans="1:47" ht="12.75" x14ac:dyDescent="0.2">
      <c r="A807" s="9"/>
      <c r="B807" s="10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</row>
    <row r="808" spans="1:47" ht="12.75" x14ac:dyDescent="0.2">
      <c r="A808" s="9"/>
      <c r="B808" s="10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</row>
    <row r="809" spans="1:47" ht="12.75" x14ac:dyDescent="0.2">
      <c r="A809" s="9"/>
      <c r="B809" s="10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</row>
    <row r="810" spans="1:47" ht="12.75" x14ac:dyDescent="0.2">
      <c r="A810" s="9"/>
      <c r="B810" s="10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</row>
    <row r="811" spans="1:47" ht="12.75" x14ac:dyDescent="0.2">
      <c r="A811" s="9"/>
      <c r="B811" s="10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</row>
    <row r="812" spans="1:47" ht="12.75" x14ac:dyDescent="0.2">
      <c r="A812" s="9"/>
      <c r="B812" s="10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</row>
    <row r="813" spans="1:47" ht="12.75" x14ac:dyDescent="0.2">
      <c r="A813" s="9"/>
      <c r="B813" s="10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</row>
    <row r="814" spans="1:47" ht="12.75" x14ac:dyDescent="0.2">
      <c r="A814" s="9"/>
      <c r="B814" s="10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</row>
    <row r="815" spans="1:47" ht="12.75" x14ac:dyDescent="0.2">
      <c r="A815" s="9"/>
      <c r="B815" s="10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</row>
    <row r="816" spans="1:47" ht="12.75" x14ac:dyDescent="0.2">
      <c r="A816" s="9"/>
      <c r="B816" s="10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</row>
    <row r="817" spans="1:47" ht="12.75" x14ac:dyDescent="0.2">
      <c r="A817" s="9"/>
      <c r="B817" s="10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</row>
    <row r="818" spans="1:47" ht="12.75" x14ac:dyDescent="0.2">
      <c r="A818" s="9"/>
      <c r="B818" s="10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</row>
    <row r="819" spans="1:47" ht="12.75" x14ac:dyDescent="0.2">
      <c r="A819" s="9"/>
      <c r="B819" s="10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</row>
    <row r="820" spans="1:47" ht="12.75" x14ac:dyDescent="0.2">
      <c r="A820" s="9"/>
      <c r="B820" s="10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</row>
    <row r="821" spans="1:47" ht="12.75" x14ac:dyDescent="0.2">
      <c r="A821" s="9"/>
      <c r="B821" s="10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</row>
    <row r="822" spans="1:47" ht="12.75" x14ac:dyDescent="0.2">
      <c r="A822" s="9"/>
      <c r="B822" s="10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</row>
    <row r="823" spans="1:47" ht="12.75" x14ac:dyDescent="0.2">
      <c r="A823" s="9"/>
      <c r="B823" s="10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</row>
    <row r="824" spans="1:47" ht="12.75" x14ac:dyDescent="0.2">
      <c r="A824" s="9"/>
      <c r="B824" s="10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</row>
    <row r="825" spans="1:47" ht="12.75" x14ac:dyDescent="0.2">
      <c r="A825" s="9"/>
      <c r="B825" s="10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</row>
    <row r="826" spans="1:47" ht="12.75" x14ac:dyDescent="0.2">
      <c r="A826" s="9"/>
      <c r="B826" s="10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</row>
    <row r="827" spans="1:47" ht="12.75" x14ac:dyDescent="0.2">
      <c r="A827" s="9"/>
      <c r="B827" s="10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</row>
    <row r="828" spans="1:47" ht="12.75" x14ac:dyDescent="0.2">
      <c r="A828" s="9"/>
      <c r="B828" s="10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</row>
    <row r="829" spans="1:47" ht="12.75" x14ac:dyDescent="0.2">
      <c r="A829" s="9"/>
      <c r="B829" s="10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</row>
    <row r="830" spans="1:47" ht="12.75" x14ac:dyDescent="0.2">
      <c r="A830" s="9"/>
      <c r="B830" s="10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</row>
    <row r="831" spans="1:47" ht="12.75" x14ac:dyDescent="0.2">
      <c r="A831" s="9"/>
      <c r="B831" s="10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</row>
    <row r="832" spans="1:47" ht="12.75" x14ac:dyDescent="0.2">
      <c r="A832" s="9"/>
      <c r="B832" s="10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</row>
    <row r="833" spans="1:47" ht="12.75" x14ac:dyDescent="0.2">
      <c r="A833" s="9"/>
      <c r="B833" s="10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</row>
    <row r="834" spans="1:47" ht="12.75" x14ac:dyDescent="0.2">
      <c r="A834" s="9"/>
      <c r="B834" s="10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</row>
    <row r="835" spans="1:47" ht="12.75" x14ac:dyDescent="0.2">
      <c r="A835" s="9"/>
      <c r="B835" s="10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</row>
    <row r="836" spans="1:47" ht="12.75" x14ac:dyDescent="0.2">
      <c r="A836" s="9"/>
      <c r="B836" s="1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</row>
    <row r="837" spans="1:47" ht="12.75" x14ac:dyDescent="0.2">
      <c r="A837" s="9"/>
      <c r="B837" s="10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</row>
    <row r="838" spans="1:47" ht="12.75" x14ac:dyDescent="0.2">
      <c r="A838" s="9"/>
      <c r="B838" s="10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</row>
    <row r="839" spans="1:47" ht="12.75" x14ac:dyDescent="0.2">
      <c r="A839" s="9"/>
      <c r="B839" s="10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</row>
    <row r="840" spans="1:47" ht="12.75" x14ac:dyDescent="0.2">
      <c r="A840" s="9"/>
      <c r="B840" s="10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</row>
    <row r="841" spans="1:47" ht="12.75" x14ac:dyDescent="0.2">
      <c r="A841" s="9"/>
      <c r="B841" s="10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</row>
    <row r="842" spans="1:47" ht="12.75" x14ac:dyDescent="0.2">
      <c r="A842" s="9"/>
      <c r="B842" s="10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</row>
    <row r="843" spans="1:47" ht="12.75" x14ac:dyDescent="0.2">
      <c r="A843" s="9"/>
      <c r="B843" s="10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</row>
    <row r="844" spans="1:47" ht="12.75" x14ac:dyDescent="0.2">
      <c r="A844" s="9"/>
      <c r="B844" s="10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</row>
    <row r="845" spans="1:47" ht="12.75" x14ac:dyDescent="0.2">
      <c r="A845" s="9"/>
      <c r="B845" s="10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</row>
    <row r="846" spans="1:47" ht="12.75" x14ac:dyDescent="0.2">
      <c r="A846" s="9"/>
      <c r="B846" s="10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</row>
    <row r="847" spans="1:47" ht="12.75" x14ac:dyDescent="0.2">
      <c r="A847" s="9"/>
      <c r="B847" s="10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</row>
    <row r="848" spans="1:47" ht="12.75" x14ac:dyDescent="0.2">
      <c r="A848" s="9"/>
      <c r="B848" s="10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</row>
    <row r="849" spans="1:47" ht="12.75" x14ac:dyDescent="0.2">
      <c r="A849" s="9"/>
      <c r="B849" s="10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</row>
    <row r="850" spans="1:47" ht="12.75" x14ac:dyDescent="0.2">
      <c r="A850" s="9"/>
      <c r="B850" s="10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</row>
    <row r="851" spans="1:47" ht="12.75" x14ac:dyDescent="0.2">
      <c r="A851" s="9"/>
      <c r="B851" s="10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</row>
    <row r="852" spans="1:47" ht="12.75" x14ac:dyDescent="0.2">
      <c r="A852" s="9"/>
      <c r="B852" s="10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</row>
    <row r="853" spans="1:47" ht="12.75" x14ac:dyDescent="0.2">
      <c r="A853" s="9"/>
      <c r="B853" s="10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</row>
    <row r="854" spans="1:47" ht="12.75" x14ac:dyDescent="0.2">
      <c r="A854" s="9"/>
      <c r="B854" s="10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</row>
    <row r="855" spans="1:47" ht="12.75" x14ac:dyDescent="0.2">
      <c r="A855" s="9"/>
      <c r="B855" s="10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</row>
    <row r="856" spans="1:47" ht="12.75" x14ac:dyDescent="0.2">
      <c r="A856" s="9"/>
      <c r="B856" s="10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</row>
    <row r="857" spans="1:47" ht="12.75" x14ac:dyDescent="0.2">
      <c r="A857" s="9"/>
      <c r="B857" s="10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</row>
    <row r="858" spans="1:47" ht="12.75" x14ac:dyDescent="0.2">
      <c r="A858" s="9"/>
      <c r="B858" s="10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</row>
    <row r="859" spans="1:47" ht="12.75" x14ac:dyDescent="0.2">
      <c r="A859" s="9"/>
      <c r="B859" s="10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</row>
    <row r="860" spans="1:47" ht="12.75" x14ac:dyDescent="0.2">
      <c r="A860" s="9"/>
      <c r="B860" s="10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</row>
    <row r="861" spans="1:47" ht="12.75" x14ac:dyDescent="0.2">
      <c r="A861" s="9"/>
      <c r="B861" s="10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</row>
    <row r="862" spans="1:47" ht="12.75" x14ac:dyDescent="0.2">
      <c r="A862" s="9"/>
      <c r="B862" s="10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</row>
    <row r="863" spans="1:47" ht="12.75" x14ac:dyDescent="0.2">
      <c r="A863" s="9"/>
      <c r="B863" s="10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</row>
    <row r="864" spans="1:47" ht="12.75" x14ac:dyDescent="0.2">
      <c r="A864" s="9"/>
      <c r="B864" s="10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</row>
    <row r="865" spans="1:47" ht="12.75" x14ac:dyDescent="0.2">
      <c r="A865" s="9"/>
      <c r="B865" s="10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</row>
    <row r="866" spans="1:47" ht="12.75" x14ac:dyDescent="0.2">
      <c r="A866" s="9"/>
      <c r="B866" s="10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</row>
    <row r="867" spans="1:47" ht="12.75" x14ac:dyDescent="0.2">
      <c r="A867" s="9"/>
      <c r="B867" s="10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</row>
    <row r="868" spans="1:47" ht="12.75" x14ac:dyDescent="0.2">
      <c r="A868" s="9"/>
      <c r="B868" s="10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</row>
    <row r="869" spans="1:47" ht="12.75" x14ac:dyDescent="0.2">
      <c r="A869" s="9"/>
      <c r="B869" s="10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</row>
    <row r="870" spans="1:47" ht="12.75" x14ac:dyDescent="0.2">
      <c r="A870" s="9"/>
      <c r="B870" s="10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</row>
    <row r="871" spans="1:47" ht="12.75" x14ac:dyDescent="0.2">
      <c r="A871" s="9"/>
      <c r="B871" s="10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</row>
    <row r="872" spans="1:47" ht="12.75" x14ac:dyDescent="0.2">
      <c r="A872" s="9"/>
      <c r="B872" s="10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</row>
    <row r="873" spans="1:47" ht="12.75" x14ac:dyDescent="0.2">
      <c r="A873" s="9"/>
      <c r="B873" s="10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</row>
    <row r="874" spans="1:47" ht="12.75" x14ac:dyDescent="0.2">
      <c r="A874" s="9"/>
      <c r="B874" s="10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</row>
    <row r="875" spans="1:47" ht="12.75" x14ac:dyDescent="0.2">
      <c r="A875" s="9"/>
      <c r="B875" s="10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</row>
    <row r="876" spans="1:47" ht="12.75" x14ac:dyDescent="0.2">
      <c r="A876" s="9"/>
      <c r="B876" s="10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</row>
    <row r="877" spans="1:47" ht="12.75" x14ac:dyDescent="0.2">
      <c r="A877" s="9"/>
      <c r="B877" s="10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</row>
    <row r="878" spans="1:47" ht="12.75" x14ac:dyDescent="0.2">
      <c r="A878" s="9"/>
      <c r="B878" s="10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</row>
    <row r="879" spans="1:47" ht="12.75" x14ac:dyDescent="0.2">
      <c r="A879" s="9"/>
      <c r="B879" s="10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</row>
    <row r="880" spans="1:47" ht="12.75" x14ac:dyDescent="0.2">
      <c r="A880" s="9"/>
      <c r="B880" s="10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</row>
    <row r="881" spans="1:47" ht="12.75" x14ac:dyDescent="0.2">
      <c r="A881" s="9"/>
      <c r="B881" s="10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</row>
    <row r="882" spans="1:47" ht="12.75" x14ac:dyDescent="0.2">
      <c r="A882" s="9"/>
      <c r="B882" s="10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</row>
    <row r="883" spans="1:47" ht="12.75" x14ac:dyDescent="0.2">
      <c r="A883" s="9"/>
      <c r="B883" s="10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</row>
    <row r="884" spans="1:47" ht="12.75" x14ac:dyDescent="0.2">
      <c r="A884" s="9"/>
      <c r="B884" s="10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</row>
    <row r="885" spans="1:47" ht="12.75" x14ac:dyDescent="0.2">
      <c r="A885" s="9"/>
      <c r="B885" s="10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</row>
    <row r="886" spans="1:47" ht="12.75" x14ac:dyDescent="0.2">
      <c r="A886" s="9"/>
      <c r="B886" s="10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</row>
    <row r="887" spans="1:47" ht="12.75" x14ac:dyDescent="0.2">
      <c r="A887" s="9"/>
      <c r="B887" s="10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</row>
    <row r="888" spans="1:47" ht="12.75" x14ac:dyDescent="0.2">
      <c r="A888" s="9"/>
      <c r="B888" s="10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</row>
    <row r="889" spans="1:47" ht="12.75" x14ac:dyDescent="0.2">
      <c r="A889" s="9"/>
      <c r="B889" s="10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</row>
    <row r="890" spans="1:47" ht="12.75" x14ac:dyDescent="0.2">
      <c r="A890" s="9"/>
      <c r="B890" s="10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</row>
    <row r="891" spans="1:47" ht="12.75" x14ac:dyDescent="0.2">
      <c r="A891" s="9"/>
      <c r="B891" s="10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</row>
    <row r="892" spans="1:47" ht="12.75" x14ac:dyDescent="0.2">
      <c r="A892" s="9"/>
      <c r="B892" s="10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</row>
    <row r="893" spans="1:47" ht="12.75" x14ac:dyDescent="0.2">
      <c r="A893" s="9"/>
      <c r="B893" s="10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</row>
    <row r="894" spans="1:47" ht="12.75" x14ac:dyDescent="0.2">
      <c r="A894" s="9"/>
      <c r="B894" s="10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</row>
    <row r="895" spans="1:47" ht="12.75" x14ac:dyDescent="0.2">
      <c r="A895" s="9"/>
      <c r="B895" s="10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</row>
    <row r="896" spans="1:47" ht="12.75" x14ac:dyDescent="0.2">
      <c r="A896" s="9"/>
      <c r="B896" s="10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</row>
    <row r="897" spans="1:47" ht="12.75" x14ac:dyDescent="0.2">
      <c r="A897" s="9"/>
      <c r="B897" s="10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</row>
    <row r="898" spans="1:47" ht="12.75" x14ac:dyDescent="0.2">
      <c r="A898" s="9"/>
      <c r="B898" s="10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</row>
    <row r="899" spans="1:47" ht="12.75" x14ac:dyDescent="0.2">
      <c r="A899" s="9"/>
      <c r="B899" s="10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</row>
    <row r="900" spans="1:47" ht="12.75" x14ac:dyDescent="0.2">
      <c r="A900" s="9"/>
      <c r="B900" s="10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</row>
    <row r="901" spans="1:47" ht="12.75" x14ac:dyDescent="0.2">
      <c r="A901" s="9"/>
      <c r="B901" s="10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</row>
    <row r="902" spans="1:47" ht="12.75" x14ac:dyDescent="0.2">
      <c r="A902" s="9"/>
      <c r="B902" s="10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</row>
    <row r="903" spans="1:47" ht="12.75" x14ac:dyDescent="0.2">
      <c r="A903" s="9"/>
      <c r="B903" s="10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</row>
    <row r="904" spans="1:47" ht="12.75" x14ac:dyDescent="0.2">
      <c r="A904" s="9"/>
      <c r="B904" s="10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</row>
    <row r="905" spans="1:47" ht="12.75" x14ac:dyDescent="0.2">
      <c r="A905" s="9"/>
      <c r="B905" s="10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</row>
    <row r="906" spans="1:47" ht="12.75" x14ac:dyDescent="0.2">
      <c r="A906" s="9"/>
      <c r="B906" s="10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</row>
    <row r="907" spans="1:47" ht="12.75" x14ac:dyDescent="0.2">
      <c r="A907" s="9"/>
      <c r="B907" s="1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</row>
    <row r="908" spans="1:47" ht="12.75" x14ac:dyDescent="0.2">
      <c r="A908" s="9"/>
      <c r="B908" s="10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</row>
    <row r="909" spans="1:47" ht="12.75" x14ac:dyDescent="0.2">
      <c r="A909" s="9"/>
      <c r="B909" s="10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</row>
    <row r="910" spans="1:47" ht="12.75" x14ac:dyDescent="0.2">
      <c r="A910" s="9"/>
      <c r="B910" s="1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</row>
    <row r="911" spans="1:47" ht="12.75" x14ac:dyDescent="0.2">
      <c r="A911" s="9"/>
      <c r="B911" s="10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</row>
    <row r="912" spans="1:47" ht="12.75" x14ac:dyDescent="0.2">
      <c r="A912" s="9"/>
      <c r="B912" s="10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</row>
    <row r="913" spans="1:47" ht="12.75" x14ac:dyDescent="0.2">
      <c r="A913" s="9"/>
      <c r="B913" s="10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</row>
    <row r="914" spans="1:47" ht="12.75" x14ac:dyDescent="0.2">
      <c r="A914" s="9"/>
      <c r="B914" s="10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</row>
    <row r="915" spans="1:47" ht="12.75" x14ac:dyDescent="0.2">
      <c r="A915" s="9"/>
      <c r="B915" s="10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</row>
    <row r="916" spans="1:47" ht="12.75" x14ac:dyDescent="0.2">
      <c r="A916" s="9"/>
      <c r="B916" s="10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</row>
    <row r="917" spans="1:47" ht="12.75" x14ac:dyDescent="0.2">
      <c r="A917" s="9"/>
      <c r="B917" s="10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</row>
    <row r="918" spans="1:47" ht="12.75" x14ac:dyDescent="0.2">
      <c r="A918" s="9"/>
      <c r="B918" s="1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</row>
    <row r="919" spans="1:47" ht="12.75" x14ac:dyDescent="0.2">
      <c r="A919" s="9"/>
      <c r="B919" s="1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</row>
    <row r="920" spans="1:47" ht="12.75" x14ac:dyDescent="0.2">
      <c r="A920" s="9"/>
      <c r="B920" s="1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</row>
    <row r="921" spans="1:47" ht="12.75" x14ac:dyDescent="0.2">
      <c r="A921" s="9"/>
      <c r="B921" s="1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</row>
    <row r="922" spans="1:47" ht="12.75" x14ac:dyDescent="0.2">
      <c r="A922" s="9"/>
      <c r="B922" s="1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</row>
    <row r="923" spans="1:47" ht="12.75" x14ac:dyDescent="0.2">
      <c r="A923" s="9"/>
      <c r="B923" s="1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</row>
    <row r="924" spans="1:47" ht="12.75" x14ac:dyDescent="0.2">
      <c r="A924" s="9"/>
      <c r="B924" s="1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</row>
    <row r="925" spans="1:47" ht="12.75" x14ac:dyDescent="0.2">
      <c r="A925" s="9"/>
      <c r="B925" s="1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</row>
    <row r="926" spans="1:47" ht="12.75" x14ac:dyDescent="0.2">
      <c r="A926" s="9"/>
      <c r="B926" s="1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</row>
    <row r="927" spans="1:47" ht="12.75" x14ac:dyDescent="0.2">
      <c r="A927" s="9"/>
      <c r="B927" s="1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</row>
    <row r="928" spans="1:47" ht="12.75" x14ac:dyDescent="0.2">
      <c r="A928" s="9"/>
      <c r="B928" s="1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</row>
    <row r="929" spans="1:47" ht="12.75" x14ac:dyDescent="0.2">
      <c r="A929" s="9"/>
      <c r="B929" s="1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</row>
    <row r="930" spans="1:47" ht="12.75" x14ac:dyDescent="0.2">
      <c r="A930" s="9"/>
      <c r="B930" s="1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</row>
    <row r="931" spans="1:47" ht="12.75" x14ac:dyDescent="0.2">
      <c r="A931" s="9"/>
      <c r="B931" s="1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</row>
    <row r="932" spans="1:47" ht="12.75" x14ac:dyDescent="0.2">
      <c r="A932" s="9"/>
      <c r="B932" s="1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</row>
    <row r="933" spans="1:47" ht="12.75" x14ac:dyDescent="0.2">
      <c r="A933" s="9"/>
      <c r="B933" s="1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</row>
    <row r="934" spans="1:47" ht="12.75" x14ac:dyDescent="0.2">
      <c r="A934" s="9"/>
      <c r="B934" s="1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</row>
    <row r="935" spans="1:47" ht="12.75" x14ac:dyDescent="0.2">
      <c r="A935" s="9"/>
      <c r="B935" s="1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</row>
    <row r="936" spans="1:47" ht="12.75" x14ac:dyDescent="0.2">
      <c r="A936" s="9"/>
      <c r="B936" s="1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</row>
    <row r="937" spans="1:47" ht="12.75" x14ac:dyDescent="0.2">
      <c r="A937" s="9"/>
      <c r="B937" s="1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</row>
    <row r="938" spans="1:47" ht="12.75" x14ac:dyDescent="0.2">
      <c r="A938" s="9"/>
      <c r="B938" s="1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</row>
    <row r="939" spans="1:47" ht="12.75" x14ac:dyDescent="0.2">
      <c r="A939" s="9"/>
      <c r="B939" s="1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</row>
    <row r="940" spans="1:47" ht="12.75" x14ac:dyDescent="0.2">
      <c r="A940" s="9"/>
      <c r="B940" s="1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</row>
    <row r="941" spans="1:47" ht="12.75" x14ac:dyDescent="0.2">
      <c r="A941" s="9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</row>
    <row r="942" spans="1:47" ht="12.75" x14ac:dyDescent="0.2">
      <c r="A942" s="9"/>
      <c r="B942" s="1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</row>
    <row r="943" spans="1:47" ht="12.75" x14ac:dyDescent="0.2">
      <c r="A943" s="9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</row>
    <row r="944" spans="1:47" ht="12.75" x14ac:dyDescent="0.2">
      <c r="A944" s="9"/>
      <c r="B944" s="1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</row>
    <row r="945" spans="1:47" ht="12.75" x14ac:dyDescent="0.2">
      <c r="A945" s="9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</row>
    <row r="946" spans="1:47" ht="12.75" x14ac:dyDescent="0.2">
      <c r="A946" s="9"/>
      <c r="B946" s="1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</row>
    <row r="947" spans="1:47" ht="12.75" x14ac:dyDescent="0.2">
      <c r="A947" s="9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</row>
    <row r="948" spans="1:47" ht="12.75" x14ac:dyDescent="0.2">
      <c r="A948" s="9"/>
      <c r="B948" s="1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</row>
    <row r="949" spans="1:47" ht="12.75" x14ac:dyDescent="0.2">
      <c r="A949" s="9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</row>
    <row r="950" spans="1:47" ht="12.75" x14ac:dyDescent="0.2">
      <c r="A950" s="9"/>
      <c r="B950" s="1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</row>
    <row r="951" spans="1:47" ht="12.75" x14ac:dyDescent="0.2">
      <c r="A951" s="9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</row>
    <row r="952" spans="1:47" ht="12.75" x14ac:dyDescent="0.2">
      <c r="A952" s="9"/>
      <c r="B952" s="1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</row>
    <row r="953" spans="1:47" ht="12.75" x14ac:dyDescent="0.2">
      <c r="A953" s="9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</row>
    <row r="954" spans="1:47" ht="12.75" x14ac:dyDescent="0.2">
      <c r="A954" s="9"/>
      <c r="B954" s="1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</row>
    <row r="955" spans="1:47" ht="12.75" x14ac:dyDescent="0.2">
      <c r="A955" s="9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</row>
    <row r="956" spans="1:47" ht="12.75" x14ac:dyDescent="0.2">
      <c r="A956" s="9"/>
      <c r="B956" s="1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</row>
    <row r="957" spans="1:47" ht="12.75" x14ac:dyDescent="0.2">
      <c r="A957" s="9"/>
      <c r="B957" s="1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</row>
    <row r="958" spans="1:47" ht="12.75" x14ac:dyDescent="0.2">
      <c r="A958" s="9"/>
      <c r="B958" s="1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</row>
    <row r="959" spans="1:47" ht="12.75" x14ac:dyDescent="0.2">
      <c r="A959" s="9"/>
      <c r="B959" s="1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</row>
    <row r="960" spans="1:47" ht="12.75" x14ac:dyDescent="0.2">
      <c r="A960" s="9"/>
      <c r="B960" s="1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</row>
    <row r="961" spans="1:47" ht="12.75" x14ac:dyDescent="0.2">
      <c r="A961" s="9"/>
      <c r="B961" s="1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</row>
    <row r="962" spans="1:47" ht="12.75" x14ac:dyDescent="0.2">
      <c r="A962" s="9"/>
      <c r="B962" s="1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</row>
    <row r="963" spans="1:47" ht="12.75" x14ac:dyDescent="0.2">
      <c r="A963" s="9"/>
      <c r="B963" s="1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</row>
    <row r="964" spans="1:47" ht="12.75" x14ac:dyDescent="0.2">
      <c r="A964" s="9"/>
      <c r="B964" s="1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</row>
    <row r="965" spans="1:47" ht="12.75" x14ac:dyDescent="0.2">
      <c r="A965" s="9"/>
      <c r="B965" s="1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</row>
    <row r="966" spans="1:47" ht="12.75" x14ac:dyDescent="0.2">
      <c r="A966" s="9"/>
      <c r="B966" s="1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</row>
    <row r="967" spans="1:47" ht="12.75" x14ac:dyDescent="0.2">
      <c r="A967" s="9"/>
      <c r="B967" s="1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</row>
    <row r="968" spans="1:47" ht="12.75" x14ac:dyDescent="0.2">
      <c r="A968" s="9"/>
      <c r="B968" s="1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</row>
    <row r="969" spans="1:47" ht="12.75" x14ac:dyDescent="0.2">
      <c r="A969" s="9"/>
      <c r="B969" s="1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</row>
    <row r="970" spans="1:47" ht="12.75" x14ac:dyDescent="0.2">
      <c r="A970" s="9"/>
      <c r="B970" s="1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</row>
    <row r="971" spans="1:47" ht="12.75" x14ac:dyDescent="0.2">
      <c r="A971" s="9"/>
      <c r="B971" s="1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</row>
    <row r="972" spans="1:47" ht="12.75" x14ac:dyDescent="0.2">
      <c r="A972" s="9"/>
      <c r="B972" s="1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</row>
    <row r="973" spans="1:47" ht="12.75" x14ac:dyDescent="0.2">
      <c r="A973" s="9"/>
      <c r="B973" s="1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</row>
    <row r="974" spans="1:47" ht="12.75" x14ac:dyDescent="0.2">
      <c r="A974" s="9"/>
      <c r="B974" s="1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</row>
    <row r="975" spans="1:47" ht="12.75" x14ac:dyDescent="0.2">
      <c r="A975" s="9"/>
      <c r="B975" s="1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</row>
    <row r="976" spans="1:47" ht="12.75" x14ac:dyDescent="0.2">
      <c r="A976" s="9"/>
      <c r="B976" s="1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</row>
    <row r="977" spans="1:47" ht="12.75" x14ac:dyDescent="0.2">
      <c r="A977" s="9"/>
      <c r="B977" s="1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</row>
    <row r="978" spans="1:47" ht="12.75" x14ac:dyDescent="0.2">
      <c r="A978" s="9"/>
      <c r="B978" s="1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</row>
    <row r="979" spans="1:47" ht="12.75" x14ac:dyDescent="0.2">
      <c r="A979" s="9"/>
      <c r="B979" s="1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</row>
    <row r="980" spans="1:47" ht="12.75" x14ac:dyDescent="0.2">
      <c r="A980" s="9"/>
      <c r="B980" s="1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</row>
    <row r="981" spans="1:47" ht="12.75" x14ac:dyDescent="0.2">
      <c r="A981" s="9"/>
      <c r="B981" s="1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</row>
    <row r="982" spans="1:47" ht="12.75" x14ac:dyDescent="0.2">
      <c r="A982" s="9"/>
      <c r="B982" s="1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</row>
    <row r="983" spans="1:47" ht="12.75" x14ac:dyDescent="0.2">
      <c r="A983" s="9"/>
      <c r="B983" s="1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</row>
    <row r="984" spans="1:47" ht="12.75" x14ac:dyDescent="0.2">
      <c r="A984" s="9"/>
      <c r="B984" s="1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</row>
    <row r="985" spans="1:47" ht="12.75" x14ac:dyDescent="0.2">
      <c r="A985" s="9"/>
      <c r="B985" s="1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</row>
    <row r="986" spans="1:47" ht="12.75" x14ac:dyDescent="0.2">
      <c r="A986" s="9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</row>
    <row r="987" spans="1:47" ht="12.75" x14ac:dyDescent="0.2">
      <c r="A987" s="9"/>
      <c r="B987" s="1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</row>
    <row r="988" spans="1:47" ht="12.75" x14ac:dyDescent="0.2">
      <c r="A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</row>
    <row r="989" spans="1:47" ht="12.75" x14ac:dyDescent="0.2">
      <c r="A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</row>
  </sheetData>
  <mergeCells count="4">
    <mergeCell ref="C1:L1"/>
    <mergeCell ref="S1:AD1"/>
    <mergeCell ref="AE1:AF1"/>
    <mergeCell ref="AG1:AU1"/>
  </mergeCells>
  <conditionalFormatting sqref="C3:P35 Q3:AU40">
    <cfRule type="containsText" dxfId="1" priority="1" operator="containsText" text="TRUE">
      <formula>NOT(ISERROR(SEARCH(("TRUE"),(C3))))</formula>
    </cfRule>
    <cfRule type="containsText" dxfId="0" priority="2" operator="containsText" text="FALSE">
      <formula>NOT(ISERROR(SEARCH(("FALSE"),(C3))))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91"/>
  <sheetViews>
    <sheetView workbookViewId="0"/>
  </sheetViews>
  <sheetFormatPr defaultColWidth="12.5703125" defaultRowHeight="15.75" customHeight="1" x14ac:dyDescent="0.2"/>
  <sheetData>
    <row r="1" spans="1:3" x14ac:dyDescent="0.2">
      <c r="A1" s="5">
        <v>45420.624018217597</v>
      </c>
      <c r="B1" s="1" t="s">
        <v>4231</v>
      </c>
      <c r="C1" s="1" t="s">
        <v>4232</v>
      </c>
    </row>
    <row r="2" spans="1:3" x14ac:dyDescent="0.2">
      <c r="A2" s="5">
        <v>46051.382849664355</v>
      </c>
      <c r="B2" s="1" t="s">
        <v>4233</v>
      </c>
      <c r="C2" s="1"/>
    </row>
    <row r="3" spans="1:3" x14ac:dyDescent="0.2">
      <c r="A3" s="5">
        <v>46051.331297372686</v>
      </c>
      <c r="B3" s="1" t="s">
        <v>4234</v>
      </c>
      <c r="C3" s="1"/>
    </row>
    <row r="4" spans="1:3" x14ac:dyDescent="0.2">
      <c r="A4" s="5">
        <v>46051.329991307866</v>
      </c>
      <c r="B4" s="1" t="s">
        <v>4235</v>
      </c>
      <c r="C4" s="1"/>
    </row>
    <row r="5" spans="1:3" x14ac:dyDescent="0.2">
      <c r="A5" s="5">
        <v>46050.936342511573</v>
      </c>
      <c r="B5" s="1" t="s">
        <v>4236</v>
      </c>
      <c r="C5" s="1"/>
    </row>
    <row r="6" spans="1:3" x14ac:dyDescent="0.2">
      <c r="A6" s="5">
        <v>46050.935965775461</v>
      </c>
      <c r="B6" s="1" t="s">
        <v>4237</v>
      </c>
      <c r="C6" s="1"/>
    </row>
    <row r="7" spans="1:3" x14ac:dyDescent="0.2">
      <c r="A7" s="5">
        <v>46050.935507488422</v>
      </c>
      <c r="B7" s="1" t="s">
        <v>4238</v>
      </c>
      <c r="C7" s="1"/>
    </row>
    <row r="8" spans="1:3" x14ac:dyDescent="0.2">
      <c r="A8" s="5">
        <v>46050.725583321764</v>
      </c>
      <c r="B8" s="1" t="s">
        <v>4239</v>
      </c>
      <c r="C8" s="1"/>
    </row>
    <row r="9" spans="1:3" x14ac:dyDescent="0.2">
      <c r="A9" s="5">
        <v>46050.725067094907</v>
      </c>
      <c r="B9" s="1" t="s">
        <v>4240</v>
      </c>
      <c r="C9" s="1"/>
    </row>
    <row r="10" spans="1:3" x14ac:dyDescent="0.2">
      <c r="A10" s="5">
        <v>46050.724272453706</v>
      </c>
      <c r="B10" s="1" t="s">
        <v>4241</v>
      </c>
      <c r="C10" s="1"/>
    </row>
    <row r="11" spans="1:3" x14ac:dyDescent="0.2">
      <c r="A11" s="5">
        <v>46050.723556180557</v>
      </c>
      <c r="B11" s="1" t="s">
        <v>4242</v>
      </c>
      <c r="C11" s="1"/>
    </row>
    <row r="12" spans="1:3" x14ac:dyDescent="0.2">
      <c r="A12" s="5">
        <v>46050.652730856484</v>
      </c>
      <c r="B12" s="1" t="s">
        <v>4243</v>
      </c>
      <c r="C12" s="1"/>
    </row>
    <row r="13" spans="1:3" x14ac:dyDescent="0.2">
      <c r="A13" s="5">
        <v>46050.652393761571</v>
      </c>
      <c r="B13" s="1" t="s">
        <v>4244</v>
      </c>
      <c r="C13" s="1"/>
    </row>
    <row r="14" spans="1:3" x14ac:dyDescent="0.2">
      <c r="A14" s="5">
        <v>46050.652105972222</v>
      </c>
      <c r="B14" s="1" t="s">
        <v>4245</v>
      </c>
      <c r="C14" s="1"/>
    </row>
    <row r="15" spans="1:3" x14ac:dyDescent="0.2">
      <c r="A15" s="5">
        <v>46050.651739768524</v>
      </c>
      <c r="B15" s="1" t="s">
        <v>4246</v>
      </c>
      <c r="C15" s="1"/>
    </row>
    <row r="16" spans="1:3" x14ac:dyDescent="0.2">
      <c r="A16" s="5">
        <v>46050.651269247683</v>
      </c>
      <c r="B16" s="1" t="s">
        <v>4247</v>
      </c>
      <c r="C16" s="1"/>
    </row>
    <row r="17" spans="1:3" x14ac:dyDescent="0.2">
      <c r="A17" s="5">
        <v>46050.650896539351</v>
      </c>
      <c r="B17" s="1" t="s">
        <v>4248</v>
      </c>
      <c r="C17" s="1"/>
    </row>
    <row r="18" spans="1:3" x14ac:dyDescent="0.2">
      <c r="A18" s="5">
        <v>46050.637581388888</v>
      </c>
      <c r="B18" s="1" t="s">
        <v>4249</v>
      </c>
      <c r="C18" s="1"/>
    </row>
    <row r="19" spans="1:3" x14ac:dyDescent="0.2">
      <c r="A19" s="5">
        <v>46050.636815023143</v>
      </c>
      <c r="B19" s="1" t="s">
        <v>4250</v>
      </c>
      <c r="C19" s="1"/>
    </row>
    <row r="20" spans="1:3" x14ac:dyDescent="0.2">
      <c r="A20" s="5">
        <v>46050.636471909718</v>
      </c>
      <c r="B20" s="1" t="s">
        <v>4251</v>
      </c>
      <c r="C20" s="1"/>
    </row>
    <row r="21" spans="1:3" x14ac:dyDescent="0.2">
      <c r="A21" s="5">
        <v>46050.636025196756</v>
      </c>
      <c r="B21" s="1" t="s">
        <v>4252</v>
      </c>
      <c r="C21" s="1"/>
    </row>
    <row r="22" spans="1:3" x14ac:dyDescent="0.2">
      <c r="A22" s="5">
        <v>46050.635536805552</v>
      </c>
      <c r="B22" s="1" t="s">
        <v>4253</v>
      </c>
      <c r="C22" s="1"/>
    </row>
    <row r="23" spans="1:3" x14ac:dyDescent="0.2">
      <c r="A23" s="5">
        <v>46050.634991793981</v>
      </c>
      <c r="B23" s="1" t="s">
        <v>4254</v>
      </c>
      <c r="C23" s="1"/>
    </row>
    <row r="24" spans="1:3" x14ac:dyDescent="0.2">
      <c r="A24" s="5">
        <v>46050.629787743055</v>
      </c>
      <c r="B24" s="1" t="s">
        <v>4255</v>
      </c>
      <c r="C24" s="1"/>
    </row>
    <row r="25" spans="1:3" x14ac:dyDescent="0.2">
      <c r="A25" s="5">
        <v>46050.629336550926</v>
      </c>
      <c r="B25" s="1" t="s">
        <v>4256</v>
      </c>
      <c r="C25" s="1"/>
    </row>
    <row r="26" spans="1:3" x14ac:dyDescent="0.2">
      <c r="A26" s="5">
        <v>46050.628796956022</v>
      </c>
      <c r="B26" s="1" t="s">
        <v>4257</v>
      </c>
      <c r="C26" s="1"/>
    </row>
    <row r="27" spans="1:3" x14ac:dyDescent="0.2">
      <c r="A27" s="5">
        <v>46050.626912326392</v>
      </c>
      <c r="B27" s="1" t="s">
        <v>4258</v>
      </c>
      <c r="C27" s="1"/>
    </row>
    <row r="28" spans="1:3" x14ac:dyDescent="0.2">
      <c r="A28" s="5">
        <v>46050.626147013885</v>
      </c>
      <c r="B28" s="1" t="s">
        <v>4259</v>
      </c>
      <c r="C28" s="1"/>
    </row>
    <row r="29" spans="1:3" x14ac:dyDescent="0.2">
      <c r="A29" s="5">
        <v>46050.624251574074</v>
      </c>
      <c r="B29" s="1" t="s">
        <v>4260</v>
      </c>
      <c r="C29" s="1"/>
    </row>
    <row r="30" spans="1:3" x14ac:dyDescent="0.2">
      <c r="A30" s="5">
        <v>46050.614234027773</v>
      </c>
      <c r="B30" s="1" t="s">
        <v>4261</v>
      </c>
      <c r="C30" s="1"/>
    </row>
    <row r="31" spans="1:3" x14ac:dyDescent="0.2">
      <c r="A31" s="5">
        <v>46049.635507465282</v>
      </c>
      <c r="B31" s="1" t="s">
        <v>4262</v>
      </c>
      <c r="C31" s="1"/>
    </row>
    <row r="32" spans="1:3" x14ac:dyDescent="0.2">
      <c r="A32" s="5">
        <v>46049.6245375</v>
      </c>
      <c r="B32" s="1" t="s">
        <v>4263</v>
      </c>
      <c r="C32" s="1"/>
    </row>
    <row r="33" spans="1:3" x14ac:dyDescent="0.2">
      <c r="A33" s="5">
        <v>46049.624254490744</v>
      </c>
      <c r="B33" s="1" t="s">
        <v>4264</v>
      </c>
      <c r="C33" s="1"/>
    </row>
    <row r="34" spans="1:3" x14ac:dyDescent="0.2">
      <c r="A34" s="5">
        <v>46049.46070974537</v>
      </c>
      <c r="B34" s="1" t="s">
        <v>4265</v>
      </c>
      <c r="C34" s="1"/>
    </row>
    <row r="35" spans="1:3" x14ac:dyDescent="0.2">
      <c r="A35" s="5">
        <v>46049.459396215279</v>
      </c>
      <c r="B35" s="1" t="s">
        <v>4266</v>
      </c>
      <c r="C35" s="1"/>
    </row>
    <row r="36" spans="1:3" x14ac:dyDescent="0.2">
      <c r="A36" s="5">
        <v>46049.458989895837</v>
      </c>
      <c r="B36" s="1" t="s">
        <v>4267</v>
      </c>
      <c r="C36" s="1"/>
    </row>
    <row r="37" spans="1:3" x14ac:dyDescent="0.2">
      <c r="A37" s="5">
        <v>46049.458624375002</v>
      </c>
      <c r="B37" s="1" t="s">
        <v>4268</v>
      </c>
      <c r="C37" s="1"/>
    </row>
    <row r="38" spans="1:3" x14ac:dyDescent="0.2">
      <c r="A38" s="5">
        <v>46049.444082511574</v>
      </c>
      <c r="B38" s="1" t="s">
        <v>4269</v>
      </c>
      <c r="C38" s="1"/>
    </row>
    <row r="39" spans="1:3" x14ac:dyDescent="0.2">
      <c r="A39" s="5">
        <v>46049.443690567132</v>
      </c>
      <c r="B39" s="1" t="s">
        <v>4270</v>
      </c>
      <c r="C39" s="1"/>
    </row>
    <row r="40" spans="1:3" x14ac:dyDescent="0.2">
      <c r="A40" s="5">
        <v>46049.43532488426</v>
      </c>
      <c r="B40" s="1" t="s">
        <v>4271</v>
      </c>
      <c r="C40" s="1"/>
    </row>
    <row r="41" spans="1:3" x14ac:dyDescent="0.2">
      <c r="A41" s="5">
        <v>46049.434359375002</v>
      </c>
      <c r="B41" s="1" t="s">
        <v>4272</v>
      </c>
      <c r="C41" s="1"/>
    </row>
    <row r="42" spans="1:3" x14ac:dyDescent="0.2">
      <c r="A42" s="5">
        <v>46049.434111817129</v>
      </c>
      <c r="B42" s="1" t="s">
        <v>4273</v>
      </c>
      <c r="C42" s="1"/>
    </row>
    <row r="43" spans="1:3" x14ac:dyDescent="0.2">
      <c r="A43" s="5">
        <v>46048.673704236113</v>
      </c>
      <c r="B43" s="1" t="s">
        <v>4274</v>
      </c>
      <c r="C43" s="1"/>
    </row>
    <row r="44" spans="1:3" x14ac:dyDescent="0.2">
      <c r="A44" s="5">
        <v>46048.661084594904</v>
      </c>
      <c r="B44" s="1" t="s">
        <v>4275</v>
      </c>
      <c r="C44" s="1"/>
    </row>
    <row r="45" spans="1:3" x14ac:dyDescent="0.2">
      <c r="A45" s="5">
        <v>46048.653860115737</v>
      </c>
      <c r="B45" s="1" t="s">
        <v>4276</v>
      </c>
      <c r="C45" s="1"/>
    </row>
    <row r="46" spans="1:3" x14ac:dyDescent="0.2">
      <c r="A46" s="5">
        <v>46048.653738900466</v>
      </c>
      <c r="B46" s="1" t="s">
        <v>4277</v>
      </c>
      <c r="C46" s="1"/>
    </row>
    <row r="47" spans="1:3" x14ac:dyDescent="0.2">
      <c r="A47" s="5">
        <v>46048.652320775465</v>
      </c>
      <c r="B47" s="1" t="s">
        <v>4278</v>
      </c>
      <c r="C47" s="1"/>
    </row>
    <row r="48" spans="1:3" x14ac:dyDescent="0.2">
      <c r="A48" s="5">
        <v>46048.649710729165</v>
      </c>
      <c r="B48" s="1" t="s">
        <v>4279</v>
      </c>
      <c r="C48" s="1"/>
    </row>
    <row r="49" spans="1:3" x14ac:dyDescent="0.2">
      <c r="A49" s="5">
        <v>46048.649307905092</v>
      </c>
      <c r="B49" s="1" t="s">
        <v>4280</v>
      </c>
      <c r="C49" s="1"/>
    </row>
    <row r="50" spans="1:3" x14ac:dyDescent="0.2">
      <c r="A50" s="5">
        <v>46048.648388738424</v>
      </c>
      <c r="B50" s="1" t="s">
        <v>4281</v>
      </c>
      <c r="C50" s="1"/>
    </row>
    <row r="51" spans="1:3" x14ac:dyDescent="0.2">
      <c r="A51" s="5">
        <v>46048.64792581019</v>
      </c>
      <c r="B51" s="1" t="s">
        <v>4282</v>
      </c>
      <c r="C51" s="1"/>
    </row>
    <row r="52" spans="1:3" x14ac:dyDescent="0.2">
      <c r="A52" s="5">
        <v>46048.646648530092</v>
      </c>
      <c r="B52" s="1" t="s">
        <v>4283</v>
      </c>
      <c r="C52" s="1"/>
    </row>
    <row r="53" spans="1:3" x14ac:dyDescent="0.2">
      <c r="A53" s="5">
        <v>46048.64630320602</v>
      </c>
      <c r="B53" s="1" t="s">
        <v>4284</v>
      </c>
      <c r="C53" s="1"/>
    </row>
    <row r="54" spans="1:3" x14ac:dyDescent="0.2">
      <c r="A54" s="5">
        <v>46048.645128796299</v>
      </c>
      <c r="B54" s="1" t="s">
        <v>4285</v>
      </c>
      <c r="C54" s="1"/>
    </row>
    <row r="55" spans="1:3" x14ac:dyDescent="0.2">
      <c r="A55" s="5">
        <v>46048.64495825232</v>
      </c>
      <c r="B55" s="1" t="s">
        <v>4286</v>
      </c>
      <c r="C55" s="1"/>
    </row>
    <row r="56" spans="1:3" x14ac:dyDescent="0.2">
      <c r="A56" s="5">
        <v>46048.64483675926</v>
      </c>
      <c r="B56" s="1" t="s">
        <v>4287</v>
      </c>
      <c r="C56" s="1"/>
    </row>
    <row r="57" spans="1:3" x14ac:dyDescent="0.2">
      <c r="A57" s="5">
        <v>46048.644550092591</v>
      </c>
      <c r="B57" s="1" t="s">
        <v>4288</v>
      </c>
      <c r="C57" s="1"/>
    </row>
    <row r="58" spans="1:3" x14ac:dyDescent="0.2">
      <c r="A58" s="5">
        <v>46048.644158495372</v>
      </c>
      <c r="B58" s="1" t="s">
        <v>4289</v>
      </c>
      <c r="C58" s="1"/>
    </row>
    <row r="59" spans="1:3" x14ac:dyDescent="0.2">
      <c r="A59" s="5">
        <v>46048.643236041666</v>
      </c>
      <c r="B59" s="1" t="s">
        <v>4290</v>
      </c>
      <c r="C59" s="1"/>
    </row>
    <row r="60" spans="1:3" x14ac:dyDescent="0.2">
      <c r="A60" s="5">
        <v>46048.642769467595</v>
      </c>
      <c r="B60" s="1" t="s">
        <v>4291</v>
      </c>
      <c r="C60" s="1"/>
    </row>
    <row r="61" spans="1:3" x14ac:dyDescent="0.2">
      <c r="A61" s="5">
        <v>46048.618504583334</v>
      </c>
      <c r="B61" s="1" t="s">
        <v>4292</v>
      </c>
      <c r="C61" s="1"/>
    </row>
    <row r="62" spans="1:3" x14ac:dyDescent="0.2">
      <c r="A62" s="5">
        <v>46048.527952685181</v>
      </c>
      <c r="B62" s="1" t="s">
        <v>4293</v>
      </c>
      <c r="C62" s="1"/>
    </row>
    <row r="63" spans="1:3" x14ac:dyDescent="0.2">
      <c r="A63" s="5">
        <v>46048.527595405089</v>
      </c>
      <c r="B63" s="1" t="s">
        <v>4294</v>
      </c>
      <c r="C63" s="1"/>
    </row>
    <row r="64" spans="1:3" x14ac:dyDescent="0.2">
      <c r="A64" s="5">
        <v>46048.489254212967</v>
      </c>
      <c r="B64" s="1" t="s">
        <v>4295</v>
      </c>
      <c r="C64" s="1"/>
    </row>
    <row r="65" spans="1:3" x14ac:dyDescent="0.2">
      <c r="A65" s="5">
        <v>46048.488852418981</v>
      </c>
      <c r="B65" s="1" t="s">
        <v>4296</v>
      </c>
      <c r="C65" s="1"/>
    </row>
    <row r="66" spans="1:3" x14ac:dyDescent="0.2">
      <c r="A66" s="5">
        <v>46048.486969351856</v>
      </c>
      <c r="B66" s="1" t="s">
        <v>4297</v>
      </c>
      <c r="C66" s="1"/>
    </row>
    <row r="67" spans="1:3" x14ac:dyDescent="0.2">
      <c r="A67" s="5">
        <v>46048.486502673608</v>
      </c>
      <c r="B67" s="1" t="s">
        <v>4298</v>
      </c>
      <c r="C67" s="1"/>
    </row>
    <row r="68" spans="1:3" x14ac:dyDescent="0.2">
      <c r="A68" s="5">
        <v>46048.411199606482</v>
      </c>
      <c r="B68" s="1" t="s">
        <v>4299</v>
      </c>
      <c r="C68" s="1"/>
    </row>
    <row r="69" spans="1:3" x14ac:dyDescent="0.2">
      <c r="A69" s="5">
        <v>46048.41075836806</v>
      </c>
      <c r="B69" s="1" t="s">
        <v>4300</v>
      </c>
      <c r="C69" s="1"/>
    </row>
    <row r="70" spans="1:3" x14ac:dyDescent="0.2">
      <c r="A70" s="5">
        <v>46048.410423576388</v>
      </c>
      <c r="B70" s="1" t="s">
        <v>4301</v>
      </c>
      <c r="C70" s="1"/>
    </row>
    <row r="71" spans="1:3" x14ac:dyDescent="0.2">
      <c r="A71" s="5">
        <v>46048.410246446758</v>
      </c>
      <c r="B71" s="1" t="s">
        <v>4302</v>
      </c>
      <c r="C71" s="1"/>
    </row>
    <row r="72" spans="1:3" x14ac:dyDescent="0.2">
      <c r="A72" s="5">
        <v>46048.410105543982</v>
      </c>
      <c r="B72" s="1" t="s">
        <v>4303</v>
      </c>
      <c r="C72" s="1"/>
    </row>
    <row r="73" spans="1:3" x14ac:dyDescent="0.2">
      <c r="A73" s="5">
        <v>46048.409126030092</v>
      </c>
      <c r="B73" s="1" t="s">
        <v>4304</v>
      </c>
      <c r="C73" s="1"/>
    </row>
    <row r="74" spans="1:3" x14ac:dyDescent="0.2">
      <c r="A74" s="5">
        <v>46048.392068587964</v>
      </c>
      <c r="B74" s="1" t="s">
        <v>4305</v>
      </c>
      <c r="C74" s="1"/>
    </row>
    <row r="75" spans="1:3" x14ac:dyDescent="0.2">
      <c r="A75" s="5">
        <v>46048.391793599541</v>
      </c>
      <c r="B75" s="1" t="s">
        <v>4306</v>
      </c>
      <c r="C75" s="1"/>
    </row>
    <row r="76" spans="1:3" x14ac:dyDescent="0.2">
      <c r="A76" s="5">
        <v>46048.391747025467</v>
      </c>
      <c r="B76" s="1" t="s">
        <v>4307</v>
      </c>
      <c r="C76" s="1"/>
    </row>
    <row r="77" spans="1:3" x14ac:dyDescent="0.2">
      <c r="A77" s="5">
        <v>46048.391209039357</v>
      </c>
      <c r="B77" s="1" t="s">
        <v>4308</v>
      </c>
      <c r="C77" s="1"/>
    </row>
    <row r="78" spans="1:3" x14ac:dyDescent="0.2">
      <c r="A78" s="5">
        <v>46048.381640347223</v>
      </c>
      <c r="B78" s="1" t="s">
        <v>4309</v>
      </c>
      <c r="C78" s="1"/>
    </row>
    <row r="79" spans="1:3" x14ac:dyDescent="0.2">
      <c r="A79" s="5">
        <v>46048.378835810188</v>
      </c>
      <c r="B79" s="1" t="s">
        <v>4310</v>
      </c>
      <c r="C79" s="1"/>
    </row>
    <row r="80" spans="1:3" x14ac:dyDescent="0.2">
      <c r="A80" s="5">
        <v>46048.378548576387</v>
      </c>
      <c r="B80" s="1" t="s">
        <v>4311</v>
      </c>
      <c r="C80" s="1"/>
    </row>
    <row r="81" spans="1:3" x14ac:dyDescent="0.2">
      <c r="A81" s="5">
        <v>46048.377628576389</v>
      </c>
      <c r="B81" s="1" t="s">
        <v>4312</v>
      </c>
      <c r="C81" s="1"/>
    </row>
    <row r="82" spans="1:3" x14ac:dyDescent="0.2">
      <c r="A82" s="5">
        <v>46048.377147060186</v>
      </c>
      <c r="B82" s="1" t="s">
        <v>4313</v>
      </c>
      <c r="C82" s="1"/>
    </row>
    <row r="83" spans="1:3" x14ac:dyDescent="0.2">
      <c r="A83" s="5">
        <v>46048.372585034725</v>
      </c>
      <c r="B83" s="1" t="s">
        <v>4314</v>
      </c>
      <c r="C83" s="1"/>
    </row>
    <row r="84" spans="1:3" x14ac:dyDescent="0.2">
      <c r="A84" s="5">
        <v>46048.368533842593</v>
      </c>
      <c r="B84" s="1" t="s">
        <v>4315</v>
      </c>
      <c r="C84" s="1"/>
    </row>
    <row r="85" spans="1:3" x14ac:dyDescent="0.2">
      <c r="A85" s="5">
        <v>46048.368101562504</v>
      </c>
      <c r="B85" s="1" t="s">
        <v>4316</v>
      </c>
      <c r="C85" s="1"/>
    </row>
    <row r="86" spans="1:3" x14ac:dyDescent="0.2">
      <c r="A86" s="5">
        <v>46048.361725416667</v>
      </c>
      <c r="B86" s="1" t="s">
        <v>4317</v>
      </c>
      <c r="C86" s="1"/>
    </row>
    <row r="87" spans="1:3" x14ac:dyDescent="0.2">
      <c r="A87" s="5">
        <v>46043.374672951388</v>
      </c>
      <c r="B87" s="1" t="s">
        <v>4318</v>
      </c>
      <c r="C87" s="1"/>
    </row>
    <row r="88" spans="1:3" x14ac:dyDescent="0.2">
      <c r="A88" s="5">
        <v>46043.37429738426</v>
      </c>
      <c r="B88" s="1" t="s">
        <v>4319</v>
      </c>
      <c r="C88" s="1"/>
    </row>
    <row r="89" spans="1:3" x14ac:dyDescent="0.2">
      <c r="A89" s="5">
        <v>46043.373308784721</v>
      </c>
      <c r="B89" s="1" t="s">
        <v>4320</v>
      </c>
      <c r="C89" s="1"/>
    </row>
    <row r="90" spans="1:3" x14ac:dyDescent="0.2">
      <c r="A90" s="5">
        <v>46043.37303505787</v>
      </c>
      <c r="B90" s="1" t="s">
        <v>4321</v>
      </c>
      <c r="C90" s="1"/>
    </row>
    <row r="91" spans="1:3" x14ac:dyDescent="0.2">
      <c r="A91" s="5">
        <v>46043.372748946756</v>
      </c>
      <c r="B91" s="1" t="s">
        <v>4322</v>
      </c>
      <c r="C91" s="1"/>
    </row>
    <row r="92" spans="1:3" x14ac:dyDescent="0.2">
      <c r="A92" s="5">
        <v>46043.372427256945</v>
      </c>
      <c r="B92" s="1" t="s">
        <v>4323</v>
      </c>
      <c r="C92" s="1"/>
    </row>
    <row r="93" spans="1:3" x14ac:dyDescent="0.2">
      <c r="A93" s="5">
        <v>46043.37217826389</v>
      </c>
      <c r="B93" s="1" t="s">
        <v>4324</v>
      </c>
      <c r="C93" s="1"/>
    </row>
    <row r="94" spans="1:3" x14ac:dyDescent="0.2">
      <c r="A94" s="5">
        <v>46043.371858379629</v>
      </c>
      <c r="B94" s="1" t="s">
        <v>4325</v>
      </c>
      <c r="C94" s="1"/>
    </row>
    <row r="95" spans="1:3" x14ac:dyDescent="0.2">
      <c r="A95" s="5">
        <v>46043.371565231486</v>
      </c>
      <c r="B95" s="1" t="s">
        <v>4326</v>
      </c>
      <c r="C95" s="1"/>
    </row>
    <row r="96" spans="1:3" x14ac:dyDescent="0.2">
      <c r="A96" s="5">
        <v>46043.369757997687</v>
      </c>
      <c r="B96" s="1" t="s">
        <v>4327</v>
      </c>
      <c r="C96" s="1"/>
    </row>
    <row r="97" spans="1:3" x14ac:dyDescent="0.2">
      <c r="A97" s="5">
        <v>46043.367822824075</v>
      </c>
      <c r="B97" s="1" t="s">
        <v>4328</v>
      </c>
      <c r="C97" s="1"/>
    </row>
    <row r="98" spans="1:3" x14ac:dyDescent="0.2">
      <c r="A98" s="5">
        <v>46042.540297870371</v>
      </c>
      <c r="B98" s="1" t="s">
        <v>4329</v>
      </c>
      <c r="C98" s="1"/>
    </row>
    <row r="99" spans="1:3" x14ac:dyDescent="0.2">
      <c r="A99" s="5">
        <v>46042.539939027774</v>
      </c>
      <c r="B99" s="1" t="s">
        <v>4330</v>
      </c>
      <c r="C99" s="1"/>
    </row>
    <row r="100" spans="1:3" x14ac:dyDescent="0.2">
      <c r="A100" s="5">
        <v>46042.53948684028</v>
      </c>
      <c r="B100" s="1" t="s">
        <v>4331</v>
      </c>
      <c r="C100" s="1"/>
    </row>
    <row r="101" spans="1:3" x14ac:dyDescent="0.2">
      <c r="A101" s="5">
        <v>46042.539082152776</v>
      </c>
      <c r="B101" s="1" t="s">
        <v>4332</v>
      </c>
      <c r="C101" s="1"/>
    </row>
    <row r="102" spans="1:3" x14ac:dyDescent="0.2">
      <c r="A102" s="5">
        <v>46042.508899444445</v>
      </c>
      <c r="B102" s="1" t="s">
        <v>4333</v>
      </c>
      <c r="C102" s="1"/>
    </row>
    <row r="103" spans="1:3" x14ac:dyDescent="0.2">
      <c r="A103" s="5">
        <v>46042.493449004629</v>
      </c>
      <c r="B103" s="1" t="s">
        <v>4334</v>
      </c>
      <c r="C103" s="1"/>
    </row>
    <row r="104" spans="1:3" x14ac:dyDescent="0.2">
      <c r="A104" s="5">
        <v>46042.468154328701</v>
      </c>
      <c r="B104" s="1" t="s">
        <v>4335</v>
      </c>
      <c r="C104" s="1"/>
    </row>
    <row r="105" spans="1:3" x14ac:dyDescent="0.2">
      <c r="A105" s="5">
        <v>46042.466447372688</v>
      </c>
      <c r="B105" s="1" t="s">
        <v>4336</v>
      </c>
      <c r="C105" s="1"/>
    </row>
    <row r="106" spans="1:3" x14ac:dyDescent="0.2">
      <c r="A106" s="5">
        <v>46042.465662442133</v>
      </c>
      <c r="B106" s="1" t="s">
        <v>4337</v>
      </c>
      <c r="C106" s="1"/>
    </row>
    <row r="107" spans="1:3" x14ac:dyDescent="0.2">
      <c r="A107" s="5">
        <v>46042.464907893518</v>
      </c>
      <c r="B107" s="1" t="s">
        <v>4338</v>
      </c>
      <c r="C107" s="1"/>
    </row>
    <row r="108" spans="1:3" x14ac:dyDescent="0.2">
      <c r="A108" s="5">
        <v>46041.67599596065</v>
      </c>
      <c r="B108" s="1" t="s">
        <v>4339</v>
      </c>
      <c r="C108" s="1"/>
    </row>
    <row r="109" spans="1:3" x14ac:dyDescent="0.2">
      <c r="A109" s="5">
        <v>46041.675671979167</v>
      </c>
      <c r="B109" s="1" t="s">
        <v>4340</v>
      </c>
      <c r="C109" s="1"/>
    </row>
    <row r="110" spans="1:3" x14ac:dyDescent="0.2">
      <c r="A110" s="5">
        <v>46041.675361365742</v>
      </c>
      <c r="B110" s="1" t="s">
        <v>4341</v>
      </c>
      <c r="C110" s="1"/>
    </row>
    <row r="111" spans="1:3" x14ac:dyDescent="0.2">
      <c r="A111" s="5">
        <v>46041.67490607639</v>
      </c>
      <c r="B111" s="1" t="s">
        <v>4342</v>
      </c>
      <c r="C111" s="1"/>
    </row>
    <row r="112" spans="1:3" x14ac:dyDescent="0.2">
      <c r="A112" s="5">
        <v>46041.674366215273</v>
      </c>
      <c r="B112" s="1" t="s">
        <v>4343</v>
      </c>
      <c r="C112" s="1"/>
    </row>
    <row r="113" spans="1:3" x14ac:dyDescent="0.2">
      <c r="A113" s="5">
        <v>46041.674063379629</v>
      </c>
      <c r="B113" s="1" t="s">
        <v>4344</v>
      </c>
      <c r="C113" s="1"/>
    </row>
    <row r="114" spans="1:3" x14ac:dyDescent="0.2">
      <c r="A114" s="5">
        <v>46041.673704837958</v>
      </c>
      <c r="B114" s="1" t="s">
        <v>4345</v>
      </c>
      <c r="C114" s="1"/>
    </row>
    <row r="115" spans="1:3" x14ac:dyDescent="0.2">
      <c r="A115" s="5">
        <v>46041.565546585647</v>
      </c>
      <c r="B115" s="1" t="s">
        <v>4346</v>
      </c>
      <c r="C115" s="1"/>
    </row>
    <row r="116" spans="1:3" x14ac:dyDescent="0.2">
      <c r="A116" s="5">
        <v>46041.55938486111</v>
      </c>
      <c r="B116" s="1" t="s">
        <v>4347</v>
      </c>
      <c r="C116" s="1"/>
    </row>
    <row r="117" spans="1:3" x14ac:dyDescent="0.2">
      <c r="A117" s="5">
        <v>46041.552143321758</v>
      </c>
      <c r="B117" s="1" t="s">
        <v>4348</v>
      </c>
      <c r="C117" s="1"/>
    </row>
    <row r="118" spans="1:3" x14ac:dyDescent="0.2">
      <c r="A118" s="5">
        <v>46041.488240381943</v>
      </c>
      <c r="B118" s="1" t="s">
        <v>4349</v>
      </c>
      <c r="C118" s="1"/>
    </row>
    <row r="119" spans="1:3" x14ac:dyDescent="0.2">
      <c r="A119" s="5">
        <v>46041.487821400464</v>
      </c>
      <c r="B119" s="1" t="s">
        <v>4350</v>
      </c>
      <c r="C119" s="1"/>
    </row>
    <row r="120" spans="1:3" x14ac:dyDescent="0.2">
      <c r="A120" s="5">
        <v>46041.487428726847</v>
      </c>
      <c r="B120" s="1" t="s">
        <v>4351</v>
      </c>
      <c r="C120" s="1"/>
    </row>
    <row r="121" spans="1:3" x14ac:dyDescent="0.2">
      <c r="A121" s="5">
        <v>46041.486999699075</v>
      </c>
      <c r="B121" s="1" t="s">
        <v>4352</v>
      </c>
      <c r="C121" s="1"/>
    </row>
    <row r="122" spans="1:3" x14ac:dyDescent="0.2">
      <c r="A122" s="5">
        <v>46041.454565613429</v>
      </c>
      <c r="B122" s="1" t="s">
        <v>4353</v>
      </c>
      <c r="C122" s="1"/>
    </row>
    <row r="123" spans="1:3" x14ac:dyDescent="0.2">
      <c r="A123" s="5">
        <v>46041.454271863426</v>
      </c>
      <c r="B123" s="1" t="s">
        <v>4354</v>
      </c>
      <c r="C123" s="1"/>
    </row>
    <row r="124" spans="1:3" x14ac:dyDescent="0.2">
      <c r="A124" s="5">
        <v>46041.453826597222</v>
      </c>
      <c r="B124" s="1" t="s">
        <v>4355</v>
      </c>
      <c r="C124" s="1"/>
    </row>
    <row r="125" spans="1:3" x14ac:dyDescent="0.2">
      <c r="A125" s="5">
        <v>46041.453545474535</v>
      </c>
      <c r="B125" s="1" t="s">
        <v>4356</v>
      </c>
      <c r="C125" s="1"/>
    </row>
    <row r="126" spans="1:3" x14ac:dyDescent="0.2">
      <c r="A126" s="5">
        <v>46041.453160983801</v>
      </c>
      <c r="B126" s="1" t="s">
        <v>4357</v>
      </c>
      <c r="C126" s="1"/>
    </row>
    <row r="127" spans="1:3" x14ac:dyDescent="0.2">
      <c r="A127" s="5">
        <v>46041.452856701391</v>
      </c>
      <c r="B127" s="1" t="s">
        <v>4358</v>
      </c>
      <c r="C127" s="1"/>
    </row>
    <row r="128" spans="1:3" x14ac:dyDescent="0.2">
      <c r="A128" s="5">
        <v>46041.452572106486</v>
      </c>
      <c r="B128" s="1" t="s">
        <v>4359</v>
      </c>
      <c r="C128" s="1"/>
    </row>
    <row r="129" spans="1:3" x14ac:dyDescent="0.2">
      <c r="A129" s="5">
        <v>46041.452472789351</v>
      </c>
      <c r="B129" s="1" t="s">
        <v>4360</v>
      </c>
      <c r="C129" s="1"/>
    </row>
    <row r="130" spans="1:3" x14ac:dyDescent="0.2">
      <c r="A130" s="5">
        <v>46041.452302696758</v>
      </c>
      <c r="B130" s="1" t="s">
        <v>4361</v>
      </c>
      <c r="C130" s="1"/>
    </row>
    <row r="131" spans="1:3" x14ac:dyDescent="0.2">
      <c r="A131" s="5">
        <v>46041.45067987268</v>
      </c>
      <c r="B131" s="1" t="s">
        <v>4362</v>
      </c>
      <c r="C131" s="1"/>
    </row>
    <row r="132" spans="1:3" x14ac:dyDescent="0.2">
      <c r="A132" s="5">
        <v>46041.449620694446</v>
      </c>
      <c r="B132" s="1" t="s">
        <v>4363</v>
      </c>
      <c r="C132" s="1"/>
    </row>
    <row r="133" spans="1:3" x14ac:dyDescent="0.2">
      <c r="A133" s="5">
        <v>46041.448031145832</v>
      </c>
      <c r="B133" s="1" t="s">
        <v>4364</v>
      </c>
      <c r="C133" s="1"/>
    </row>
    <row r="134" spans="1:3" x14ac:dyDescent="0.2">
      <c r="A134" s="5">
        <v>46041.446854768517</v>
      </c>
      <c r="B134" s="1" t="s">
        <v>4365</v>
      </c>
      <c r="C134" s="1"/>
    </row>
    <row r="135" spans="1:3" x14ac:dyDescent="0.2">
      <c r="A135" s="5">
        <v>46041.445761828705</v>
      </c>
      <c r="B135" s="1" t="s">
        <v>4366</v>
      </c>
      <c r="C135" s="1"/>
    </row>
    <row r="136" spans="1:3" x14ac:dyDescent="0.2">
      <c r="A136" s="5">
        <v>46041.435580474536</v>
      </c>
      <c r="B136" s="1" t="s">
        <v>4367</v>
      </c>
      <c r="C136" s="1"/>
    </row>
    <row r="137" spans="1:3" x14ac:dyDescent="0.2">
      <c r="A137" s="5">
        <v>46041.435220497689</v>
      </c>
      <c r="B137" s="1" t="s">
        <v>4368</v>
      </c>
      <c r="C137" s="1"/>
    </row>
    <row r="138" spans="1:3" x14ac:dyDescent="0.2">
      <c r="A138" s="5">
        <v>46041.434955682867</v>
      </c>
      <c r="B138" s="1" t="s">
        <v>4369</v>
      </c>
      <c r="C138" s="1"/>
    </row>
    <row r="139" spans="1:3" x14ac:dyDescent="0.2">
      <c r="A139" s="5">
        <v>46041.434666284724</v>
      </c>
      <c r="B139" s="1" t="s">
        <v>4370</v>
      </c>
      <c r="C139" s="1"/>
    </row>
    <row r="140" spans="1:3" x14ac:dyDescent="0.2">
      <c r="A140" s="5">
        <v>46041.419429641202</v>
      </c>
      <c r="B140" s="1" t="s">
        <v>4371</v>
      </c>
      <c r="C140" s="1"/>
    </row>
    <row r="141" spans="1:3" x14ac:dyDescent="0.2">
      <c r="A141" s="5">
        <v>46041.419005706019</v>
      </c>
      <c r="B141" s="1" t="s">
        <v>4372</v>
      </c>
      <c r="C141" s="1"/>
    </row>
    <row r="142" spans="1:3" x14ac:dyDescent="0.2">
      <c r="A142" s="5">
        <v>46041.418174571758</v>
      </c>
      <c r="B142" s="1" t="s">
        <v>4373</v>
      </c>
      <c r="C142" s="1"/>
    </row>
    <row r="143" spans="1:3" x14ac:dyDescent="0.2">
      <c r="A143" s="5">
        <v>46041.417660775463</v>
      </c>
      <c r="B143" s="1" t="s">
        <v>4374</v>
      </c>
      <c r="C143" s="1"/>
    </row>
    <row r="144" spans="1:3" x14ac:dyDescent="0.2">
      <c r="A144" s="5">
        <v>46041.417130300921</v>
      </c>
      <c r="B144" s="1" t="s">
        <v>4375</v>
      </c>
      <c r="C144" s="1"/>
    </row>
    <row r="145" spans="1:3" x14ac:dyDescent="0.2">
      <c r="A145" s="5">
        <v>46041.416545162036</v>
      </c>
      <c r="B145" s="1" t="s">
        <v>4376</v>
      </c>
      <c r="C145" s="1"/>
    </row>
    <row r="146" spans="1:3" x14ac:dyDescent="0.2">
      <c r="A146" s="5">
        <v>46041.415711412032</v>
      </c>
      <c r="B146" s="1" t="s">
        <v>4377</v>
      </c>
      <c r="C146" s="1"/>
    </row>
    <row r="147" spans="1:3" x14ac:dyDescent="0.2">
      <c r="A147" s="5">
        <v>46041.396509571758</v>
      </c>
      <c r="B147" s="1" t="s">
        <v>4378</v>
      </c>
      <c r="C147" s="1"/>
    </row>
    <row r="148" spans="1:3" x14ac:dyDescent="0.2">
      <c r="A148" s="5">
        <v>46041.395984340277</v>
      </c>
      <c r="B148" s="1" t="s">
        <v>4379</v>
      </c>
      <c r="C148" s="1"/>
    </row>
    <row r="149" spans="1:3" x14ac:dyDescent="0.2">
      <c r="A149" s="5">
        <v>46041.395588078703</v>
      </c>
      <c r="B149" s="1" t="s">
        <v>4380</v>
      </c>
      <c r="C149" s="1"/>
    </row>
    <row r="150" spans="1:3" x14ac:dyDescent="0.2">
      <c r="A150" s="5">
        <v>46041.394960555554</v>
      </c>
      <c r="B150" s="1" t="s">
        <v>4381</v>
      </c>
      <c r="C150" s="1"/>
    </row>
    <row r="151" spans="1:3" x14ac:dyDescent="0.2">
      <c r="A151" s="5">
        <v>46041.394595879625</v>
      </c>
      <c r="B151" s="1" t="s">
        <v>4382</v>
      </c>
      <c r="C151" s="1"/>
    </row>
    <row r="152" spans="1:3" x14ac:dyDescent="0.2">
      <c r="A152" s="5">
        <v>46041.393870335647</v>
      </c>
      <c r="B152" s="1" t="s">
        <v>4383</v>
      </c>
      <c r="C152" s="1"/>
    </row>
    <row r="153" spans="1:3" x14ac:dyDescent="0.2">
      <c r="A153" s="5">
        <v>46041.391745277782</v>
      </c>
      <c r="B153" s="1" t="s">
        <v>4384</v>
      </c>
      <c r="C153" s="1"/>
    </row>
    <row r="154" spans="1:3" x14ac:dyDescent="0.2">
      <c r="A154" s="5">
        <v>46041.376498356476</v>
      </c>
      <c r="B154" s="1" t="s">
        <v>4385</v>
      </c>
      <c r="C154" s="1"/>
    </row>
    <row r="155" spans="1:3" x14ac:dyDescent="0.2">
      <c r="A155" s="5">
        <v>46041.376129756944</v>
      </c>
      <c r="B155" s="1" t="s">
        <v>4386</v>
      </c>
      <c r="C155" s="1"/>
    </row>
    <row r="156" spans="1:3" x14ac:dyDescent="0.2">
      <c r="A156" s="5">
        <v>46041.375846770832</v>
      </c>
      <c r="B156" s="1" t="s">
        <v>4387</v>
      </c>
      <c r="C156" s="1"/>
    </row>
    <row r="157" spans="1:3" x14ac:dyDescent="0.2">
      <c r="A157" s="5">
        <v>46041.375556689818</v>
      </c>
      <c r="B157" s="1" t="s">
        <v>4388</v>
      </c>
      <c r="C157" s="1"/>
    </row>
    <row r="158" spans="1:3" x14ac:dyDescent="0.2">
      <c r="A158" s="5">
        <v>46041.374421666667</v>
      </c>
      <c r="B158" s="1" t="s">
        <v>4389</v>
      </c>
      <c r="C158" s="1"/>
    </row>
    <row r="159" spans="1:3" x14ac:dyDescent="0.2">
      <c r="A159" s="5">
        <v>46041.374169999996</v>
      </c>
      <c r="B159" s="1" t="s">
        <v>4390</v>
      </c>
      <c r="C159" s="1"/>
    </row>
    <row r="160" spans="1:3" x14ac:dyDescent="0.2">
      <c r="A160" s="5">
        <v>46041.373918958328</v>
      </c>
      <c r="B160" s="1" t="s">
        <v>4391</v>
      </c>
      <c r="C160" s="1"/>
    </row>
    <row r="161" spans="1:3" x14ac:dyDescent="0.2">
      <c r="A161" s="5">
        <v>46041.373724745368</v>
      </c>
      <c r="B161" s="1" t="s">
        <v>4392</v>
      </c>
      <c r="C161" s="1"/>
    </row>
    <row r="162" spans="1:3" x14ac:dyDescent="0.2">
      <c r="A162" s="5">
        <v>46041.373631261573</v>
      </c>
      <c r="B162" s="1" t="s">
        <v>4393</v>
      </c>
      <c r="C162" s="1"/>
    </row>
    <row r="163" spans="1:3" x14ac:dyDescent="0.2">
      <c r="A163" s="5">
        <v>46041.373451805557</v>
      </c>
      <c r="B163" s="1" t="s">
        <v>4394</v>
      </c>
      <c r="C163" s="1"/>
    </row>
    <row r="164" spans="1:3" x14ac:dyDescent="0.2">
      <c r="A164" s="5">
        <v>46041.373360081023</v>
      </c>
      <c r="B164" s="1" t="s">
        <v>4395</v>
      </c>
      <c r="C164" s="1"/>
    </row>
    <row r="165" spans="1:3" x14ac:dyDescent="0.2">
      <c r="A165" s="5">
        <v>46041.373101076388</v>
      </c>
      <c r="B165" s="1" t="s">
        <v>4396</v>
      </c>
      <c r="C165" s="1"/>
    </row>
    <row r="166" spans="1:3" x14ac:dyDescent="0.2">
      <c r="A166" s="5">
        <v>46041.372862581018</v>
      </c>
      <c r="B166" s="1" t="s">
        <v>4397</v>
      </c>
      <c r="C166" s="1"/>
    </row>
    <row r="167" spans="1:3" x14ac:dyDescent="0.2">
      <c r="A167" s="5">
        <v>46041.348181678244</v>
      </c>
      <c r="B167" s="1" t="s">
        <v>4398</v>
      </c>
      <c r="C167" s="1"/>
    </row>
    <row r="168" spans="1:3" x14ac:dyDescent="0.2">
      <c r="A168" s="5">
        <v>46037.670571400464</v>
      </c>
      <c r="B168" s="1" t="s">
        <v>4399</v>
      </c>
      <c r="C168" s="1"/>
    </row>
    <row r="169" spans="1:3" x14ac:dyDescent="0.2">
      <c r="A169" s="5">
        <v>46037.663499907409</v>
      </c>
      <c r="B169" s="1" t="s">
        <v>4400</v>
      </c>
      <c r="C169" s="1"/>
    </row>
    <row r="170" spans="1:3" x14ac:dyDescent="0.2">
      <c r="A170" s="5">
        <v>46037.663059571758</v>
      </c>
      <c r="B170" s="1" t="s">
        <v>4401</v>
      </c>
      <c r="C170" s="1"/>
    </row>
    <row r="171" spans="1:3" x14ac:dyDescent="0.2">
      <c r="A171" s="5">
        <v>46037.662555138886</v>
      </c>
      <c r="B171" s="1" t="s">
        <v>4402</v>
      </c>
      <c r="C171" s="1"/>
    </row>
    <row r="172" spans="1:3" x14ac:dyDescent="0.2">
      <c r="A172" s="5">
        <v>46037.662086516204</v>
      </c>
      <c r="B172" s="1" t="s">
        <v>4403</v>
      </c>
      <c r="C172" s="1"/>
    </row>
    <row r="173" spans="1:3" x14ac:dyDescent="0.2">
      <c r="A173" s="5">
        <v>46037.661588379633</v>
      </c>
      <c r="B173" s="1" t="s">
        <v>4404</v>
      </c>
      <c r="C173" s="1"/>
    </row>
    <row r="174" spans="1:3" x14ac:dyDescent="0.2">
      <c r="A174" s="5">
        <v>46037.661145613427</v>
      </c>
      <c r="B174" s="1" t="s">
        <v>4405</v>
      </c>
      <c r="C174" s="1"/>
    </row>
    <row r="175" spans="1:3" x14ac:dyDescent="0.2">
      <c r="A175" s="5">
        <v>46037.657844768517</v>
      </c>
      <c r="B175" s="1" t="s">
        <v>4406</v>
      </c>
      <c r="C175" s="1"/>
    </row>
    <row r="176" spans="1:3" x14ac:dyDescent="0.2">
      <c r="A176" s="5">
        <v>46037.648566689815</v>
      </c>
      <c r="B176" s="1" t="s">
        <v>4407</v>
      </c>
      <c r="C176" s="1"/>
    </row>
    <row r="177" spans="1:3" x14ac:dyDescent="0.2">
      <c r="A177" s="5">
        <v>46037.647921145835</v>
      </c>
      <c r="B177" s="1" t="s">
        <v>4408</v>
      </c>
      <c r="C177" s="1"/>
    </row>
    <row r="178" spans="1:3" x14ac:dyDescent="0.2">
      <c r="A178" s="5">
        <v>46037.647134606479</v>
      </c>
      <c r="B178" s="1" t="s">
        <v>4409</v>
      </c>
      <c r="C178" s="1"/>
    </row>
    <row r="179" spans="1:3" x14ac:dyDescent="0.2">
      <c r="A179" s="5">
        <v>46037.63283800926</v>
      </c>
      <c r="B179" s="1" t="s">
        <v>4410</v>
      </c>
      <c r="C179" s="1"/>
    </row>
    <row r="180" spans="1:3" x14ac:dyDescent="0.2">
      <c r="A180" s="5">
        <v>46037.632214456018</v>
      </c>
      <c r="B180" s="1" t="s">
        <v>4411</v>
      </c>
      <c r="C180" s="1"/>
    </row>
    <row r="181" spans="1:3" x14ac:dyDescent="0.2">
      <c r="A181" s="5">
        <v>46037.63151950232</v>
      </c>
      <c r="B181" s="1" t="s">
        <v>4412</v>
      </c>
      <c r="C181" s="1"/>
    </row>
    <row r="182" spans="1:3" x14ac:dyDescent="0.2">
      <c r="A182" s="5">
        <v>46037.630935000001</v>
      </c>
      <c r="B182" s="1" t="s">
        <v>4413</v>
      </c>
      <c r="C182" s="1"/>
    </row>
    <row r="183" spans="1:3" x14ac:dyDescent="0.2">
      <c r="A183" s="5">
        <v>46037.630378043978</v>
      </c>
      <c r="B183" s="1" t="s">
        <v>4414</v>
      </c>
      <c r="C183" s="1"/>
    </row>
    <row r="184" spans="1:3" x14ac:dyDescent="0.2">
      <c r="A184" s="5">
        <v>46037.63022230324</v>
      </c>
      <c r="B184" s="1" t="s">
        <v>4415</v>
      </c>
      <c r="C184" s="1"/>
    </row>
    <row r="185" spans="1:3" x14ac:dyDescent="0.2">
      <c r="A185" s="5">
        <v>46037.629903425928</v>
      </c>
      <c r="B185" s="1" t="s">
        <v>4416</v>
      </c>
      <c r="C185" s="1"/>
    </row>
    <row r="186" spans="1:3" x14ac:dyDescent="0.2">
      <c r="A186" s="5">
        <v>46037.629736157411</v>
      </c>
      <c r="B186" s="1" t="s">
        <v>4417</v>
      </c>
      <c r="C186" s="1"/>
    </row>
    <row r="187" spans="1:3" x14ac:dyDescent="0.2">
      <c r="A187" s="5">
        <v>46037.629576412037</v>
      </c>
      <c r="B187" s="1" t="s">
        <v>4418</v>
      </c>
      <c r="C187" s="1"/>
    </row>
    <row r="188" spans="1:3" x14ac:dyDescent="0.2">
      <c r="A188" s="5">
        <v>46037.629261203707</v>
      </c>
      <c r="B188" s="1" t="s">
        <v>4419</v>
      </c>
      <c r="C188" s="1"/>
    </row>
    <row r="189" spans="1:3" x14ac:dyDescent="0.2">
      <c r="A189" s="5">
        <v>46037.629208090279</v>
      </c>
      <c r="B189" s="1" t="s">
        <v>4420</v>
      </c>
      <c r="C189" s="1"/>
    </row>
    <row r="190" spans="1:3" x14ac:dyDescent="0.2">
      <c r="A190" s="5">
        <v>46037.628920208328</v>
      </c>
      <c r="B190" s="1" t="s">
        <v>4421</v>
      </c>
      <c r="C190" s="1"/>
    </row>
    <row r="191" spans="1:3" x14ac:dyDescent="0.2">
      <c r="A191" s="5">
        <v>46037.623297719911</v>
      </c>
      <c r="B191" s="1" t="s">
        <v>4422</v>
      </c>
      <c r="C191" s="1"/>
    </row>
    <row r="192" spans="1:3" x14ac:dyDescent="0.2">
      <c r="A192" s="5">
        <v>46037.622760706014</v>
      </c>
      <c r="B192" s="1" t="s">
        <v>4423</v>
      </c>
      <c r="C192" s="1"/>
    </row>
    <row r="193" spans="1:3" x14ac:dyDescent="0.2">
      <c r="A193" s="5">
        <v>46037.622478124998</v>
      </c>
      <c r="B193" s="1" t="s">
        <v>4424</v>
      </c>
      <c r="C193" s="1"/>
    </row>
    <row r="194" spans="1:3" x14ac:dyDescent="0.2">
      <c r="A194" s="5">
        <v>46037.622154270837</v>
      </c>
      <c r="B194" s="1" t="s">
        <v>4425</v>
      </c>
      <c r="C194" s="1"/>
    </row>
    <row r="195" spans="1:3" x14ac:dyDescent="0.2">
      <c r="A195" s="5">
        <v>46037.602651678244</v>
      </c>
      <c r="B195" s="1" t="s">
        <v>4426</v>
      </c>
      <c r="C195" s="1"/>
    </row>
    <row r="196" spans="1:3" x14ac:dyDescent="0.2">
      <c r="A196" s="5">
        <v>46037.602493437502</v>
      </c>
      <c r="B196" s="1" t="s">
        <v>4427</v>
      </c>
      <c r="C196" s="1"/>
    </row>
    <row r="197" spans="1:3" x14ac:dyDescent="0.2">
      <c r="A197" s="5">
        <v>46037.602180787042</v>
      </c>
      <c r="B197" s="1" t="s">
        <v>4426</v>
      </c>
      <c r="C197" s="1"/>
    </row>
    <row r="198" spans="1:3" x14ac:dyDescent="0.2">
      <c r="A198" s="5">
        <v>46037.601812013891</v>
      </c>
      <c r="B198" s="1" t="s">
        <v>4428</v>
      </c>
      <c r="C198" s="1"/>
    </row>
    <row r="199" spans="1:3" x14ac:dyDescent="0.2">
      <c r="A199" s="5">
        <v>46037.6017975</v>
      </c>
      <c r="B199" s="1" t="s">
        <v>4429</v>
      </c>
      <c r="C199" s="1"/>
    </row>
    <row r="200" spans="1:3" x14ac:dyDescent="0.2">
      <c r="A200" s="5">
        <v>46037.601358564818</v>
      </c>
      <c r="B200" s="1" t="s">
        <v>4429</v>
      </c>
      <c r="C200" s="1"/>
    </row>
    <row r="201" spans="1:3" x14ac:dyDescent="0.2">
      <c r="A201" s="5">
        <v>46037.600022847226</v>
      </c>
      <c r="B201" s="1" t="s">
        <v>4430</v>
      </c>
      <c r="C201" s="1"/>
    </row>
    <row r="202" spans="1:3" x14ac:dyDescent="0.2">
      <c r="A202" s="5">
        <v>46037.599685914349</v>
      </c>
      <c r="B202" s="1" t="s">
        <v>4431</v>
      </c>
      <c r="C202" s="1"/>
    </row>
    <row r="203" spans="1:3" x14ac:dyDescent="0.2">
      <c r="A203" s="5">
        <v>46037.595392280091</v>
      </c>
      <c r="B203" s="1" t="s">
        <v>4432</v>
      </c>
      <c r="C203" s="1"/>
    </row>
    <row r="204" spans="1:3" x14ac:dyDescent="0.2">
      <c r="A204" s="5">
        <v>46037.594986979166</v>
      </c>
      <c r="B204" s="1" t="s">
        <v>4433</v>
      </c>
      <c r="C204" s="1"/>
    </row>
    <row r="205" spans="1:3" x14ac:dyDescent="0.2">
      <c r="A205" s="5">
        <v>46037.594620902775</v>
      </c>
      <c r="B205" s="1" t="s">
        <v>4434</v>
      </c>
      <c r="C205" s="1"/>
    </row>
    <row r="206" spans="1:3" x14ac:dyDescent="0.2">
      <c r="A206" s="5">
        <v>46037.592482905093</v>
      </c>
      <c r="B206" s="1" t="s">
        <v>4435</v>
      </c>
      <c r="C206" s="1"/>
    </row>
    <row r="207" spans="1:3" x14ac:dyDescent="0.2">
      <c r="A207" s="5">
        <v>46037.592045532409</v>
      </c>
      <c r="B207" s="1" t="s">
        <v>4435</v>
      </c>
      <c r="C207" s="1"/>
    </row>
    <row r="208" spans="1:3" x14ac:dyDescent="0.2">
      <c r="A208" s="5">
        <v>46037.590540624995</v>
      </c>
      <c r="B208" s="1" t="s">
        <v>4436</v>
      </c>
      <c r="C208" s="1"/>
    </row>
    <row r="209" spans="1:3" x14ac:dyDescent="0.2">
      <c r="A209" s="5">
        <v>46037.590200347222</v>
      </c>
      <c r="B209" s="1" t="s">
        <v>4437</v>
      </c>
      <c r="C209" s="1"/>
    </row>
    <row r="210" spans="1:3" x14ac:dyDescent="0.2">
      <c r="A210" s="5">
        <v>46037.584421412037</v>
      </c>
      <c r="B210" s="1" t="s">
        <v>4438</v>
      </c>
      <c r="C210" s="1"/>
    </row>
    <row r="211" spans="1:3" x14ac:dyDescent="0.2">
      <c r="A211" s="5">
        <v>46037.584101655091</v>
      </c>
      <c r="B211" s="1" t="s">
        <v>4439</v>
      </c>
      <c r="C211" s="1"/>
    </row>
    <row r="212" spans="1:3" x14ac:dyDescent="0.2">
      <c r="A212" s="5">
        <v>46037.583766932876</v>
      </c>
      <c r="B212" s="1" t="s">
        <v>4440</v>
      </c>
      <c r="C212" s="1"/>
    </row>
    <row r="213" spans="1:3" x14ac:dyDescent="0.2">
      <c r="A213" s="5">
        <v>46037.583433715277</v>
      </c>
      <c r="B213" s="1" t="s">
        <v>4441</v>
      </c>
      <c r="C213" s="1"/>
    </row>
    <row r="214" spans="1:3" x14ac:dyDescent="0.2">
      <c r="A214" s="5">
        <v>46037.583097291666</v>
      </c>
      <c r="B214" s="1" t="s">
        <v>4442</v>
      </c>
      <c r="C214" s="1"/>
    </row>
    <row r="215" spans="1:3" x14ac:dyDescent="0.2">
      <c r="A215" s="5">
        <v>46037.582469270834</v>
      </c>
      <c r="B215" s="1" t="s">
        <v>4443</v>
      </c>
      <c r="C215" s="1"/>
    </row>
    <row r="216" spans="1:3" x14ac:dyDescent="0.2">
      <c r="A216" s="5">
        <v>46037.582126550929</v>
      </c>
      <c r="B216" s="1" t="s">
        <v>4444</v>
      </c>
      <c r="C216" s="1"/>
    </row>
    <row r="217" spans="1:3" x14ac:dyDescent="0.2">
      <c r="A217" s="5">
        <v>46037.462996585644</v>
      </c>
      <c r="B217" s="1" t="s">
        <v>4445</v>
      </c>
      <c r="C217" s="1"/>
    </row>
    <row r="218" spans="1:3" x14ac:dyDescent="0.2">
      <c r="A218" s="5">
        <v>46037.458007986112</v>
      </c>
      <c r="B218" s="1" t="s">
        <v>4446</v>
      </c>
      <c r="C218" s="1"/>
    </row>
    <row r="219" spans="1:3" x14ac:dyDescent="0.2">
      <c r="A219" s="5">
        <v>46037.457654594909</v>
      </c>
      <c r="B219" s="1" t="s">
        <v>4447</v>
      </c>
      <c r="C219" s="1"/>
    </row>
    <row r="220" spans="1:3" x14ac:dyDescent="0.2">
      <c r="A220" s="5">
        <v>46037.457283391203</v>
      </c>
      <c r="B220" s="1" t="s">
        <v>4448</v>
      </c>
      <c r="C220" s="1"/>
    </row>
    <row r="221" spans="1:3" x14ac:dyDescent="0.2">
      <c r="A221" s="5">
        <v>46037.454901944446</v>
      </c>
      <c r="B221" s="1" t="s">
        <v>4449</v>
      </c>
      <c r="C221" s="1"/>
    </row>
    <row r="222" spans="1:3" x14ac:dyDescent="0.2">
      <c r="A222" s="5">
        <v>46037.400684641208</v>
      </c>
      <c r="B222" s="1" t="s">
        <v>4450</v>
      </c>
      <c r="C222" s="1"/>
    </row>
    <row r="223" spans="1:3" x14ac:dyDescent="0.2">
      <c r="A223" s="5">
        <v>46037.400472905094</v>
      </c>
      <c r="B223" s="1" t="s">
        <v>4451</v>
      </c>
      <c r="C223" s="1"/>
    </row>
    <row r="224" spans="1:3" x14ac:dyDescent="0.2">
      <c r="A224" s="5">
        <v>46037.400248622682</v>
      </c>
      <c r="B224" s="1" t="s">
        <v>4452</v>
      </c>
      <c r="C224" s="1"/>
    </row>
    <row r="225" spans="1:3" x14ac:dyDescent="0.2">
      <c r="A225" s="5">
        <v>46037.399975856482</v>
      </c>
      <c r="B225" s="1" t="s">
        <v>4453</v>
      </c>
      <c r="C225" s="1"/>
    </row>
    <row r="226" spans="1:3" x14ac:dyDescent="0.2">
      <c r="A226" s="5">
        <v>46037.398884803246</v>
      </c>
      <c r="B226" s="1" t="s">
        <v>4454</v>
      </c>
      <c r="C226" s="1"/>
    </row>
    <row r="227" spans="1:3" x14ac:dyDescent="0.2">
      <c r="A227" s="5">
        <v>46037.396620277781</v>
      </c>
      <c r="B227" s="1" t="s">
        <v>4455</v>
      </c>
      <c r="C227" s="1"/>
    </row>
    <row r="228" spans="1:3" x14ac:dyDescent="0.2">
      <c r="A228" s="5">
        <v>46037.396310381941</v>
      </c>
      <c r="B228" s="1" t="s">
        <v>4456</v>
      </c>
      <c r="C228" s="1"/>
    </row>
    <row r="229" spans="1:3" x14ac:dyDescent="0.2">
      <c r="A229" s="5">
        <v>46037.396020092594</v>
      </c>
      <c r="B229" s="1" t="s">
        <v>4457</v>
      </c>
      <c r="C229" s="1"/>
    </row>
    <row r="230" spans="1:3" x14ac:dyDescent="0.2">
      <c r="A230" s="5">
        <v>46037.393424560185</v>
      </c>
      <c r="B230" s="1" t="s">
        <v>4458</v>
      </c>
      <c r="C230" s="1"/>
    </row>
    <row r="231" spans="1:3" x14ac:dyDescent="0.2">
      <c r="A231" s="5">
        <v>46037.393114259263</v>
      </c>
      <c r="B231" s="1" t="s">
        <v>4459</v>
      </c>
      <c r="C231" s="1"/>
    </row>
    <row r="232" spans="1:3" x14ac:dyDescent="0.2">
      <c r="A232" s="5">
        <v>46037.392096481482</v>
      </c>
      <c r="B232" s="1" t="s">
        <v>4460</v>
      </c>
      <c r="C232" s="1"/>
    </row>
    <row r="233" spans="1:3" x14ac:dyDescent="0.2">
      <c r="A233" s="5">
        <v>46037.391615601853</v>
      </c>
      <c r="B233" s="1" t="s">
        <v>4461</v>
      </c>
      <c r="C233" s="1"/>
    </row>
    <row r="234" spans="1:3" x14ac:dyDescent="0.2">
      <c r="A234" s="5">
        <v>46037.388022835643</v>
      </c>
      <c r="B234" s="1" t="s">
        <v>4462</v>
      </c>
      <c r="C234" s="1"/>
    </row>
    <row r="235" spans="1:3" x14ac:dyDescent="0.2">
      <c r="A235" s="5">
        <v>46037.387377106483</v>
      </c>
      <c r="B235" s="1" t="s">
        <v>4463</v>
      </c>
      <c r="C235" s="1"/>
    </row>
    <row r="236" spans="1:3" x14ac:dyDescent="0.2">
      <c r="A236" s="5">
        <v>46037.386402789351</v>
      </c>
      <c r="B236" s="1" t="s">
        <v>4464</v>
      </c>
      <c r="C236" s="1"/>
    </row>
    <row r="237" spans="1:3" x14ac:dyDescent="0.2">
      <c r="A237" s="5">
        <v>46037.385749699075</v>
      </c>
      <c r="B237" s="1" t="s">
        <v>4465</v>
      </c>
      <c r="C237" s="1"/>
    </row>
    <row r="238" spans="1:3" x14ac:dyDescent="0.2">
      <c r="A238" s="5">
        <v>46037.385341620371</v>
      </c>
      <c r="B238" s="1" t="s">
        <v>4466</v>
      </c>
      <c r="C238" s="1"/>
    </row>
    <row r="239" spans="1:3" x14ac:dyDescent="0.2">
      <c r="A239" s="5">
        <v>46037.384909062501</v>
      </c>
      <c r="B239" s="1" t="s">
        <v>4467</v>
      </c>
      <c r="C239" s="1"/>
    </row>
    <row r="240" spans="1:3" x14ac:dyDescent="0.2">
      <c r="A240" s="5">
        <v>46037.384625347222</v>
      </c>
      <c r="B240" s="1" t="s">
        <v>4468</v>
      </c>
      <c r="C240" s="1"/>
    </row>
    <row r="241" spans="1:3" x14ac:dyDescent="0.2">
      <c r="A241" s="5">
        <v>46037.384373391207</v>
      </c>
      <c r="B241" s="1" t="s">
        <v>4469</v>
      </c>
      <c r="C241" s="1"/>
    </row>
    <row r="242" spans="1:3" x14ac:dyDescent="0.2">
      <c r="A242" s="5">
        <v>46037.384343310187</v>
      </c>
      <c r="B242" s="1" t="s">
        <v>4470</v>
      </c>
      <c r="C242" s="1"/>
    </row>
    <row r="243" spans="1:3" x14ac:dyDescent="0.2">
      <c r="A243" s="5">
        <v>46037.384060601849</v>
      </c>
      <c r="B243" s="1" t="s">
        <v>4471</v>
      </c>
      <c r="C243" s="1"/>
    </row>
    <row r="244" spans="1:3" x14ac:dyDescent="0.2">
      <c r="A244" s="5">
        <v>46037.383792002314</v>
      </c>
      <c r="B244" s="1" t="s">
        <v>4472</v>
      </c>
      <c r="C244" s="1"/>
    </row>
    <row r="245" spans="1:3" x14ac:dyDescent="0.2">
      <c r="A245" s="5">
        <v>46037.383424467596</v>
      </c>
      <c r="B245" s="1" t="s">
        <v>4473</v>
      </c>
      <c r="C245" s="1"/>
    </row>
    <row r="246" spans="1:3" x14ac:dyDescent="0.2">
      <c r="A246" s="5">
        <v>46037.38338230324</v>
      </c>
      <c r="B246" s="1" t="s">
        <v>4474</v>
      </c>
      <c r="C246" s="1"/>
    </row>
    <row r="247" spans="1:3" x14ac:dyDescent="0.2">
      <c r="A247" s="5">
        <v>46037.383168206019</v>
      </c>
      <c r="B247" s="1" t="s">
        <v>4475</v>
      </c>
      <c r="C247" s="1"/>
    </row>
    <row r="248" spans="1:3" x14ac:dyDescent="0.2">
      <c r="A248" s="5">
        <v>46037.382921099532</v>
      </c>
      <c r="B248" s="1" t="s">
        <v>4476</v>
      </c>
      <c r="C248" s="1"/>
    </row>
    <row r="249" spans="1:3" x14ac:dyDescent="0.2">
      <c r="A249" s="5">
        <v>46037.382021967591</v>
      </c>
      <c r="B249" s="1" t="s">
        <v>4477</v>
      </c>
      <c r="C249" s="1"/>
    </row>
    <row r="250" spans="1:3" x14ac:dyDescent="0.2">
      <c r="A250" s="5">
        <v>46037.381588495366</v>
      </c>
      <c r="B250" s="1" t="s">
        <v>4478</v>
      </c>
      <c r="C250" s="1"/>
    </row>
    <row r="251" spans="1:3" x14ac:dyDescent="0.2">
      <c r="A251" s="5">
        <v>46037.380094699074</v>
      </c>
      <c r="B251" s="1" t="s">
        <v>4479</v>
      </c>
      <c r="C251" s="1"/>
    </row>
    <row r="252" spans="1:3" x14ac:dyDescent="0.2">
      <c r="A252" s="5">
        <v>46037.378059305556</v>
      </c>
      <c r="B252" s="1" t="s">
        <v>4480</v>
      </c>
      <c r="C252" s="1"/>
    </row>
    <row r="253" spans="1:3" x14ac:dyDescent="0.2">
      <c r="A253" s="5">
        <v>46037.377595636572</v>
      </c>
      <c r="B253" s="1" t="s">
        <v>4481</v>
      </c>
      <c r="C253" s="1"/>
    </row>
    <row r="254" spans="1:3" x14ac:dyDescent="0.2">
      <c r="A254" s="5">
        <v>46037.377468553241</v>
      </c>
      <c r="B254" s="1" t="s">
        <v>4482</v>
      </c>
      <c r="C254" s="1"/>
    </row>
    <row r="255" spans="1:3" x14ac:dyDescent="0.2">
      <c r="A255" s="5">
        <v>46037.374664016199</v>
      </c>
      <c r="B255" s="1" t="s">
        <v>4483</v>
      </c>
      <c r="C255" s="1"/>
    </row>
    <row r="256" spans="1:3" x14ac:dyDescent="0.2">
      <c r="A256" s="5">
        <v>46037.374317997688</v>
      </c>
      <c r="B256" s="1" t="s">
        <v>4484</v>
      </c>
      <c r="C256" s="1"/>
    </row>
    <row r="257" spans="1:3" x14ac:dyDescent="0.2">
      <c r="A257" s="5">
        <v>46037.373525370371</v>
      </c>
      <c r="B257" s="1" t="s">
        <v>4485</v>
      </c>
      <c r="C257" s="1"/>
    </row>
    <row r="258" spans="1:3" x14ac:dyDescent="0.2">
      <c r="A258" s="5">
        <v>46037.373225023148</v>
      </c>
      <c r="B258" s="1" t="s">
        <v>4486</v>
      </c>
      <c r="C258" s="1"/>
    </row>
    <row r="259" spans="1:3" x14ac:dyDescent="0.2">
      <c r="A259" s="5">
        <v>46037.372803993057</v>
      </c>
      <c r="B259" s="1" t="s">
        <v>4487</v>
      </c>
      <c r="C259" s="1"/>
    </row>
    <row r="260" spans="1:3" x14ac:dyDescent="0.2">
      <c r="A260" s="5">
        <v>46037.369377685187</v>
      </c>
      <c r="B260" s="1" t="s">
        <v>4488</v>
      </c>
      <c r="C260" s="1"/>
    </row>
    <row r="261" spans="1:3" x14ac:dyDescent="0.2">
      <c r="A261" s="5">
        <v>46037.367410196763</v>
      </c>
      <c r="B261" s="1" t="s">
        <v>4489</v>
      </c>
      <c r="C261" s="1"/>
    </row>
    <row r="262" spans="1:3" x14ac:dyDescent="0.2">
      <c r="A262" s="5">
        <v>46037.36658105324</v>
      </c>
      <c r="B262" s="1" t="s">
        <v>4490</v>
      </c>
      <c r="C262" s="1"/>
    </row>
    <row r="263" spans="1:3" x14ac:dyDescent="0.2">
      <c r="A263" s="5">
        <v>46037.366238414354</v>
      </c>
      <c r="B263" s="1" t="s">
        <v>4491</v>
      </c>
      <c r="C263" s="1"/>
    </row>
    <row r="264" spans="1:3" x14ac:dyDescent="0.2">
      <c r="A264" s="5">
        <v>46037.365997326386</v>
      </c>
      <c r="B264" s="1" t="s">
        <v>4492</v>
      </c>
      <c r="C264" s="1"/>
    </row>
    <row r="265" spans="1:3" x14ac:dyDescent="0.2">
      <c r="A265" s="5">
        <v>46037.36574956018</v>
      </c>
      <c r="B265" s="1" t="s">
        <v>4493</v>
      </c>
      <c r="C265" s="1"/>
    </row>
    <row r="266" spans="1:3" x14ac:dyDescent="0.2">
      <c r="A266" s="5">
        <v>46037.36463851852</v>
      </c>
      <c r="B266" s="1" t="s">
        <v>4494</v>
      </c>
      <c r="C266" s="1"/>
    </row>
    <row r="267" spans="1:3" x14ac:dyDescent="0.2">
      <c r="A267" s="5">
        <v>46037.364393622687</v>
      </c>
      <c r="B267" s="1" t="s">
        <v>4495</v>
      </c>
      <c r="C267" s="1"/>
    </row>
    <row r="268" spans="1:3" x14ac:dyDescent="0.2">
      <c r="A268" s="5">
        <v>46037.36414907407</v>
      </c>
      <c r="B268" s="1" t="s">
        <v>4496</v>
      </c>
      <c r="C268" s="1"/>
    </row>
    <row r="269" spans="1:3" x14ac:dyDescent="0.2">
      <c r="A269" s="5">
        <v>46037.363929918982</v>
      </c>
      <c r="B269" s="1" t="s">
        <v>4497</v>
      </c>
      <c r="C269" s="1"/>
    </row>
    <row r="270" spans="1:3" x14ac:dyDescent="0.2">
      <c r="A270" s="5">
        <v>46037.34495741898</v>
      </c>
      <c r="B270" s="1" t="s">
        <v>4498</v>
      </c>
      <c r="C270" s="1"/>
    </row>
    <row r="271" spans="1:3" x14ac:dyDescent="0.2">
      <c r="A271" s="5">
        <v>46037.344214340279</v>
      </c>
      <c r="B271" s="1" t="s">
        <v>4499</v>
      </c>
      <c r="C271" s="1"/>
    </row>
    <row r="272" spans="1:3" x14ac:dyDescent="0.2">
      <c r="A272" s="5">
        <v>46037.343854456019</v>
      </c>
      <c r="B272" s="1" t="s">
        <v>4500</v>
      </c>
      <c r="C272" s="1"/>
    </row>
    <row r="273" spans="1:3" x14ac:dyDescent="0.2">
      <c r="A273" s="5">
        <v>46037.343488981482</v>
      </c>
      <c r="B273" s="1" t="s">
        <v>4501</v>
      </c>
      <c r="C273" s="1"/>
    </row>
    <row r="274" spans="1:3" x14ac:dyDescent="0.2">
      <c r="A274" s="5">
        <v>46037.343101180551</v>
      </c>
      <c r="B274" s="1" t="s">
        <v>4502</v>
      </c>
      <c r="C274" s="1"/>
    </row>
    <row r="275" spans="1:3" x14ac:dyDescent="0.2">
      <c r="A275" s="5">
        <v>46037.342793055555</v>
      </c>
      <c r="B275" s="1" t="s">
        <v>4503</v>
      </c>
      <c r="C275" s="1"/>
    </row>
    <row r="276" spans="1:3" x14ac:dyDescent="0.2">
      <c r="A276" s="5">
        <v>46037.342538645833</v>
      </c>
      <c r="B276" s="1" t="s">
        <v>4504</v>
      </c>
      <c r="C276" s="1"/>
    </row>
    <row r="277" spans="1:3" x14ac:dyDescent="0.2">
      <c r="A277" s="5">
        <v>46037.342228333335</v>
      </c>
      <c r="B277" s="1" t="s">
        <v>4505</v>
      </c>
      <c r="C277" s="1"/>
    </row>
    <row r="278" spans="1:3" x14ac:dyDescent="0.2">
      <c r="A278" s="5">
        <v>46037.34189304398</v>
      </c>
      <c r="B278" s="1" t="s">
        <v>4506</v>
      </c>
      <c r="C278" s="1"/>
    </row>
    <row r="279" spans="1:3" x14ac:dyDescent="0.2">
      <c r="A279" s="5">
        <v>46037.341281909721</v>
      </c>
      <c r="B279" s="1" t="s">
        <v>4507</v>
      </c>
      <c r="C279" s="1"/>
    </row>
    <row r="280" spans="1:3" x14ac:dyDescent="0.2">
      <c r="A280" s="5">
        <v>46037.340856122682</v>
      </c>
      <c r="B280" s="1" t="s">
        <v>4508</v>
      </c>
      <c r="C280" s="1"/>
    </row>
    <row r="281" spans="1:3" x14ac:dyDescent="0.2">
      <c r="A281" s="5">
        <v>46037.340477430553</v>
      </c>
      <c r="B281" s="1" t="s">
        <v>4509</v>
      </c>
      <c r="C281" s="1"/>
    </row>
    <row r="282" spans="1:3" x14ac:dyDescent="0.2">
      <c r="A282" s="5">
        <v>46037.340065335651</v>
      </c>
      <c r="B282" s="1" t="s">
        <v>4510</v>
      </c>
      <c r="C282" s="1"/>
    </row>
    <row r="283" spans="1:3" x14ac:dyDescent="0.2">
      <c r="A283" s="5">
        <v>46037.339722245371</v>
      </c>
      <c r="B283" s="1" t="s">
        <v>4511</v>
      </c>
      <c r="C283" s="1"/>
    </row>
    <row r="284" spans="1:3" x14ac:dyDescent="0.2">
      <c r="A284" s="5">
        <v>46037.339401724537</v>
      </c>
      <c r="B284" s="1" t="s">
        <v>4512</v>
      </c>
      <c r="C284" s="1"/>
    </row>
    <row r="285" spans="1:3" x14ac:dyDescent="0.2">
      <c r="A285" s="5">
        <v>46037.339076782402</v>
      </c>
      <c r="B285" s="1" t="s">
        <v>4513</v>
      </c>
      <c r="C285" s="1"/>
    </row>
    <row r="286" spans="1:3" x14ac:dyDescent="0.2">
      <c r="A286" s="5">
        <v>46037.324734212962</v>
      </c>
      <c r="B286" s="1" t="s">
        <v>4514</v>
      </c>
      <c r="C286" s="1"/>
    </row>
    <row r="287" spans="1:3" x14ac:dyDescent="0.2">
      <c r="A287" s="5">
        <v>46037.324320914355</v>
      </c>
      <c r="B287" s="1" t="s">
        <v>4515</v>
      </c>
      <c r="C287" s="1"/>
    </row>
    <row r="288" spans="1:3" x14ac:dyDescent="0.2">
      <c r="A288" s="5">
        <v>46037.322611377313</v>
      </c>
      <c r="B288" s="1" t="s">
        <v>4516</v>
      </c>
      <c r="C288" s="1"/>
    </row>
    <row r="289" spans="1:3" x14ac:dyDescent="0.2">
      <c r="A289" s="5">
        <v>46037.322217395835</v>
      </c>
      <c r="B289" s="1" t="s">
        <v>4517</v>
      </c>
      <c r="C289" s="1"/>
    </row>
    <row r="290" spans="1:3" x14ac:dyDescent="0.2">
      <c r="A290" s="5">
        <v>46037.321903969903</v>
      </c>
      <c r="B290" s="1" t="s">
        <v>4518</v>
      </c>
      <c r="C290" s="1"/>
    </row>
    <row r="291" spans="1:3" x14ac:dyDescent="0.2">
      <c r="A291" s="5">
        <v>46037.321569085645</v>
      </c>
      <c r="B291" s="1" t="s">
        <v>4519</v>
      </c>
      <c r="C291" s="1"/>
    </row>
    <row r="292" spans="1:3" x14ac:dyDescent="0.2">
      <c r="A292" s="5">
        <v>46037.321249745371</v>
      </c>
      <c r="B292" s="1" t="s">
        <v>4520</v>
      </c>
      <c r="C292" s="1"/>
    </row>
    <row r="293" spans="1:3" x14ac:dyDescent="0.2">
      <c r="A293" s="5">
        <v>46037.320880185187</v>
      </c>
      <c r="B293" s="1" t="s">
        <v>4521</v>
      </c>
      <c r="C293" s="1"/>
    </row>
    <row r="294" spans="1:3" x14ac:dyDescent="0.2">
      <c r="A294" s="5">
        <v>46037.320474062501</v>
      </c>
      <c r="B294" s="1" t="s">
        <v>4522</v>
      </c>
      <c r="C294" s="1"/>
    </row>
    <row r="295" spans="1:3" x14ac:dyDescent="0.2">
      <c r="A295" s="5">
        <v>46037.317822002311</v>
      </c>
      <c r="B295" s="1" t="s">
        <v>4523</v>
      </c>
      <c r="C295" s="1"/>
    </row>
    <row r="296" spans="1:3" x14ac:dyDescent="0.2">
      <c r="A296" s="5">
        <v>46037.31719825232</v>
      </c>
      <c r="B296" s="1" t="s">
        <v>4524</v>
      </c>
      <c r="C296" s="1"/>
    </row>
    <row r="297" spans="1:3" x14ac:dyDescent="0.2">
      <c r="A297" s="5">
        <v>46037.316765069445</v>
      </c>
      <c r="B297" s="1" t="s">
        <v>4525</v>
      </c>
      <c r="C297" s="1"/>
    </row>
    <row r="298" spans="1:3" x14ac:dyDescent="0.2">
      <c r="A298" s="5">
        <v>46036.651814363431</v>
      </c>
      <c r="B298" s="1" t="s">
        <v>4526</v>
      </c>
      <c r="C298" s="1"/>
    </row>
    <row r="299" spans="1:3" x14ac:dyDescent="0.2">
      <c r="A299" s="5">
        <v>46036.651503749999</v>
      </c>
      <c r="B299" s="1" t="s">
        <v>4527</v>
      </c>
      <c r="C299" s="1"/>
    </row>
    <row r="300" spans="1:3" x14ac:dyDescent="0.2">
      <c r="A300" s="5">
        <v>46036.651307719905</v>
      </c>
      <c r="B300" s="1" t="s">
        <v>4528</v>
      </c>
      <c r="C300" s="1"/>
    </row>
    <row r="301" spans="1:3" x14ac:dyDescent="0.2">
      <c r="A301" s="5">
        <v>46036.650903958332</v>
      </c>
      <c r="B301" s="1" t="s">
        <v>4529</v>
      </c>
      <c r="C301" s="1"/>
    </row>
    <row r="302" spans="1:3" x14ac:dyDescent="0.2">
      <c r="A302" s="5">
        <v>46036.650293587962</v>
      </c>
      <c r="B302" s="1" t="s">
        <v>4530</v>
      </c>
      <c r="C302" s="1"/>
    </row>
    <row r="303" spans="1:3" x14ac:dyDescent="0.2">
      <c r="A303" s="5">
        <v>46036.64984993056</v>
      </c>
      <c r="B303" s="1" t="s">
        <v>4531</v>
      </c>
      <c r="C303" s="1"/>
    </row>
    <row r="304" spans="1:3" x14ac:dyDescent="0.2">
      <c r="A304" s="5">
        <v>46036.649463171299</v>
      </c>
      <c r="B304" s="1" t="s">
        <v>4532</v>
      </c>
      <c r="C304" s="1"/>
    </row>
    <row r="305" spans="1:3" x14ac:dyDescent="0.2">
      <c r="A305" s="5">
        <v>46036.63546070602</v>
      </c>
      <c r="B305" s="1" t="s">
        <v>4533</v>
      </c>
      <c r="C305" s="1"/>
    </row>
    <row r="306" spans="1:3" x14ac:dyDescent="0.2">
      <c r="A306" s="5">
        <v>46036.635239340278</v>
      </c>
      <c r="B306" s="1" t="s">
        <v>4534</v>
      </c>
      <c r="C306" s="1"/>
    </row>
    <row r="307" spans="1:3" x14ac:dyDescent="0.2">
      <c r="A307" s="5">
        <v>46036.634958229166</v>
      </c>
      <c r="B307" s="1" t="s">
        <v>4535</v>
      </c>
      <c r="C307" s="1"/>
    </row>
    <row r="308" spans="1:3" x14ac:dyDescent="0.2">
      <c r="A308" s="5">
        <v>46036.634491932869</v>
      </c>
      <c r="B308" s="1" t="s">
        <v>4536</v>
      </c>
      <c r="C308" s="1"/>
    </row>
    <row r="309" spans="1:3" x14ac:dyDescent="0.2">
      <c r="A309" s="5">
        <v>46036.633917187501</v>
      </c>
      <c r="B309" s="1" t="s">
        <v>4537</v>
      </c>
      <c r="C309" s="1"/>
    </row>
    <row r="310" spans="1:3" x14ac:dyDescent="0.2">
      <c r="A310" s="5">
        <v>46036.523586516203</v>
      </c>
      <c r="B310" s="1" t="s">
        <v>4538</v>
      </c>
      <c r="C310" s="1"/>
    </row>
    <row r="311" spans="1:3" x14ac:dyDescent="0.2">
      <c r="A311" s="5">
        <v>46036.453773993053</v>
      </c>
      <c r="B311" s="1" t="s">
        <v>4539</v>
      </c>
      <c r="C311" s="1"/>
    </row>
    <row r="312" spans="1:3" x14ac:dyDescent="0.2">
      <c r="A312" s="5">
        <v>46036.453441064819</v>
      </c>
      <c r="B312" s="1" t="s">
        <v>4540</v>
      </c>
      <c r="C312" s="1"/>
    </row>
    <row r="313" spans="1:3" x14ac:dyDescent="0.2">
      <c r="A313" s="5">
        <v>46036.453125798609</v>
      </c>
      <c r="B313" s="1" t="s">
        <v>4541</v>
      </c>
      <c r="C313" s="1"/>
    </row>
    <row r="314" spans="1:3" x14ac:dyDescent="0.2">
      <c r="A314" s="5">
        <v>46036.348762222224</v>
      </c>
      <c r="B314" s="1" t="s">
        <v>4542</v>
      </c>
      <c r="C314" s="1"/>
    </row>
    <row r="315" spans="1:3" x14ac:dyDescent="0.2">
      <c r="A315" s="5">
        <v>46036.346175879633</v>
      </c>
      <c r="B315" s="1" t="s">
        <v>4543</v>
      </c>
      <c r="C315" s="1"/>
    </row>
    <row r="316" spans="1:3" x14ac:dyDescent="0.2">
      <c r="A316" s="5">
        <v>45995.571675856481</v>
      </c>
      <c r="B316" s="1" t="s">
        <v>4544</v>
      </c>
      <c r="C316" s="1"/>
    </row>
    <row r="317" spans="1:3" x14ac:dyDescent="0.2">
      <c r="A317" s="5">
        <v>45995.570526990741</v>
      </c>
      <c r="B317" s="1" t="s">
        <v>4545</v>
      </c>
      <c r="C317" s="1"/>
    </row>
    <row r="318" spans="1:3" x14ac:dyDescent="0.2">
      <c r="A318" s="5">
        <v>45995.570084351857</v>
      </c>
      <c r="B318" s="1" t="s">
        <v>4546</v>
      </c>
      <c r="C318" s="1"/>
    </row>
    <row r="319" spans="1:3" x14ac:dyDescent="0.2">
      <c r="A319" s="5">
        <v>45992.545438368055</v>
      </c>
      <c r="B319" s="1" t="s">
        <v>4547</v>
      </c>
      <c r="C319" s="1"/>
    </row>
    <row r="320" spans="1:3" x14ac:dyDescent="0.2">
      <c r="A320" s="5">
        <v>45992.412645081014</v>
      </c>
      <c r="B320" s="1" t="s">
        <v>4548</v>
      </c>
      <c r="C320" s="1"/>
    </row>
    <row r="321" spans="1:3" x14ac:dyDescent="0.2">
      <c r="A321" s="5">
        <v>45992.409103425925</v>
      </c>
      <c r="B321" s="1" t="s">
        <v>4549</v>
      </c>
      <c r="C321" s="1"/>
    </row>
    <row r="322" spans="1:3" x14ac:dyDescent="0.2">
      <c r="A322" s="5">
        <v>45992.40817263889</v>
      </c>
      <c r="B322" s="1" t="s">
        <v>4550</v>
      </c>
      <c r="C322" s="1"/>
    </row>
    <row r="323" spans="1:3" x14ac:dyDescent="0.2">
      <c r="A323" s="5">
        <v>45964.392143078701</v>
      </c>
      <c r="B323" s="1" t="s">
        <v>4551</v>
      </c>
      <c r="C323" s="1"/>
    </row>
    <row r="324" spans="1:3" x14ac:dyDescent="0.2">
      <c r="A324" s="5">
        <v>45964.391785416665</v>
      </c>
      <c r="B324" s="1" t="s">
        <v>4552</v>
      </c>
      <c r="C324" s="1"/>
    </row>
    <row r="325" spans="1:3" x14ac:dyDescent="0.2">
      <c r="A325" s="5">
        <v>45954.360712083333</v>
      </c>
      <c r="B325" s="1" t="s">
        <v>4553</v>
      </c>
      <c r="C325" s="1"/>
    </row>
    <row r="326" spans="1:3" x14ac:dyDescent="0.2">
      <c r="A326" s="5">
        <v>45954.360498842594</v>
      </c>
      <c r="B326" s="1" t="s">
        <v>4554</v>
      </c>
      <c r="C326" s="1"/>
    </row>
    <row r="327" spans="1:3" x14ac:dyDescent="0.2">
      <c r="A327" s="5">
        <v>45946.389026817131</v>
      </c>
      <c r="B327" s="1" t="s">
        <v>4555</v>
      </c>
      <c r="C327" s="1"/>
    </row>
    <row r="328" spans="1:3" x14ac:dyDescent="0.2">
      <c r="A328" s="5">
        <v>45945.658719490741</v>
      </c>
      <c r="B328" s="1" t="s">
        <v>4556</v>
      </c>
      <c r="C328" s="1"/>
    </row>
    <row r="329" spans="1:3" x14ac:dyDescent="0.2">
      <c r="A329" s="5">
        <v>45945.364642418979</v>
      </c>
      <c r="B329" s="1" t="s">
        <v>4557</v>
      </c>
      <c r="C329" s="1"/>
    </row>
    <row r="330" spans="1:3" x14ac:dyDescent="0.2">
      <c r="A330" s="5">
        <v>45944.462081620368</v>
      </c>
      <c r="B330" s="1" t="s">
        <v>4558</v>
      </c>
      <c r="C330" s="1"/>
    </row>
    <row r="331" spans="1:3" x14ac:dyDescent="0.2">
      <c r="A331" s="5">
        <v>45944.461663518523</v>
      </c>
      <c r="B331" s="1" t="s">
        <v>4559</v>
      </c>
      <c r="C331" s="1"/>
    </row>
    <row r="332" spans="1:3" x14ac:dyDescent="0.2">
      <c r="A332" s="5">
        <v>45944.461311574079</v>
      </c>
      <c r="B332" s="1" t="s">
        <v>4560</v>
      </c>
      <c r="C332" s="1"/>
    </row>
    <row r="333" spans="1:3" x14ac:dyDescent="0.2">
      <c r="A333" s="5">
        <v>45944.414026053244</v>
      </c>
      <c r="B333" s="1" t="s">
        <v>4561</v>
      </c>
      <c r="C333" s="1"/>
    </row>
    <row r="334" spans="1:3" x14ac:dyDescent="0.2">
      <c r="A334" s="5">
        <v>45943.373009583331</v>
      </c>
      <c r="B334" s="1" t="s">
        <v>4562</v>
      </c>
      <c r="C334" s="1"/>
    </row>
    <row r="335" spans="1:3" x14ac:dyDescent="0.2">
      <c r="A335" s="5">
        <v>45939.645123761569</v>
      </c>
      <c r="B335" s="1" t="s">
        <v>4563</v>
      </c>
      <c r="C335" s="1"/>
    </row>
    <row r="336" spans="1:3" x14ac:dyDescent="0.2">
      <c r="A336" s="5">
        <v>45939.643442430555</v>
      </c>
      <c r="B336" s="1" t="s">
        <v>4564</v>
      </c>
      <c r="C336" s="1"/>
    </row>
    <row r="337" spans="1:3" x14ac:dyDescent="0.2">
      <c r="A337" s="5">
        <v>45939.638147314814</v>
      </c>
      <c r="B337" s="1" t="s">
        <v>4565</v>
      </c>
      <c r="C337" s="1"/>
    </row>
    <row r="338" spans="1:3" x14ac:dyDescent="0.2">
      <c r="A338" s="5">
        <v>45939.636404375</v>
      </c>
      <c r="B338" s="1" t="s">
        <v>4566</v>
      </c>
      <c r="C338" s="1"/>
    </row>
    <row r="339" spans="1:3" x14ac:dyDescent="0.2">
      <c r="A339" s="5">
        <v>45937.45639821759</v>
      </c>
      <c r="B339" s="1" t="s">
        <v>4567</v>
      </c>
      <c r="C339" s="1"/>
    </row>
    <row r="340" spans="1:3" x14ac:dyDescent="0.2">
      <c r="A340" s="5">
        <v>45936.698036423608</v>
      </c>
      <c r="B340" s="1" t="s">
        <v>4568</v>
      </c>
      <c r="C340" s="1"/>
    </row>
    <row r="341" spans="1:3" x14ac:dyDescent="0.2">
      <c r="A341" s="5">
        <v>45932.29406133102</v>
      </c>
      <c r="B341" s="1" t="s">
        <v>4569</v>
      </c>
      <c r="C341" s="1"/>
    </row>
    <row r="342" spans="1:3" x14ac:dyDescent="0.2">
      <c r="A342" s="5">
        <v>45912.649310300927</v>
      </c>
      <c r="B342" s="1" t="s">
        <v>4570</v>
      </c>
      <c r="C342" s="1"/>
    </row>
    <row r="343" spans="1:3" x14ac:dyDescent="0.2">
      <c r="A343" s="5">
        <v>45912.415697592594</v>
      </c>
      <c r="B343" s="1" t="s">
        <v>4571</v>
      </c>
      <c r="C343" s="1"/>
    </row>
    <row r="344" spans="1:3" x14ac:dyDescent="0.2">
      <c r="A344" s="5">
        <v>45912.41456853009</v>
      </c>
      <c r="B344" s="1" t="s">
        <v>4572</v>
      </c>
      <c r="C344" s="1"/>
    </row>
    <row r="345" spans="1:3" x14ac:dyDescent="0.2">
      <c r="A345" s="5">
        <v>45910.446633912041</v>
      </c>
      <c r="B345" s="1" t="s">
        <v>4573</v>
      </c>
      <c r="C345" s="1"/>
    </row>
    <row r="346" spans="1:3" x14ac:dyDescent="0.2">
      <c r="A346" s="5">
        <v>45909.624165081019</v>
      </c>
      <c r="B346" s="1" t="s">
        <v>4574</v>
      </c>
      <c r="C346" s="1"/>
    </row>
    <row r="347" spans="1:3" x14ac:dyDescent="0.2">
      <c r="A347" s="5">
        <v>45909.593024398149</v>
      </c>
      <c r="B347" s="1" t="s">
        <v>4575</v>
      </c>
      <c r="C347" s="1"/>
    </row>
    <row r="348" spans="1:3" x14ac:dyDescent="0.2">
      <c r="A348" s="5">
        <v>45909.59278900463</v>
      </c>
      <c r="B348" s="1" t="s">
        <v>4576</v>
      </c>
      <c r="C348" s="1"/>
    </row>
    <row r="349" spans="1:3" x14ac:dyDescent="0.2">
      <c r="A349" s="5">
        <v>45909.592550300928</v>
      </c>
      <c r="B349" s="1" t="s">
        <v>4577</v>
      </c>
      <c r="C349" s="1"/>
    </row>
    <row r="350" spans="1:3" x14ac:dyDescent="0.2">
      <c r="A350" s="5">
        <v>45909.591137546297</v>
      </c>
      <c r="B350" s="1" t="s">
        <v>4578</v>
      </c>
      <c r="C350" s="1"/>
    </row>
    <row r="351" spans="1:3" x14ac:dyDescent="0.2">
      <c r="A351" s="5">
        <v>45909.590928182872</v>
      </c>
      <c r="B351" s="1" t="s">
        <v>4579</v>
      </c>
      <c r="C351" s="1"/>
    </row>
    <row r="352" spans="1:3" x14ac:dyDescent="0.2">
      <c r="A352" s="5">
        <v>45909.590706145835</v>
      </c>
      <c r="B352" s="1" t="s">
        <v>4580</v>
      </c>
      <c r="C352" s="1"/>
    </row>
    <row r="353" spans="1:3" x14ac:dyDescent="0.2">
      <c r="A353" s="5">
        <v>45909.590677858796</v>
      </c>
      <c r="B353" s="1" t="s">
        <v>4581</v>
      </c>
      <c r="C353" s="1"/>
    </row>
    <row r="354" spans="1:3" x14ac:dyDescent="0.2">
      <c r="A354" s="5">
        <v>45909.590361145834</v>
      </c>
      <c r="B354" s="1" t="s">
        <v>4582</v>
      </c>
      <c r="C354" s="1"/>
    </row>
    <row r="355" spans="1:3" x14ac:dyDescent="0.2">
      <c r="A355" s="5">
        <v>45909.590311504631</v>
      </c>
      <c r="B355" s="1" t="s">
        <v>4583</v>
      </c>
      <c r="C355" s="1"/>
    </row>
    <row r="356" spans="1:3" x14ac:dyDescent="0.2">
      <c r="A356" s="5">
        <v>45909.590116898151</v>
      </c>
      <c r="B356" s="1" t="s">
        <v>4584</v>
      </c>
      <c r="C356" s="1"/>
    </row>
    <row r="357" spans="1:3" x14ac:dyDescent="0.2">
      <c r="A357" s="5">
        <v>45909.569971562501</v>
      </c>
      <c r="B357" s="1" t="s">
        <v>4585</v>
      </c>
      <c r="C357" s="1"/>
    </row>
    <row r="358" spans="1:3" x14ac:dyDescent="0.2">
      <c r="A358" s="5">
        <v>45909.569587013888</v>
      </c>
      <c r="B358" s="1" t="s">
        <v>4586</v>
      </c>
      <c r="C358" s="1"/>
    </row>
    <row r="359" spans="1:3" x14ac:dyDescent="0.2">
      <c r="A359" s="5">
        <v>45909.569145925925</v>
      </c>
      <c r="B359" s="1" t="s">
        <v>4587</v>
      </c>
      <c r="C359" s="1"/>
    </row>
    <row r="360" spans="1:3" x14ac:dyDescent="0.2">
      <c r="A360" s="5">
        <v>45908.398625196758</v>
      </c>
      <c r="B360" s="1" t="s">
        <v>4588</v>
      </c>
      <c r="C360" s="1"/>
    </row>
    <row r="361" spans="1:3" x14ac:dyDescent="0.2">
      <c r="A361" s="5">
        <v>45904.378084074073</v>
      </c>
      <c r="B361" s="1" t="s">
        <v>4589</v>
      </c>
      <c r="C361" s="1"/>
    </row>
    <row r="362" spans="1:3" x14ac:dyDescent="0.2">
      <c r="A362" s="5">
        <v>45902.632635752314</v>
      </c>
      <c r="B362" s="1" t="s">
        <v>4590</v>
      </c>
      <c r="C362" s="1"/>
    </row>
    <row r="363" spans="1:3" x14ac:dyDescent="0.2">
      <c r="A363" s="5">
        <v>45902.405533541663</v>
      </c>
      <c r="B363" s="1" t="s">
        <v>4591</v>
      </c>
      <c r="C363" s="1"/>
    </row>
    <row r="364" spans="1:3" x14ac:dyDescent="0.2">
      <c r="A364" s="5">
        <v>45898.651082997691</v>
      </c>
      <c r="B364" s="1" t="s">
        <v>4592</v>
      </c>
      <c r="C364" s="1"/>
    </row>
    <row r="365" spans="1:3" x14ac:dyDescent="0.2">
      <c r="A365" s="5">
        <v>45898.370586226854</v>
      </c>
      <c r="B365" s="1" t="s">
        <v>4593</v>
      </c>
      <c r="C365" s="1"/>
    </row>
    <row r="366" spans="1:3" x14ac:dyDescent="0.2">
      <c r="A366" s="5">
        <v>45898.370307534722</v>
      </c>
      <c r="B366" s="1" t="s">
        <v>4594</v>
      </c>
      <c r="C366" s="1"/>
    </row>
    <row r="367" spans="1:3" x14ac:dyDescent="0.2">
      <c r="A367" s="5">
        <v>45889.624974351857</v>
      </c>
      <c r="B367" s="1" t="s">
        <v>4595</v>
      </c>
      <c r="C367" s="1"/>
    </row>
    <row r="368" spans="1:3" x14ac:dyDescent="0.2">
      <c r="A368" s="5">
        <v>45881.720104548614</v>
      </c>
      <c r="B368" s="1" t="s">
        <v>4596</v>
      </c>
      <c r="C368" s="1"/>
    </row>
    <row r="369" spans="1:3" x14ac:dyDescent="0.2">
      <c r="A369" s="5">
        <v>45876.357624363431</v>
      </c>
      <c r="B369" s="1" t="s">
        <v>4597</v>
      </c>
      <c r="C369" s="1"/>
    </row>
    <row r="370" spans="1:3" x14ac:dyDescent="0.2">
      <c r="A370" s="5">
        <v>45869.299257349536</v>
      </c>
      <c r="B370" s="1" t="s">
        <v>4598</v>
      </c>
      <c r="C370" s="1"/>
    </row>
    <row r="371" spans="1:3" x14ac:dyDescent="0.2">
      <c r="A371" s="5">
        <v>45867.366464305553</v>
      </c>
      <c r="B371" s="1" t="s">
        <v>4599</v>
      </c>
      <c r="C371" s="1"/>
    </row>
    <row r="372" spans="1:3" x14ac:dyDescent="0.2">
      <c r="A372" s="5">
        <v>45864.731087754626</v>
      </c>
      <c r="B372" s="1" t="s">
        <v>4600</v>
      </c>
      <c r="C372" s="1"/>
    </row>
    <row r="373" spans="1:3" x14ac:dyDescent="0.2">
      <c r="A373" s="5">
        <v>45854.661638252313</v>
      </c>
      <c r="B373" s="1" t="s">
        <v>4601</v>
      </c>
      <c r="C373" s="1"/>
    </row>
    <row r="374" spans="1:3" x14ac:dyDescent="0.2">
      <c r="A374" s="5">
        <v>45854.467317407412</v>
      </c>
      <c r="B374" s="1" t="s">
        <v>4602</v>
      </c>
      <c r="C374" s="1"/>
    </row>
    <row r="375" spans="1:3" x14ac:dyDescent="0.2">
      <c r="A375" s="5">
        <v>45853.206296388889</v>
      </c>
      <c r="B375" s="1" t="s">
        <v>4603</v>
      </c>
      <c r="C375" s="1"/>
    </row>
    <row r="376" spans="1:3" x14ac:dyDescent="0.2">
      <c r="A376" s="5">
        <v>45853.204628032407</v>
      </c>
      <c r="B376" s="1" t="s">
        <v>4604</v>
      </c>
      <c r="C376" s="1"/>
    </row>
    <row r="377" spans="1:3" x14ac:dyDescent="0.2">
      <c r="A377" s="5">
        <v>45850.417110046299</v>
      </c>
      <c r="B377" s="1" t="s">
        <v>4605</v>
      </c>
      <c r="C377" s="1"/>
    </row>
    <row r="378" spans="1:3" x14ac:dyDescent="0.2">
      <c r="A378" s="5">
        <v>45849.305830625002</v>
      </c>
      <c r="B378" s="1" t="s">
        <v>4606</v>
      </c>
      <c r="C378" s="1"/>
    </row>
    <row r="379" spans="1:3" x14ac:dyDescent="0.2">
      <c r="A379" s="5">
        <v>45848.631347256945</v>
      </c>
      <c r="B379" s="1" t="s">
        <v>4607</v>
      </c>
      <c r="C379" s="1"/>
    </row>
    <row r="380" spans="1:3" x14ac:dyDescent="0.2">
      <c r="A380" s="5">
        <v>45848.543308032407</v>
      </c>
      <c r="B380" s="1" t="s">
        <v>4608</v>
      </c>
      <c r="C380" s="1"/>
    </row>
    <row r="381" spans="1:3" x14ac:dyDescent="0.2">
      <c r="A381" s="5">
        <v>45847.570367314816</v>
      </c>
      <c r="B381" s="1" t="s">
        <v>4609</v>
      </c>
      <c r="C381" s="1"/>
    </row>
    <row r="382" spans="1:3" x14ac:dyDescent="0.2">
      <c r="A382" s="5">
        <v>45839.399913182875</v>
      </c>
      <c r="B382" s="1" t="s">
        <v>4610</v>
      </c>
      <c r="C382" s="1"/>
    </row>
    <row r="383" spans="1:3" x14ac:dyDescent="0.2">
      <c r="A383" s="5">
        <v>45839.398848668978</v>
      </c>
      <c r="B383" s="1" t="s">
        <v>4611</v>
      </c>
      <c r="C383" s="1"/>
    </row>
    <row r="384" spans="1:3" x14ac:dyDescent="0.2">
      <c r="A384" s="5">
        <v>45839.398109479167</v>
      </c>
      <c r="B384" s="1" t="s">
        <v>4612</v>
      </c>
      <c r="C384" s="1"/>
    </row>
    <row r="385" spans="1:3" x14ac:dyDescent="0.2">
      <c r="A385" s="5">
        <v>45839.397564884261</v>
      </c>
      <c r="B385" s="1" t="s">
        <v>4613</v>
      </c>
      <c r="C385" s="1"/>
    </row>
    <row r="386" spans="1:3" x14ac:dyDescent="0.2">
      <c r="A386" s="5">
        <v>45838.7049490625</v>
      </c>
      <c r="B386" s="1" t="s">
        <v>4614</v>
      </c>
      <c r="C386" s="1"/>
    </row>
    <row r="387" spans="1:3" x14ac:dyDescent="0.2">
      <c r="A387" s="5">
        <v>45837.786737534727</v>
      </c>
      <c r="B387" s="1" t="s">
        <v>4615</v>
      </c>
      <c r="C387" s="1"/>
    </row>
    <row r="388" spans="1:3" x14ac:dyDescent="0.2">
      <c r="A388" s="5">
        <v>45837.78613581018</v>
      </c>
      <c r="B388" s="1" t="s">
        <v>4616</v>
      </c>
      <c r="C388" s="1"/>
    </row>
    <row r="389" spans="1:3" x14ac:dyDescent="0.2">
      <c r="A389" s="5">
        <v>45837.78267310185</v>
      </c>
      <c r="B389" s="1" t="s">
        <v>4617</v>
      </c>
      <c r="C389" s="1"/>
    </row>
    <row r="390" spans="1:3" x14ac:dyDescent="0.2">
      <c r="A390" s="5">
        <v>45834.344621550925</v>
      </c>
      <c r="B390" s="1" t="s">
        <v>4618</v>
      </c>
      <c r="C390" s="1"/>
    </row>
    <row r="391" spans="1:3" x14ac:dyDescent="0.2">
      <c r="A391" s="5">
        <v>45833.349867986108</v>
      </c>
      <c r="B391" s="1" t="s">
        <v>4619</v>
      </c>
      <c r="C391" s="1"/>
    </row>
    <row r="392" spans="1:3" x14ac:dyDescent="0.2">
      <c r="A392" s="5">
        <v>45832.648810439816</v>
      </c>
      <c r="B392" s="1" t="s">
        <v>4620</v>
      </c>
      <c r="C392" s="1"/>
    </row>
    <row r="393" spans="1:3" x14ac:dyDescent="0.2">
      <c r="A393" s="5">
        <v>45832.596682199073</v>
      </c>
      <c r="B393" s="1" t="s">
        <v>4621</v>
      </c>
      <c r="C393" s="1"/>
    </row>
    <row r="394" spans="1:3" x14ac:dyDescent="0.2">
      <c r="A394" s="5">
        <v>45832.360373206015</v>
      </c>
      <c r="B394" s="1" t="s">
        <v>4622</v>
      </c>
      <c r="C394" s="1"/>
    </row>
    <row r="395" spans="1:3" x14ac:dyDescent="0.2">
      <c r="A395" s="5">
        <v>45832.360151863424</v>
      </c>
      <c r="B395" s="1" t="s">
        <v>4623</v>
      </c>
      <c r="C395" s="1"/>
    </row>
    <row r="396" spans="1:3" x14ac:dyDescent="0.2">
      <c r="A396" s="5">
        <v>45832.282531550925</v>
      </c>
      <c r="B396" s="1" t="s">
        <v>4624</v>
      </c>
      <c r="C396" s="1"/>
    </row>
    <row r="397" spans="1:3" x14ac:dyDescent="0.2">
      <c r="A397" s="5">
        <v>45831.692312696759</v>
      </c>
      <c r="B397" s="1" t="s">
        <v>4625</v>
      </c>
      <c r="C397" s="1"/>
    </row>
    <row r="398" spans="1:3" x14ac:dyDescent="0.2">
      <c r="A398" s="5">
        <v>45831.603441724539</v>
      </c>
      <c r="B398" s="1" t="s">
        <v>4626</v>
      </c>
      <c r="C398" s="1"/>
    </row>
    <row r="399" spans="1:3" x14ac:dyDescent="0.2">
      <c r="A399" s="5">
        <v>45831.539030613421</v>
      </c>
      <c r="B399" s="1" t="s">
        <v>4627</v>
      </c>
      <c r="C399" s="1"/>
    </row>
    <row r="400" spans="1:3" x14ac:dyDescent="0.2">
      <c r="A400" s="5">
        <v>45831.363212395838</v>
      </c>
      <c r="B400" s="1" t="s">
        <v>4628</v>
      </c>
      <c r="C400" s="1"/>
    </row>
    <row r="401" spans="1:3" x14ac:dyDescent="0.2">
      <c r="A401" s="5">
        <v>45831.353362291666</v>
      </c>
      <c r="B401" s="1" t="s">
        <v>4629</v>
      </c>
      <c r="C401" s="1"/>
    </row>
    <row r="402" spans="1:3" x14ac:dyDescent="0.2">
      <c r="A402" s="5">
        <v>45831.351441180552</v>
      </c>
      <c r="B402" s="1" t="s">
        <v>4630</v>
      </c>
      <c r="C402" s="1"/>
    </row>
    <row r="403" spans="1:3" x14ac:dyDescent="0.2">
      <c r="A403" s="5">
        <v>45827.514212164351</v>
      </c>
      <c r="B403" s="1" t="s">
        <v>4631</v>
      </c>
      <c r="C403" s="1"/>
    </row>
    <row r="404" spans="1:3" x14ac:dyDescent="0.2">
      <c r="A404" s="5">
        <v>45825.624222743056</v>
      </c>
      <c r="B404" s="1" t="s">
        <v>4632</v>
      </c>
      <c r="C404" s="1"/>
    </row>
    <row r="405" spans="1:3" x14ac:dyDescent="0.2">
      <c r="A405" s="5">
        <v>45824.157158483795</v>
      </c>
      <c r="B405" s="1" t="s">
        <v>4633</v>
      </c>
      <c r="C405" s="1"/>
    </row>
    <row r="406" spans="1:3" x14ac:dyDescent="0.2">
      <c r="A406" s="5">
        <v>45824.15383278935</v>
      </c>
      <c r="B406" s="1" t="s">
        <v>4634</v>
      </c>
      <c r="C406" s="1"/>
    </row>
    <row r="407" spans="1:3" x14ac:dyDescent="0.2">
      <c r="A407" s="5">
        <v>45820.609720416665</v>
      </c>
      <c r="B407" s="1" t="s">
        <v>4635</v>
      </c>
      <c r="C407" s="1"/>
    </row>
    <row r="408" spans="1:3" x14ac:dyDescent="0.2">
      <c r="A408" s="5">
        <v>45819.345988136571</v>
      </c>
      <c r="B408" s="1" t="s">
        <v>4636</v>
      </c>
      <c r="C408" s="1"/>
    </row>
    <row r="409" spans="1:3" x14ac:dyDescent="0.2">
      <c r="A409" s="5">
        <v>45818.468453414353</v>
      </c>
      <c r="B409" s="1" t="s">
        <v>4637</v>
      </c>
      <c r="C409" s="1"/>
    </row>
    <row r="410" spans="1:3" x14ac:dyDescent="0.2">
      <c r="A410" s="5">
        <v>45818.46619042824</v>
      </c>
      <c r="B410" s="1" t="s">
        <v>4638</v>
      </c>
      <c r="C410" s="1"/>
    </row>
    <row r="411" spans="1:3" x14ac:dyDescent="0.2">
      <c r="A411" s="5">
        <v>45818.360669178241</v>
      </c>
      <c r="B411" s="1" t="s">
        <v>4639</v>
      </c>
      <c r="C411" s="1"/>
    </row>
    <row r="412" spans="1:3" x14ac:dyDescent="0.2">
      <c r="A412" s="5">
        <v>45818.356256412037</v>
      </c>
      <c r="B412" s="1" t="s">
        <v>4640</v>
      </c>
      <c r="C412" s="1"/>
    </row>
    <row r="413" spans="1:3" x14ac:dyDescent="0.2">
      <c r="A413" s="5">
        <v>45818.349852025465</v>
      </c>
      <c r="B413" s="1" t="s">
        <v>4641</v>
      </c>
      <c r="C413" s="1"/>
    </row>
    <row r="414" spans="1:3" x14ac:dyDescent="0.2">
      <c r="A414" s="5">
        <v>45813.610631388889</v>
      </c>
      <c r="B414" s="1" t="s">
        <v>4642</v>
      </c>
      <c r="C414" s="1"/>
    </row>
    <row r="415" spans="1:3" x14ac:dyDescent="0.2">
      <c r="A415" s="5">
        <v>45812.62664725694</v>
      </c>
      <c r="B415" s="1" t="s">
        <v>4643</v>
      </c>
      <c r="C415" s="1"/>
    </row>
    <row r="416" spans="1:3" x14ac:dyDescent="0.2">
      <c r="A416" s="5">
        <v>45812.626287650462</v>
      </c>
      <c r="B416" s="1" t="s">
        <v>4644</v>
      </c>
      <c r="C416" s="1"/>
    </row>
    <row r="417" spans="1:3" x14ac:dyDescent="0.2">
      <c r="A417" s="5">
        <v>45811.442658217595</v>
      </c>
      <c r="B417" s="1" t="s">
        <v>4645</v>
      </c>
      <c r="C417" s="1"/>
    </row>
    <row r="418" spans="1:3" x14ac:dyDescent="0.2">
      <c r="A418" s="5">
        <v>45811.442242997684</v>
      </c>
      <c r="B418" s="1" t="s">
        <v>4646</v>
      </c>
      <c r="C418" s="1"/>
    </row>
    <row r="419" spans="1:3" x14ac:dyDescent="0.2">
      <c r="A419" s="5">
        <v>45811.441714849541</v>
      </c>
      <c r="B419" s="1" t="s">
        <v>4647</v>
      </c>
      <c r="C419" s="1"/>
    </row>
    <row r="420" spans="1:3" x14ac:dyDescent="0.2">
      <c r="A420" s="5">
        <v>45811.431678437497</v>
      </c>
      <c r="B420" s="1" t="s">
        <v>4648</v>
      </c>
      <c r="C420" s="1"/>
    </row>
    <row r="421" spans="1:3" x14ac:dyDescent="0.2">
      <c r="A421" s="5">
        <v>45811.42376070602</v>
      </c>
      <c r="B421" s="1" t="s">
        <v>4649</v>
      </c>
      <c r="C421" s="1"/>
    </row>
    <row r="422" spans="1:3" x14ac:dyDescent="0.2">
      <c r="A422" s="5">
        <v>45811.423329340279</v>
      </c>
      <c r="B422" s="1" t="s">
        <v>4650</v>
      </c>
      <c r="C422" s="1"/>
    </row>
    <row r="423" spans="1:3" x14ac:dyDescent="0.2">
      <c r="A423" s="5">
        <v>45811.422973298613</v>
      </c>
      <c r="B423" s="1" t="s">
        <v>4651</v>
      </c>
      <c r="C423" s="1"/>
    </row>
    <row r="424" spans="1:3" x14ac:dyDescent="0.2">
      <c r="A424" s="5">
        <v>45811.422582083338</v>
      </c>
      <c r="B424" s="1" t="s">
        <v>4652</v>
      </c>
      <c r="C424" s="1"/>
    </row>
    <row r="425" spans="1:3" x14ac:dyDescent="0.2">
      <c r="A425" s="5">
        <v>45811.422058715281</v>
      </c>
      <c r="B425" s="1" t="s">
        <v>4653</v>
      </c>
      <c r="C425" s="1"/>
    </row>
    <row r="426" spans="1:3" x14ac:dyDescent="0.2">
      <c r="A426" s="5">
        <v>45811.409117673611</v>
      </c>
      <c r="B426" s="1" t="s">
        <v>4654</v>
      </c>
      <c r="C426" s="1"/>
    </row>
    <row r="427" spans="1:3" x14ac:dyDescent="0.2">
      <c r="A427" s="5">
        <v>45811.399598599535</v>
      </c>
      <c r="B427" s="1" t="s">
        <v>4655</v>
      </c>
      <c r="C427" s="1"/>
    </row>
    <row r="428" spans="1:3" x14ac:dyDescent="0.2">
      <c r="A428" s="5">
        <v>45811.399247326393</v>
      </c>
      <c r="B428" s="1" t="s">
        <v>4656</v>
      </c>
      <c r="C428" s="1"/>
    </row>
    <row r="429" spans="1:3" x14ac:dyDescent="0.2">
      <c r="A429" s="5">
        <v>45811.398761736113</v>
      </c>
      <c r="B429" s="1" t="s">
        <v>4657</v>
      </c>
      <c r="C429" s="1"/>
    </row>
    <row r="430" spans="1:3" x14ac:dyDescent="0.2">
      <c r="A430" s="5">
        <v>45811.397277928241</v>
      </c>
      <c r="B430" s="1" t="s">
        <v>4658</v>
      </c>
      <c r="C430" s="1"/>
    </row>
    <row r="431" spans="1:3" x14ac:dyDescent="0.2">
      <c r="A431" s="5">
        <v>45811.396813657411</v>
      </c>
      <c r="B431" s="1" t="s">
        <v>4658</v>
      </c>
      <c r="C431" s="1"/>
    </row>
    <row r="432" spans="1:3" x14ac:dyDescent="0.2">
      <c r="A432" s="5">
        <v>45811.393777129633</v>
      </c>
      <c r="B432" s="1" t="s">
        <v>4659</v>
      </c>
      <c r="C432" s="1"/>
    </row>
    <row r="433" spans="1:3" x14ac:dyDescent="0.2">
      <c r="A433" s="5">
        <v>45811.3911715625</v>
      </c>
      <c r="B433" s="1" t="s">
        <v>4660</v>
      </c>
      <c r="C433" s="1"/>
    </row>
    <row r="434" spans="1:3" x14ac:dyDescent="0.2">
      <c r="A434" s="5">
        <v>45811.390765289354</v>
      </c>
      <c r="B434" s="1" t="s">
        <v>4661</v>
      </c>
      <c r="C434" s="1"/>
    </row>
    <row r="435" spans="1:3" x14ac:dyDescent="0.2">
      <c r="A435" s="5">
        <v>45811.390053935189</v>
      </c>
      <c r="B435" s="1" t="s">
        <v>4662</v>
      </c>
      <c r="C435" s="1"/>
    </row>
    <row r="436" spans="1:3" x14ac:dyDescent="0.2">
      <c r="A436" s="5">
        <v>45811.38936778935</v>
      </c>
      <c r="B436" s="1" t="s">
        <v>4663</v>
      </c>
      <c r="C436" s="1"/>
    </row>
    <row r="437" spans="1:3" x14ac:dyDescent="0.2">
      <c r="A437" s="5">
        <v>45811.389158148144</v>
      </c>
      <c r="B437" s="1" t="s">
        <v>4664</v>
      </c>
      <c r="C437" s="1"/>
    </row>
    <row r="438" spans="1:3" x14ac:dyDescent="0.2">
      <c r="A438" s="5">
        <v>45811.388969027779</v>
      </c>
      <c r="B438" s="1" t="s">
        <v>4665</v>
      </c>
      <c r="C438" s="1"/>
    </row>
    <row r="439" spans="1:3" x14ac:dyDescent="0.2">
      <c r="A439" s="5">
        <v>45811.388900324077</v>
      </c>
      <c r="B439" s="1" t="s">
        <v>4666</v>
      </c>
      <c r="C439" s="1"/>
    </row>
    <row r="440" spans="1:3" x14ac:dyDescent="0.2">
      <c r="A440" s="5">
        <v>45811.388651747686</v>
      </c>
      <c r="B440" s="1" t="s">
        <v>4667</v>
      </c>
      <c r="C440" s="1"/>
    </row>
    <row r="441" spans="1:3" x14ac:dyDescent="0.2">
      <c r="A441" s="5">
        <v>45811.388402141209</v>
      </c>
      <c r="B441" s="1" t="s">
        <v>4668</v>
      </c>
      <c r="C441" s="1"/>
    </row>
    <row r="442" spans="1:3" x14ac:dyDescent="0.2">
      <c r="A442" s="5">
        <v>45811.388061759259</v>
      </c>
      <c r="B442" s="1" t="s">
        <v>4669</v>
      </c>
      <c r="C442" s="1"/>
    </row>
    <row r="443" spans="1:3" x14ac:dyDescent="0.2">
      <c r="A443" s="5">
        <v>45810.611684594907</v>
      </c>
      <c r="B443" s="1" t="s">
        <v>4670</v>
      </c>
      <c r="C443" s="1"/>
    </row>
    <row r="444" spans="1:3" x14ac:dyDescent="0.2">
      <c r="A444" s="5">
        <v>45810.611212129632</v>
      </c>
      <c r="B444" s="1" t="s">
        <v>4671</v>
      </c>
      <c r="C444" s="1"/>
    </row>
    <row r="445" spans="1:3" x14ac:dyDescent="0.2">
      <c r="A445" s="5">
        <v>45810.610784861114</v>
      </c>
      <c r="B445" s="1" t="s">
        <v>4672</v>
      </c>
      <c r="C445" s="1"/>
    </row>
    <row r="446" spans="1:3" x14ac:dyDescent="0.2">
      <c r="A446" s="5">
        <v>45810.572805138887</v>
      </c>
      <c r="B446" s="1" t="s">
        <v>4673</v>
      </c>
      <c r="C446" s="1"/>
    </row>
    <row r="447" spans="1:3" x14ac:dyDescent="0.2">
      <c r="A447" s="5">
        <v>45810.572603541666</v>
      </c>
      <c r="B447" s="1" t="s">
        <v>4674</v>
      </c>
      <c r="C447" s="1"/>
    </row>
    <row r="448" spans="1:3" x14ac:dyDescent="0.2">
      <c r="A448" s="5">
        <v>45810.572337534722</v>
      </c>
      <c r="B448" s="1" t="s">
        <v>4675</v>
      </c>
      <c r="C448" s="1"/>
    </row>
    <row r="449" spans="1:3" x14ac:dyDescent="0.2">
      <c r="A449" s="5">
        <v>45810.571876805552</v>
      </c>
      <c r="B449" s="1" t="s">
        <v>4676</v>
      </c>
      <c r="C449" s="1"/>
    </row>
    <row r="450" spans="1:3" x14ac:dyDescent="0.2">
      <c r="A450" s="5">
        <v>45810.568450729166</v>
      </c>
      <c r="B450" s="1" t="s">
        <v>4677</v>
      </c>
      <c r="C450" s="1"/>
    </row>
    <row r="451" spans="1:3" x14ac:dyDescent="0.2">
      <c r="A451" s="5">
        <v>45810.568066446758</v>
      </c>
      <c r="B451" s="1" t="s">
        <v>4678</v>
      </c>
      <c r="C451" s="1"/>
    </row>
    <row r="452" spans="1:3" x14ac:dyDescent="0.2">
      <c r="A452" s="5">
        <v>45810.567659849534</v>
      </c>
      <c r="B452" s="1" t="s">
        <v>4679</v>
      </c>
      <c r="C452" s="1"/>
    </row>
    <row r="453" spans="1:3" x14ac:dyDescent="0.2">
      <c r="A453" s="5">
        <v>45810.567272905093</v>
      </c>
      <c r="B453" s="1" t="s">
        <v>4680</v>
      </c>
      <c r="C453" s="1"/>
    </row>
    <row r="454" spans="1:3" x14ac:dyDescent="0.2">
      <c r="A454" s="5">
        <v>45810.566789571763</v>
      </c>
      <c r="B454" s="1" t="s">
        <v>4681</v>
      </c>
      <c r="C454" s="1"/>
    </row>
    <row r="455" spans="1:3" x14ac:dyDescent="0.2">
      <c r="A455" s="5">
        <v>45810.566445833334</v>
      </c>
      <c r="B455" s="1" t="s">
        <v>4682</v>
      </c>
      <c r="C455" s="1"/>
    </row>
    <row r="456" spans="1:3" x14ac:dyDescent="0.2">
      <c r="A456" s="5">
        <v>45810.566153912034</v>
      </c>
      <c r="B456" s="1" t="s">
        <v>4683</v>
      </c>
      <c r="C456" s="1"/>
    </row>
    <row r="457" spans="1:3" x14ac:dyDescent="0.2">
      <c r="A457" s="5">
        <v>45810.543343275465</v>
      </c>
      <c r="B457" s="1" t="s">
        <v>4684</v>
      </c>
      <c r="C457" s="1"/>
    </row>
    <row r="458" spans="1:3" x14ac:dyDescent="0.2">
      <c r="A458" s="5">
        <v>45810.543038969903</v>
      </c>
      <c r="B458" s="1" t="s">
        <v>4685</v>
      </c>
      <c r="C458" s="1"/>
    </row>
    <row r="459" spans="1:3" x14ac:dyDescent="0.2">
      <c r="A459" s="5">
        <v>45810.542743078702</v>
      </c>
      <c r="B459" s="1" t="s">
        <v>4686</v>
      </c>
      <c r="C459" s="1"/>
    </row>
    <row r="460" spans="1:3" x14ac:dyDescent="0.2">
      <c r="A460" s="5">
        <v>45810.542436631949</v>
      </c>
      <c r="B460" s="1" t="s">
        <v>4687</v>
      </c>
      <c r="C460" s="1"/>
    </row>
    <row r="461" spans="1:3" x14ac:dyDescent="0.2">
      <c r="A461" s="5">
        <v>45810.490876967597</v>
      </c>
      <c r="B461" s="1" t="s">
        <v>4688</v>
      </c>
      <c r="C461" s="1"/>
    </row>
    <row r="462" spans="1:3" x14ac:dyDescent="0.2">
      <c r="A462" s="5">
        <v>45810.490620821758</v>
      </c>
      <c r="B462" s="1" t="s">
        <v>4689</v>
      </c>
      <c r="C462" s="1"/>
    </row>
    <row r="463" spans="1:3" x14ac:dyDescent="0.2">
      <c r="A463" s="5">
        <v>45810.490369363426</v>
      </c>
      <c r="B463" s="1" t="s">
        <v>4690</v>
      </c>
      <c r="C463" s="1"/>
    </row>
    <row r="464" spans="1:3" x14ac:dyDescent="0.2">
      <c r="A464" s="5">
        <v>45810.466191284722</v>
      </c>
      <c r="B464" s="1" t="s">
        <v>4691</v>
      </c>
      <c r="C464" s="1"/>
    </row>
    <row r="465" spans="1:3" x14ac:dyDescent="0.2">
      <c r="A465" s="5">
        <v>45810.42703903935</v>
      </c>
      <c r="B465" s="1" t="s">
        <v>4692</v>
      </c>
      <c r="C465" s="1"/>
    </row>
    <row r="466" spans="1:3" x14ac:dyDescent="0.2">
      <c r="A466" s="5">
        <v>45810.421260925927</v>
      </c>
      <c r="B466" s="1" t="s">
        <v>4693</v>
      </c>
      <c r="C466" s="1"/>
    </row>
    <row r="467" spans="1:3" x14ac:dyDescent="0.2">
      <c r="A467" s="5">
        <v>45810.416212233795</v>
      </c>
      <c r="B467" s="1" t="s">
        <v>4694</v>
      </c>
      <c r="C467" s="1"/>
    </row>
    <row r="468" spans="1:3" x14ac:dyDescent="0.2">
      <c r="A468" s="5">
        <v>45810.409220416666</v>
      </c>
      <c r="B468" s="1" t="s">
        <v>4695</v>
      </c>
      <c r="C468" s="1"/>
    </row>
    <row r="469" spans="1:3" x14ac:dyDescent="0.2">
      <c r="A469" s="5">
        <v>45810.404300682872</v>
      </c>
      <c r="B469" s="1" t="s">
        <v>4696</v>
      </c>
      <c r="C469" s="1"/>
    </row>
    <row r="470" spans="1:3" x14ac:dyDescent="0.2">
      <c r="A470" s="5">
        <v>45810.403998958333</v>
      </c>
      <c r="B470" s="1" t="s">
        <v>4697</v>
      </c>
      <c r="C470" s="1"/>
    </row>
    <row r="471" spans="1:3" x14ac:dyDescent="0.2">
      <c r="A471" s="5">
        <v>45810.403566180554</v>
      </c>
      <c r="B471" s="1" t="s">
        <v>4698</v>
      </c>
      <c r="C471" s="1"/>
    </row>
    <row r="472" spans="1:3" x14ac:dyDescent="0.2">
      <c r="A472" s="5">
        <v>45810.403201215275</v>
      </c>
      <c r="B472" s="1" t="s">
        <v>4699</v>
      </c>
      <c r="C472" s="1"/>
    </row>
    <row r="473" spans="1:3" x14ac:dyDescent="0.2">
      <c r="A473" s="5">
        <v>45810.402119375001</v>
      </c>
      <c r="B473" s="1" t="s">
        <v>4700</v>
      </c>
      <c r="C473" s="1"/>
    </row>
    <row r="474" spans="1:3" x14ac:dyDescent="0.2">
      <c r="A474" s="5">
        <v>45810.400159467594</v>
      </c>
      <c r="B474" s="1" t="s">
        <v>4701</v>
      </c>
      <c r="C474" s="1"/>
    </row>
    <row r="475" spans="1:3" x14ac:dyDescent="0.2">
      <c r="A475" s="5">
        <v>45810.39980673611</v>
      </c>
      <c r="B475" s="1" t="s">
        <v>4702</v>
      </c>
      <c r="C475" s="1"/>
    </row>
    <row r="476" spans="1:3" x14ac:dyDescent="0.2">
      <c r="A476" s="5">
        <v>45810.39970869213</v>
      </c>
      <c r="B476" s="1" t="s">
        <v>4703</v>
      </c>
      <c r="C476" s="1"/>
    </row>
    <row r="477" spans="1:3" x14ac:dyDescent="0.2">
      <c r="A477" s="5">
        <v>45810.397992442129</v>
      </c>
      <c r="B477" s="1" t="s">
        <v>4704</v>
      </c>
      <c r="C477" s="1"/>
    </row>
    <row r="478" spans="1:3" x14ac:dyDescent="0.2">
      <c r="A478" s="5">
        <v>45810.397688518518</v>
      </c>
      <c r="B478" s="1" t="s">
        <v>4705</v>
      </c>
      <c r="C478" s="1"/>
    </row>
    <row r="479" spans="1:3" x14ac:dyDescent="0.2">
      <c r="A479" s="5">
        <v>45810.3974566088</v>
      </c>
      <c r="B479" s="1" t="s">
        <v>4706</v>
      </c>
      <c r="C479" s="1"/>
    </row>
    <row r="480" spans="1:3" x14ac:dyDescent="0.2">
      <c r="A480" s="5">
        <v>45810.396970590278</v>
      </c>
      <c r="B480" s="1" t="s">
        <v>4707</v>
      </c>
      <c r="C480" s="1"/>
    </row>
    <row r="481" spans="1:3" x14ac:dyDescent="0.2">
      <c r="A481" s="5">
        <v>45810.396402905091</v>
      </c>
      <c r="B481" s="1" t="s">
        <v>4708</v>
      </c>
      <c r="C481" s="1"/>
    </row>
    <row r="482" spans="1:3" x14ac:dyDescent="0.2">
      <c r="A482" s="5">
        <v>45810.396100046295</v>
      </c>
      <c r="B482" s="1" t="s">
        <v>4709</v>
      </c>
      <c r="C482" s="1"/>
    </row>
    <row r="483" spans="1:3" x14ac:dyDescent="0.2">
      <c r="A483" s="5">
        <v>45810.395712210651</v>
      </c>
      <c r="B483" s="1" t="s">
        <v>4710</v>
      </c>
      <c r="C483" s="1"/>
    </row>
    <row r="484" spans="1:3" x14ac:dyDescent="0.2">
      <c r="A484" s="5">
        <v>45810.395475648147</v>
      </c>
      <c r="B484" s="1" t="s">
        <v>4711</v>
      </c>
      <c r="C484" s="1"/>
    </row>
    <row r="485" spans="1:3" x14ac:dyDescent="0.2">
      <c r="A485" s="5">
        <v>45810.395383587966</v>
      </c>
      <c r="B485" s="1" t="s">
        <v>4712</v>
      </c>
      <c r="C485" s="1"/>
    </row>
    <row r="486" spans="1:3" x14ac:dyDescent="0.2">
      <c r="A486" s="5">
        <v>45810.395129212964</v>
      </c>
      <c r="B486" s="1" t="s">
        <v>4713</v>
      </c>
      <c r="C486" s="1"/>
    </row>
    <row r="487" spans="1:3" x14ac:dyDescent="0.2">
      <c r="A487" s="5">
        <v>45810.39386251157</v>
      </c>
      <c r="B487" s="1" t="s">
        <v>4714</v>
      </c>
      <c r="C487" s="1"/>
    </row>
    <row r="488" spans="1:3" x14ac:dyDescent="0.2">
      <c r="A488" s="5">
        <v>45810.392717754628</v>
      </c>
      <c r="B488" s="1" t="s">
        <v>4715</v>
      </c>
      <c r="C488" s="1"/>
    </row>
    <row r="489" spans="1:3" x14ac:dyDescent="0.2">
      <c r="A489" s="5">
        <v>45810.392447094906</v>
      </c>
      <c r="B489" s="1" t="s">
        <v>4716</v>
      </c>
      <c r="C489" s="1"/>
    </row>
    <row r="490" spans="1:3" x14ac:dyDescent="0.2">
      <c r="A490" s="5">
        <v>45810.392161145835</v>
      </c>
      <c r="B490" s="1" t="s">
        <v>4717</v>
      </c>
      <c r="C490" s="1"/>
    </row>
    <row r="491" spans="1:3" x14ac:dyDescent="0.2">
      <c r="A491" s="5">
        <v>45806.457342743059</v>
      </c>
      <c r="B491" s="1" t="s">
        <v>4718</v>
      </c>
      <c r="C491" s="1"/>
    </row>
    <row r="492" spans="1:3" x14ac:dyDescent="0.2">
      <c r="A492" s="5">
        <v>45806.457078761574</v>
      </c>
      <c r="B492" s="1" t="s">
        <v>4719</v>
      </c>
      <c r="C492" s="1"/>
    </row>
    <row r="493" spans="1:3" x14ac:dyDescent="0.2">
      <c r="A493" s="5">
        <v>45803.295461180554</v>
      </c>
      <c r="B493" s="1" t="s">
        <v>4720</v>
      </c>
      <c r="C493" s="1"/>
    </row>
    <row r="494" spans="1:3" x14ac:dyDescent="0.2">
      <c r="A494" s="5">
        <v>45803.295086041668</v>
      </c>
      <c r="B494" s="1" t="s">
        <v>4721</v>
      </c>
      <c r="C494" s="1"/>
    </row>
    <row r="495" spans="1:3" x14ac:dyDescent="0.2">
      <c r="A495" s="5">
        <v>45803.294539780094</v>
      </c>
      <c r="B495" s="1" t="s">
        <v>4722</v>
      </c>
      <c r="C495" s="1"/>
    </row>
    <row r="496" spans="1:3" x14ac:dyDescent="0.2">
      <c r="A496" s="5">
        <v>45803.293765324073</v>
      </c>
      <c r="B496" s="1" t="s">
        <v>4723</v>
      </c>
      <c r="C496" s="1"/>
    </row>
    <row r="497" spans="1:3" x14ac:dyDescent="0.2">
      <c r="A497" s="5">
        <v>45799.51712856481</v>
      </c>
      <c r="B497" s="1" t="s">
        <v>4724</v>
      </c>
      <c r="C497" s="1"/>
    </row>
    <row r="498" spans="1:3" x14ac:dyDescent="0.2">
      <c r="A498" s="5">
        <v>45799.486218136575</v>
      </c>
      <c r="B498" s="1" t="s">
        <v>4725</v>
      </c>
      <c r="C498" s="1"/>
    </row>
    <row r="499" spans="1:3" x14ac:dyDescent="0.2">
      <c r="A499" s="5">
        <v>45799.419224826386</v>
      </c>
      <c r="B499" s="1" t="s">
        <v>4726</v>
      </c>
      <c r="C499" s="1"/>
    </row>
    <row r="500" spans="1:3" x14ac:dyDescent="0.2">
      <c r="A500" s="5">
        <v>45799.418787291666</v>
      </c>
      <c r="B500" s="1" t="s">
        <v>4727</v>
      </c>
      <c r="C500" s="1"/>
    </row>
    <row r="501" spans="1:3" x14ac:dyDescent="0.2">
      <c r="A501" s="5">
        <v>45799.418169791665</v>
      </c>
      <c r="B501" s="1" t="s">
        <v>4728</v>
      </c>
      <c r="C501" s="1"/>
    </row>
    <row r="502" spans="1:3" x14ac:dyDescent="0.2">
      <c r="A502" s="5">
        <v>45799.379205578705</v>
      </c>
      <c r="B502" s="1" t="s">
        <v>4729</v>
      </c>
      <c r="C502" s="1"/>
    </row>
    <row r="503" spans="1:3" x14ac:dyDescent="0.2">
      <c r="A503" s="5">
        <v>45796.35901137731</v>
      </c>
      <c r="B503" s="1" t="s">
        <v>4730</v>
      </c>
      <c r="C503" s="1"/>
    </row>
    <row r="504" spans="1:3" x14ac:dyDescent="0.2">
      <c r="A504" s="5">
        <v>45792.79368563657</v>
      </c>
      <c r="B504" s="1" t="s">
        <v>4731</v>
      </c>
      <c r="C504" s="1"/>
    </row>
    <row r="505" spans="1:3" x14ac:dyDescent="0.2">
      <c r="A505" s="5">
        <v>45792.628943171294</v>
      </c>
      <c r="B505" s="1" t="s">
        <v>4732</v>
      </c>
      <c r="C505" s="1"/>
    </row>
    <row r="506" spans="1:3" x14ac:dyDescent="0.2">
      <c r="A506" s="5">
        <v>45792.625969166664</v>
      </c>
      <c r="B506" s="1" t="s">
        <v>4733</v>
      </c>
      <c r="C506" s="1"/>
    </row>
    <row r="507" spans="1:3" x14ac:dyDescent="0.2">
      <c r="A507" s="5">
        <v>45792.604304837965</v>
      </c>
      <c r="B507" s="1" t="s">
        <v>4734</v>
      </c>
      <c r="C507" s="1"/>
    </row>
    <row r="508" spans="1:3" x14ac:dyDescent="0.2">
      <c r="A508" s="5">
        <v>45791.473982812502</v>
      </c>
      <c r="B508" s="1" t="s">
        <v>4735</v>
      </c>
      <c r="C508" s="1"/>
    </row>
    <row r="509" spans="1:3" x14ac:dyDescent="0.2">
      <c r="A509" s="5">
        <v>45791.392993090281</v>
      </c>
      <c r="B509" s="1" t="s">
        <v>4736</v>
      </c>
      <c r="C509" s="1"/>
    </row>
    <row r="510" spans="1:3" x14ac:dyDescent="0.2">
      <c r="A510" s="5">
        <v>45784.487708969908</v>
      </c>
      <c r="B510" s="1" t="s">
        <v>4737</v>
      </c>
      <c r="C510" s="1"/>
    </row>
    <row r="511" spans="1:3" x14ac:dyDescent="0.2">
      <c r="A511" s="5">
        <v>45784.487396666664</v>
      </c>
      <c r="B511" s="1" t="s">
        <v>4738</v>
      </c>
      <c r="C511" s="1"/>
    </row>
    <row r="512" spans="1:3" x14ac:dyDescent="0.2">
      <c r="A512" s="5">
        <v>45784.48388537037</v>
      </c>
      <c r="B512" s="1" t="s">
        <v>4739</v>
      </c>
      <c r="C512" s="1"/>
    </row>
    <row r="513" spans="1:3" x14ac:dyDescent="0.2">
      <c r="A513" s="5">
        <v>45784.4673287037</v>
      </c>
      <c r="B513" s="1" t="s">
        <v>4740</v>
      </c>
      <c r="C513" s="1"/>
    </row>
    <row r="514" spans="1:3" x14ac:dyDescent="0.2">
      <c r="A514" s="5">
        <v>45782.587405474536</v>
      </c>
      <c r="B514" s="1" t="s">
        <v>4741</v>
      </c>
      <c r="C514" s="1"/>
    </row>
    <row r="515" spans="1:3" x14ac:dyDescent="0.2">
      <c r="A515" s="5">
        <v>45782.587060428239</v>
      </c>
      <c r="B515" s="1" t="s">
        <v>4742</v>
      </c>
      <c r="C515" s="1"/>
    </row>
    <row r="516" spans="1:3" x14ac:dyDescent="0.2">
      <c r="A516" s="5">
        <v>45782.586441527776</v>
      </c>
      <c r="B516" s="1" t="s">
        <v>4743</v>
      </c>
      <c r="C516" s="1"/>
    </row>
    <row r="517" spans="1:3" x14ac:dyDescent="0.2">
      <c r="A517" s="5">
        <v>45775.467810277776</v>
      </c>
      <c r="B517" s="1" t="s">
        <v>4744</v>
      </c>
      <c r="C517" s="1"/>
    </row>
    <row r="518" spans="1:3" x14ac:dyDescent="0.2">
      <c r="A518" s="5">
        <v>45775.397066331017</v>
      </c>
      <c r="B518" s="1" t="s">
        <v>4745</v>
      </c>
      <c r="C518" s="1"/>
    </row>
    <row r="519" spans="1:3" x14ac:dyDescent="0.2">
      <c r="A519" s="5">
        <v>45772.690295312495</v>
      </c>
      <c r="B519" s="1" t="s">
        <v>4746</v>
      </c>
      <c r="C519" s="1"/>
    </row>
    <row r="520" spans="1:3" x14ac:dyDescent="0.2">
      <c r="A520" s="5">
        <v>45772.689904826388</v>
      </c>
      <c r="B520" s="1" t="s">
        <v>4747</v>
      </c>
      <c r="C520" s="1"/>
    </row>
    <row r="521" spans="1:3" x14ac:dyDescent="0.2">
      <c r="A521" s="5">
        <v>45772.330159942125</v>
      </c>
      <c r="B521" s="1" t="s">
        <v>4748</v>
      </c>
      <c r="C521" s="1"/>
    </row>
    <row r="522" spans="1:3" x14ac:dyDescent="0.2">
      <c r="A522" s="5">
        <v>45772.329712175924</v>
      </c>
      <c r="B522" s="1" t="s">
        <v>4749</v>
      </c>
      <c r="C522" s="1"/>
    </row>
    <row r="523" spans="1:3" x14ac:dyDescent="0.2">
      <c r="A523" s="5">
        <v>45772.329368298611</v>
      </c>
      <c r="B523" s="1" t="s">
        <v>4750</v>
      </c>
      <c r="C523" s="1"/>
    </row>
    <row r="524" spans="1:3" x14ac:dyDescent="0.2">
      <c r="A524" s="5">
        <v>45771.62407824074</v>
      </c>
      <c r="B524" s="1" t="s">
        <v>4751</v>
      </c>
      <c r="C524" s="1"/>
    </row>
    <row r="525" spans="1:3" x14ac:dyDescent="0.2">
      <c r="A525" s="5">
        <v>45771.623776030094</v>
      </c>
      <c r="B525" s="1" t="s">
        <v>4752</v>
      </c>
      <c r="C525" s="1"/>
    </row>
    <row r="526" spans="1:3" x14ac:dyDescent="0.2">
      <c r="A526" s="5">
        <v>45771.623427245373</v>
      </c>
      <c r="B526" s="1" t="s">
        <v>4753</v>
      </c>
      <c r="C526" s="1"/>
    </row>
    <row r="527" spans="1:3" x14ac:dyDescent="0.2">
      <c r="A527" s="5">
        <v>45770.660933125</v>
      </c>
      <c r="B527" s="1" t="s">
        <v>4754</v>
      </c>
      <c r="C527" s="1"/>
    </row>
    <row r="528" spans="1:3" x14ac:dyDescent="0.2">
      <c r="A528" s="5">
        <v>45770.660577754628</v>
      </c>
      <c r="B528" s="1" t="s">
        <v>4755</v>
      </c>
      <c r="C528" s="1"/>
    </row>
    <row r="529" spans="1:3" x14ac:dyDescent="0.2">
      <c r="A529" s="5">
        <v>45770.41815795139</v>
      </c>
      <c r="B529" s="1" t="s">
        <v>4756</v>
      </c>
      <c r="C529" s="1"/>
    </row>
    <row r="530" spans="1:3" x14ac:dyDescent="0.2">
      <c r="A530" s="5">
        <v>45770.417192083332</v>
      </c>
      <c r="B530" s="1" t="s">
        <v>4757</v>
      </c>
      <c r="C530" s="1"/>
    </row>
    <row r="531" spans="1:3" x14ac:dyDescent="0.2">
      <c r="A531" s="5">
        <v>45769.649765706017</v>
      </c>
      <c r="B531" s="1" t="s">
        <v>4758</v>
      </c>
      <c r="C531" s="1"/>
    </row>
    <row r="532" spans="1:3" x14ac:dyDescent="0.2">
      <c r="A532" s="5">
        <v>45769.649562372681</v>
      </c>
      <c r="B532" s="1" t="s">
        <v>4759</v>
      </c>
      <c r="C532" s="1"/>
    </row>
    <row r="533" spans="1:3" x14ac:dyDescent="0.2">
      <c r="A533" s="5">
        <v>45769.649507835653</v>
      </c>
      <c r="B533" s="1" t="s">
        <v>4760</v>
      </c>
      <c r="C533" s="1"/>
    </row>
    <row r="534" spans="1:3" x14ac:dyDescent="0.2">
      <c r="A534" s="5">
        <v>45769.647184756948</v>
      </c>
      <c r="B534" s="1" t="s">
        <v>4761</v>
      </c>
      <c r="C534" s="1"/>
    </row>
    <row r="535" spans="1:3" x14ac:dyDescent="0.2">
      <c r="A535" s="5">
        <v>45769.646842824077</v>
      </c>
      <c r="B535" s="1" t="s">
        <v>4762</v>
      </c>
      <c r="C535" s="1"/>
    </row>
    <row r="536" spans="1:3" x14ac:dyDescent="0.2">
      <c r="A536" s="5">
        <v>45769.644143229161</v>
      </c>
      <c r="B536" s="1" t="s">
        <v>4763</v>
      </c>
      <c r="C536" s="1"/>
    </row>
    <row r="537" spans="1:3" x14ac:dyDescent="0.2">
      <c r="A537" s="5">
        <v>45769.639963240741</v>
      </c>
      <c r="B537" s="1" t="s">
        <v>4764</v>
      </c>
      <c r="C537" s="1"/>
    </row>
    <row r="538" spans="1:3" x14ac:dyDescent="0.2">
      <c r="A538" s="5">
        <v>45768.438215289352</v>
      </c>
      <c r="B538" s="1" t="s">
        <v>4765</v>
      </c>
      <c r="C538" s="1"/>
    </row>
    <row r="539" spans="1:3" x14ac:dyDescent="0.2">
      <c r="A539" s="5">
        <v>45768.384448344907</v>
      </c>
      <c r="B539" s="1" t="s">
        <v>4766</v>
      </c>
      <c r="C539" s="1"/>
    </row>
    <row r="540" spans="1:3" x14ac:dyDescent="0.2">
      <c r="A540" s="5">
        <v>45768.355469236107</v>
      </c>
      <c r="B540" s="1" t="s">
        <v>4767</v>
      </c>
      <c r="C540" s="1"/>
    </row>
    <row r="541" spans="1:3" x14ac:dyDescent="0.2">
      <c r="A541" s="5">
        <v>45768.353819606476</v>
      </c>
      <c r="B541" s="1" t="s">
        <v>4768</v>
      </c>
      <c r="C541" s="1"/>
    </row>
    <row r="542" spans="1:3" x14ac:dyDescent="0.2">
      <c r="A542" s="5">
        <v>45764.452955960645</v>
      </c>
      <c r="B542" s="1" t="s">
        <v>4769</v>
      </c>
      <c r="C542" s="1"/>
    </row>
    <row r="543" spans="1:3" x14ac:dyDescent="0.2">
      <c r="A543" s="5">
        <v>45764.452621620367</v>
      </c>
      <c r="B543" s="1" t="s">
        <v>4770</v>
      </c>
      <c r="C543" s="1"/>
    </row>
    <row r="544" spans="1:3" x14ac:dyDescent="0.2">
      <c r="A544" s="5">
        <v>45762.390337245371</v>
      </c>
      <c r="B544" s="1" t="s">
        <v>4771</v>
      </c>
      <c r="C544" s="1"/>
    </row>
    <row r="545" spans="1:3" x14ac:dyDescent="0.2">
      <c r="A545" s="5">
        <v>45762.38630150463</v>
      </c>
      <c r="B545" s="1" t="s">
        <v>4772</v>
      </c>
      <c r="C545" s="1"/>
    </row>
    <row r="546" spans="1:3" x14ac:dyDescent="0.2">
      <c r="A546" s="5">
        <v>45762.385887453704</v>
      </c>
      <c r="B546" s="1" t="s">
        <v>4773</v>
      </c>
      <c r="C546" s="1"/>
    </row>
    <row r="547" spans="1:3" x14ac:dyDescent="0.2">
      <c r="A547" s="5">
        <v>45762.372396921295</v>
      </c>
      <c r="B547" s="1" t="s">
        <v>4774</v>
      </c>
      <c r="C547" s="1"/>
    </row>
    <row r="548" spans="1:3" x14ac:dyDescent="0.2">
      <c r="A548" s="5">
        <v>45761.377645266199</v>
      </c>
      <c r="B548" s="1" t="s">
        <v>4775</v>
      </c>
      <c r="C548" s="1"/>
    </row>
    <row r="549" spans="1:3" x14ac:dyDescent="0.2">
      <c r="A549" s="5">
        <v>45758.516929282407</v>
      </c>
      <c r="B549" s="1" t="s">
        <v>4776</v>
      </c>
      <c r="C549" s="1"/>
    </row>
    <row r="550" spans="1:3" x14ac:dyDescent="0.2">
      <c r="A550" s="5">
        <v>45758.515854050929</v>
      </c>
      <c r="B550" s="1" t="s">
        <v>4777</v>
      </c>
      <c r="C550" s="1"/>
    </row>
    <row r="551" spans="1:3" x14ac:dyDescent="0.2">
      <c r="A551" s="5">
        <v>45736.392905775458</v>
      </c>
      <c r="B551" s="1" t="s">
        <v>4778</v>
      </c>
      <c r="C551" s="1"/>
    </row>
    <row r="552" spans="1:3" x14ac:dyDescent="0.2">
      <c r="A552" s="5">
        <v>45735.478644247683</v>
      </c>
      <c r="B552" s="1" t="s">
        <v>4779</v>
      </c>
      <c r="C552" s="1"/>
    </row>
    <row r="553" spans="1:3" x14ac:dyDescent="0.2">
      <c r="A553" s="5">
        <v>45735.382135543987</v>
      </c>
      <c r="B553" s="1" t="s">
        <v>4780</v>
      </c>
      <c r="C553" s="1"/>
    </row>
    <row r="554" spans="1:3" x14ac:dyDescent="0.2">
      <c r="A554" s="5">
        <v>45733.472004502313</v>
      </c>
      <c r="B554" s="1" t="s">
        <v>4781</v>
      </c>
      <c r="C554" s="1"/>
    </row>
    <row r="555" spans="1:3" x14ac:dyDescent="0.2">
      <c r="A555" s="5">
        <v>45733.471090185187</v>
      </c>
      <c r="B555" s="1" t="s">
        <v>4782</v>
      </c>
      <c r="C555" s="1"/>
    </row>
    <row r="556" spans="1:3" x14ac:dyDescent="0.2">
      <c r="A556" s="5">
        <v>45733.451545347227</v>
      </c>
      <c r="B556" s="1" t="s">
        <v>4783</v>
      </c>
      <c r="C556" s="1"/>
    </row>
    <row r="557" spans="1:3" x14ac:dyDescent="0.2">
      <c r="A557" s="5">
        <v>45733.412686284719</v>
      </c>
      <c r="B557" s="1" t="s">
        <v>4784</v>
      </c>
      <c r="C557" s="1"/>
    </row>
    <row r="558" spans="1:3" x14ac:dyDescent="0.2">
      <c r="A558" s="5">
        <v>45733.412132789352</v>
      </c>
      <c r="B558" s="1" t="s">
        <v>4785</v>
      </c>
      <c r="C558" s="1"/>
    </row>
    <row r="559" spans="1:3" x14ac:dyDescent="0.2">
      <c r="A559" s="5">
        <v>45733.411007349539</v>
      </c>
      <c r="B559" s="1" t="s">
        <v>4786</v>
      </c>
      <c r="C559" s="1"/>
    </row>
    <row r="560" spans="1:3" x14ac:dyDescent="0.2">
      <c r="A560" s="5">
        <v>45733.392850092598</v>
      </c>
      <c r="B560" s="1" t="s">
        <v>4787</v>
      </c>
      <c r="C560" s="1" t="s">
        <v>4788</v>
      </c>
    </row>
    <row r="561" spans="1:3" x14ac:dyDescent="0.2">
      <c r="A561" s="5">
        <v>45733.382173206017</v>
      </c>
      <c r="B561" s="1" t="s">
        <v>4789</v>
      </c>
      <c r="C561" s="1"/>
    </row>
    <row r="562" spans="1:3" x14ac:dyDescent="0.2">
      <c r="A562" s="5">
        <v>45733.381851944447</v>
      </c>
      <c r="B562" s="1" t="s">
        <v>4790</v>
      </c>
      <c r="C562" s="1"/>
    </row>
    <row r="563" spans="1:3" x14ac:dyDescent="0.2">
      <c r="A563" s="5">
        <v>45733.37761920139</v>
      </c>
      <c r="B563" s="1" t="s">
        <v>4791</v>
      </c>
      <c r="C563" s="1"/>
    </row>
    <row r="564" spans="1:3" x14ac:dyDescent="0.2">
      <c r="A564" s="5">
        <v>45733.375987951389</v>
      </c>
      <c r="B564" s="1" t="s">
        <v>4792</v>
      </c>
      <c r="C564" s="1"/>
    </row>
    <row r="565" spans="1:3" x14ac:dyDescent="0.2">
      <c r="A565" s="5">
        <v>45733.369489537035</v>
      </c>
      <c r="B565" s="1" t="s">
        <v>4793</v>
      </c>
      <c r="C565" s="1" t="s">
        <v>4794</v>
      </c>
    </row>
    <row r="566" spans="1:3" x14ac:dyDescent="0.2">
      <c r="A566" s="5">
        <v>45733.369475509258</v>
      </c>
      <c r="B566" s="1" t="s">
        <v>4795</v>
      </c>
      <c r="C566" s="1" t="s">
        <v>4796</v>
      </c>
    </row>
    <row r="567" spans="1:3" x14ac:dyDescent="0.2">
      <c r="A567" s="5">
        <v>45731.577133877319</v>
      </c>
      <c r="B567" s="1" t="s">
        <v>4797</v>
      </c>
      <c r="C567" s="1"/>
    </row>
    <row r="568" spans="1:3" x14ac:dyDescent="0.2">
      <c r="A568" s="5">
        <v>45731.573649351849</v>
      </c>
      <c r="B568" s="1" t="s">
        <v>4798</v>
      </c>
      <c r="C568" s="1"/>
    </row>
    <row r="569" spans="1:3" x14ac:dyDescent="0.2">
      <c r="A569" s="5">
        <v>45731.572796087959</v>
      </c>
      <c r="B569" s="1" t="s">
        <v>4799</v>
      </c>
      <c r="C569" s="1"/>
    </row>
    <row r="570" spans="1:3" x14ac:dyDescent="0.2">
      <c r="A570" s="5">
        <v>45730.47916920139</v>
      </c>
      <c r="B570" s="1" t="s">
        <v>4800</v>
      </c>
      <c r="C570" s="1"/>
    </row>
    <row r="571" spans="1:3" x14ac:dyDescent="0.2">
      <c r="A571" s="5">
        <v>45730.471309259257</v>
      </c>
      <c r="B571" s="1" t="s">
        <v>4801</v>
      </c>
      <c r="C571" s="1"/>
    </row>
    <row r="572" spans="1:3" x14ac:dyDescent="0.2">
      <c r="A572" s="5">
        <v>45730.45655920139</v>
      </c>
      <c r="B572" s="1" t="s">
        <v>4802</v>
      </c>
      <c r="C572" s="1"/>
    </row>
    <row r="573" spans="1:3" x14ac:dyDescent="0.2">
      <c r="A573" s="5">
        <v>45730.428426319442</v>
      </c>
      <c r="B573" s="1" t="s">
        <v>4803</v>
      </c>
      <c r="C573" s="1"/>
    </row>
    <row r="574" spans="1:3" x14ac:dyDescent="0.2">
      <c r="A574" s="5">
        <v>45730.414969664351</v>
      </c>
      <c r="B574" s="1" t="s">
        <v>4804</v>
      </c>
      <c r="C574" s="1"/>
    </row>
    <row r="575" spans="1:3" x14ac:dyDescent="0.2">
      <c r="A575" s="5">
        <v>45729.596985729164</v>
      </c>
      <c r="B575" s="1" t="s">
        <v>4805</v>
      </c>
      <c r="C575" s="1"/>
    </row>
    <row r="576" spans="1:3" x14ac:dyDescent="0.2">
      <c r="A576" s="5">
        <v>45729.596560185186</v>
      </c>
      <c r="B576" s="1" t="s">
        <v>4806</v>
      </c>
      <c r="C576" s="1"/>
    </row>
    <row r="577" spans="1:3" x14ac:dyDescent="0.2">
      <c r="A577" s="5">
        <v>45729.566444166667</v>
      </c>
      <c r="B577" s="1" t="s">
        <v>4807</v>
      </c>
      <c r="C577" s="1"/>
    </row>
    <row r="578" spans="1:3" x14ac:dyDescent="0.2">
      <c r="A578" s="5">
        <v>45729.409367372689</v>
      </c>
      <c r="B578" s="1" t="s">
        <v>4808</v>
      </c>
      <c r="C578" s="1"/>
    </row>
    <row r="579" spans="1:3" x14ac:dyDescent="0.2">
      <c r="A579" s="5">
        <v>45728.551959432865</v>
      </c>
      <c r="B579" s="1" t="s">
        <v>4809</v>
      </c>
      <c r="C579" s="1"/>
    </row>
    <row r="580" spans="1:3" x14ac:dyDescent="0.2">
      <c r="A580" s="5">
        <v>45728.500786990742</v>
      </c>
      <c r="B580" s="1" t="s">
        <v>4810</v>
      </c>
      <c r="C580" s="1"/>
    </row>
    <row r="581" spans="1:3" x14ac:dyDescent="0.2">
      <c r="A581" s="5">
        <v>45728.500128715277</v>
      </c>
      <c r="B581" s="1" t="s">
        <v>4811</v>
      </c>
      <c r="C581" s="1"/>
    </row>
    <row r="582" spans="1:3" x14ac:dyDescent="0.2">
      <c r="A582" s="5">
        <v>45728.466708009262</v>
      </c>
      <c r="B582" s="1" t="s">
        <v>4812</v>
      </c>
      <c r="C582" s="1"/>
    </row>
    <row r="583" spans="1:3" x14ac:dyDescent="0.2">
      <c r="A583" s="5">
        <v>45728.445700081022</v>
      </c>
      <c r="B583" s="1" t="s">
        <v>4813</v>
      </c>
      <c r="C583" s="1"/>
    </row>
    <row r="584" spans="1:3" x14ac:dyDescent="0.2">
      <c r="A584" s="5">
        <v>45728.41406451389</v>
      </c>
      <c r="B584" s="1" t="s">
        <v>4814</v>
      </c>
      <c r="C584" s="1"/>
    </row>
    <row r="585" spans="1:3" x14ac:dyDescent="0.2">
      <c r="A585" s="5">
        <v>45728.413062743057</v>
      </c>
      <c r="B585" s="1" t="s">
        <v>4815</v>
      </c>
      <c r="C585" s="1"/>
    </row>
    <row r="586" spans="1:3" x14ac:dyDescent="0.2">
      <c r="A586" s="5">
        <v>45728.411994166665</v>
      </c>
      <c r="B586" s="1" t="s">
        <v>4816</v>
      </c>
      <c r="C586" s="1"/>
    </row>
    <row r="587" spans="1:3" x14ac:dyDescent="0.2">
      <c r="A587" s="5">
        <v>45728.406533715279</v>
      </c>
      <c r="B587" s="1" t="s">
        <v>4817</v>
      </c>
      <c r="C587" s="1"/>
    </row>
    <row r="588" spans="1:3" x14ac:dyDescent="0.2">
      <c r="A588" s="5">
        <v>45728.405835787038</v>
      </c>
      <c r="B588" s="1" t="s">
        <v>4818</v>
      </c>
      <c r="C588" s="1"/>
    </row>
    <row r="589" spans="1:3" x14ac:dyDescent="0.2">
      <c r="A589" s="5">
        <v>45728.40483594907</v>
      </c>
      <c r="B589" s="1" t="s">
        <v>4819</v>
      </c>
      <c r="C589" s="1"/>
    </row>
    <row r="590" spans="1:3" x14ac:dyDescent="0.2">
      <c r="A590" s="5">
        <v>45728.400860196758</v>
      </c>
      <c r="B590" s="1" t="s">
        <v>4820</v>
      </c>
      <c r="C590" s="1"/>
    </row>
    <row r="591" spans="1:3" x14ac:dyDescent="0.2">
      <c r="A591" s="5">
        <v>45728.400416226854</v>
      </c>
      <c r="B591" s="1" t="s">
        <v>4821</v>
      </c>
      <c r="C591" s="1"/>
    </row>
    <row r="592" spans="1:3" x14ac:dyDescent="0.2">
      <c r="A592" s="5">
        <v>45728.326092581017</v>
      </c>
      <c r="B592" s="1" t="s">
        <v>4822</v>
      </c>
      <c r="C592" s="1"/>
    </row>
    <row r="593" spans="1:3" x14ac:dyDescent="0.2">
      <c r="A593" s="5">
        <v>45726.447144548612</v>
      </c>
      <c r="B593" s="1" t="s">
        <v>4823</v>
      </c>
      <c r="C593" s="1"/>
    </row>
    <row r="594" spans="1:3" x14ac:dyDescent="0.2">
      <c r="A594" s="5">
        <v>45726.431691261576</v>
      </c>
      <c r="B594" s="1" t="s">
        <v>4824</v>
      </c>
      <c r="C594" s="1"/>
    </row>
    <row r="595" spans="1:3" x14ac:dyDescent="0.2">
      <c r="A595" s="5">
        <v>45726.427537013893</v>
      </c>
      <c r="B595" s="1" t="s">
        <v>4825</v>
      </c>
      <c r="C595" s="1"/>
    </row>
    <row r="596" spans="1:3" x14ac:dyDescent="0.2">
      <c r="A596" s="5">
        <v>45726.425612488427</v>
      </c>
      <c r="B596" s="1" t="s">
        <v>4826</v>
      </c>
      <c r="C596" s="1"/>
    </row>
    <row r="597" spans="1:3" x14ac:dyDescent="0.2">
      <c r="A597" s="5">
        <v>45726.418568113426</v>
      </c>
      <c r="B597" s="1" t="s">
        <v>4827</v>
      </c>
      <c r="C597" s="1"/>
    </row>
    <row r="598" spans="1:3" x14ac:dyDescent="0.2">
      <c r="A598" s="5">
        <v>45726.417126145832</v>
      </c>
      <c r="B598" s="1" t="s">
        <v>4828</v>
      </c>
      <c r="C598" s="1"/>
    </row>
    <row r="599" spans="1:3" x14ac:dyDescent="0.2">
      <c r="A599" s="5">
        <v>45726.411072951392</v>
      </c>
      <c r="B599" s="1" t="s">
        <v>4829</v>
      </c>
      <c r="C599" s="1"/>
    </row>
    <row r="600" spans="1:3" x14ac:dyDescent="0.2">
      <c r="A600" s="5">
        <v>45726.406875613422</v>
      </c>
      <c r="B600" s="1" t="s">
        <v>4830</v>
      </c>
      <c r="C600" s="1"/>
    </row>
    <row r="601" spans="1:3" x14ac:dyDescent="0.2">
      <c r="A601" s="5">
        <v>45726.397152638892</v>
      </c>
      <c r="B601" s="1" t="s">
        <v>4831</v>
      </c>
      <c r="C601" s="1"/>
    </row>
    <row r="602" spans="1:3" x14ac:dyDescent="0.2">
      <c r="A602" s="5">
        <v>45726.395895081019</v>
      </c>
      <c r="B602" s="1" t="s">
        <v>4832</v>
      </c>
      <c r="C602" s="1"/>
    </row>
    <row r="603" spans="1:3" x14ac:dyDescent="0.2">
      <c r="A603" s="5">
        <v>45726.395875000002</v>
      </c>
      <c r="B603" s="1" t="s">
        <v>4833</v>
      </c>
      <c r="C603" s="1"/>
    </row>
    <row r="604" spans="1:3" x14ac:dyDescent="0.2">
      <c r="A604" s="5">
        <v>45726.395357939815</v>
      </c>
      <c r="B604" s="1" t="s">
        <v>4834</v>
      </c>
      <c r="C604" s="1"/>
    </row>
    <row r="605" spans="1:3" x14ac:dyDescent="0.2">
      <c r="A605" s="5">
        <v>45726.395319016199</v>
      </c>
      <c r="B605" s="1" t="s">
        <v>4835</v>
      </c>
      <c r="C605" s="1"/>
    </row>
    <row r="606" spans="1:3" x14ac:dyDescent="0.2">
      <c r="A606" s="5">
        <v>45726.394986180559</v>
      </c>
      <c r="B606" s="1" t="s">
        <v>4836</v>
      </c>
      <c r="C606" s="1"/>
    </row>
    <row r="607" spans="1:3" x14ac:dyDescent="0.2">
      <c r="A607" s="5">
        <v>45726.394394039351</v>
      </c>
      <c r="B607" s="1" t="s">
        <v>4837</v>
      </c>
      <c r="C607" s="1"/>
    </row>
    <row r="608" spans="1:3" x14ac:dyDescent="0.2">
      <c r="A608" s="5">
        <v>45726.39403476852</v>
      </c>
      <c r="B608" s="1" t="s">
        <v>4838</v>
      </c>
      <c r="C608" s="1"/>
    </row>
    <row r="609" spans="1:3" x14ac:dyDescent="0.2">
      <c r="A609" s="5">
        <v>45726.39277799768</v>
      </c>
      <c r="B609" s="1" t="s">
        <v>4839</v>
      </c>
      <c r="C609" s="1"/>
    </row>
    <row r="610" spans="1:3" x14ac:dyDescent="0.2">
      <c r="A610" s="5">
        <v>45726.390859687497</v>
      </c>
      <c r="B610" s="1" t="s">
        <v>4840</v>
      </c>
      <c r="C610" s="1"/>
    </row>
    <row r="611" spans="1:3" x14ac:dyDescent="0.2">
      <c r="A611" s="5">
        <v>45726.384978206013</v>
      </c>
      <c r="B611" s="1" t="s">
        <v>4841</v>
      </c>
      <c r="C611" s="1"/>
    </row>
    <row r="612" spans="1:3" x14ac:dyDescent="0.2">
      <c r="A612" s="5">
        <v>45726.382913472218</v>
      </c>
      <c r="B612" s="1" t="s">
        <v>4842</v>
      </c>
      <c r="C612" s="1"/>
    </row>
    <row r="613" spans="1:3" x14ac:dyDescent="0.2">
      <c r="A613" s="5">
        <v>45726.372590266204</v>
      </c>
      <c r="B613" s="1" t="s">
        <v>4843</v>
      </c>
      <c r="C613" s="1"/>
    </row>
    <row r="614" spans="1:3" x14ac:dyDescent="0.2">
      <c r="A614" s="5">
        <v>45726.334986226851</v>
      </c>
      <c r="B614" s="1" t="s">
        <v>4844</v>
      </c>
      <c r="C614" s="1"/>
    </row>
    <row r="615" spans="1:3" x14ac:dyDescent="0.2">
      <c r="A615" s="5">
        <v>45726.329922430552</v>
      </c>
      <c r="B615" s="1" t="s">
        <v>4845</v>
      </c>
      <c r="C615" s="1"/>
    </row>
    <row r="616" spans="1:3" x14ac:dyDescent="0.2">
      <c r="A616" s="5">
        <v>45726.329627615742</v>
      </c>
      <c r="B616" s="1" t="s">
        <v>4846</v>
      </c>
      <c r="C616" s="1"/>
    </row>
    <row r="617" spans="1:3" x14ac:dyDescent="0.2">
      <c r="A617" s="5">
        <v>45726.32942642361</v>
      </c>
      <c r="B617" s="1" t="s">
        <v>4847</v>
      </c>
      <c r="C617" s="1"/>
    </row>
    <row r="618" spans="1:3" x14ac:dyDescent="0.2">
      <c r="A618" s="5">
        <v>45726.321819745368</v>
      </c>
      <c r="B618" s="1" t="s">
        <v>4848</v>
      </c>
      <c r="C618" s="1"/>
    </row>
    <row r="619" spans="1:3" x14ac:dyDescent="0.2">
      <c r="A619" s="5">
        <v>45726.320370775458</v>
      </c>
      <c r="B619" s="1" t="s">
        <v>4849</v>
      </c>
      <c r="C619" s="1"/>
    </row>
    <row r="620" spans="1:3" x14ac:dyDescent="0.2">
      <c r="A620" s="5">
        <v>45726.318042002313</v>
      </c>
      <c r="B620" s="1" t="s">
        <v>4850</v>
      </c>
      <c r="C620" s="1"/>
    </row>
    <row r="621" spans="1:3" x14ac:dyDescent="0.2">
      <c r="A621" s="5">
        <v>45725.678911226853</v>
      </c>
      <c r="B621" s="1" t="s">
        <v>4851</v>
      </c>
      <c r="C621" s="1"/>
    </row>
    <row r="622" spans="1:3" x14ac:dyDescent="0.2">
      <c r="A622" s="5">
        <v>45724.593261319445</v>
      </c>
      <c r="B622" s="1" t="s">
        <v>4852</v>
      </c>
      <c r="C622" s="1"/>
    </row>
    <row r="623" spans="1:3" x14ac:dyDescent="0.2">
      <c r="A623" s="5">
        <v>45724.592935960653</v>
      </c>
      <c r="B623" s="1" t="s">
        <v>4853</v>
      </c>
      <c r="C623" s="1"/>
    </row>
    <row r="624" spans="1:3" x14ac:dyDescent="0.2">
      <c r="A624" s="5">
        <v>45724.47096337963</v>
      </c>
      <c r="B624" s="1" t="s">
        <v>4854</v>
      </c>
      <c r="C624" s="1"/>
    </row>
    <row r="625" spans="1:3" x14ac:dyDescent="0.2">
      <c r="A625" s="5">
        <v>45724.470521388888</v>
      </c>
      <c r="B625" s="1" t="s">
        <v>4855</v>
      </c>
      <c r="C625" s="1"/>
    </row>
    <row r="626" spans="1:3" x14ac:dyDescent="0.2">
      <c r="A626" s="5">
        <v>45723.705955682875</v>
      </c>
      <c r="B626" s="1" t="s">
        <v>4856</v>
      </c>
      <c r="C626" s="1"/>
    </row>
    <row r="627" spans="1:3" x14ac:dyDescent="0.2">
      <c r="A627" s="5">
        <v>45723.704779537038</v>
      </c>
      <c r="B627" s="1" t="s">
        <v>4857</v>
      </c>
      <c r="C627" s="1"/>
    </row>
    <row r="628" spans="1:3" x14ac:dyDescent="0.2">
      <c r="A628" s="5">
        <v>45723.704405243057</v>
      </c>
      <c r="B628" s="1" t="s">
        <v>4858</v>
      </c>
      <c r="C628" s="1"/>
    </row>
    <row r="629" spans="1:3" x14ac:dyDescent="0.2">
      <c r="A629" s="5">
        <v>45723.69823934028</v>
      </c>
      <c r="B629" s="1" t="s">
        <v>4859</v>
      </c>
      <c r="C629" s="1"/>
    </row>
    <row r="630" spans="1:3" x14ac:dyDescent="0.2">
      <c r="A630" s="5">
        <v>45723.697600937499</v>
      </c>
      <c r="B630" s="1" t="s">
        <v>4860</v>
      </c>
      <c r="C630" s="1"/>
    </row>
    <row r="631" spans="1:3" x14ac:dyDescent="0.2">
      <c r="A631" s="5">
        <v>45723.697099097219</v>
      </c>
      <c r="B631" s="1" t="s">
        <v>4861</v>
      </c>
      <c r="C631" s="1"/>
    </row>
    <row r="632" spans="1:3" x14ac:dyDescent="0.2">
      <c r="A632" s="5">
        <v>45723.696372939812</v>
      </c>
      <c r="B632" s="1" t="s">
        <v>4862</v>
      </c>
      <c r="C632" s="1"/>
    </row>
    <row r="633" spans="1:3" x14ac:dyDescent="0.2">
      <c r="A633" s="5">
        <v>45723.695797592591</v>
      </c>
      <c r="B633" s="1" t="s">
        <v>4863</v>
      </c>
      <c r="C633" s="1"/>
    </row>
    <row r="634" spans="1:3" x14ac:dyDescent="0.2">
      <c r="A634" s="5">
        <v>45723.695484386575</v>
      </c>
      <c r="B634" s="1" t="s">
        <v>4864</v>
      </c>
      <c r="C634" s="1"/>
    </row>
    <row r="635" spans="1:3" x14ac:dyDescent="0.2">
      <c r="A635" s="5">
        <v>45723.656328611112</v>
      </c>
      <c r="B635" s="1" t="s">
        <v>4865</v>
      </c>
      <c r="C635" s="1"/>
    </row>
    <row r="636" spans="1:3" x14ac:dyDescent="0.2">
      <c r="A636" s="5">
        <v>45723.655847847222</v>
      </c>
      <c r="B636" s="1" t="s">
        <v>4866</v>
      </c>
      <c r="C636" s="1"/>
    </row>
    <row r="637" spans="1:3" x14ac:dyDescent="0.2">
      <c r="A637" s="5">
        <v>45723.648525173616</v>
      </c>
      <c r="B637" s="1" t="s">
        <v>4867</v>
      </c>
      <c r="C637" s="1"/>
    </row>
    <row r="638" spans="1:3" x14ac:dyDescent="0.2">
      <c r="A638" s="5">
        <v>45723.648219861112</v>
      </c>
      <c r="B638" s="1" t="s">
        <v>4868</v>
      </c>
      <c r="C638" s="1"/>
    </row>
    <row r="639" spans="1:3" x14ac:dyDescent="0.2">
      <c r="A639" s="5">
        <v>45723.647575324074</v>
      </c>
      <c r="B639" s="1" t="s">
        <v>4869</v>
      </c>
      <c r="C639" s="1"/>
    </row>
    <row r="640" spans="1:3" x14ac:dyDescent="0.2">
      <c r="A640" s="5">
        <v>45723.647433611113</v>
      </c>
      <c r="B640" s="1" t="s">
        <v>4870</v>
      </c>
      <c r="C640" s="1"/>
    </row>
    <row r="641" spans="1:3" x14ac:dyDescent="0.2">
      <c r="A641" s="5">
        <v>45723.646460289354</v>
      </c>
      <c r="B641" s="1" t="s">
        <v>4871</v>
      </c>
      <c r="C641" s="1"/>
    </row>
    <row r="642" spans="1:3" x14ac:dyDescent="0.2">
      <c r="A642" s="5">
        <v>45723.6440043287</v>
      </c>
      <c r="B642" s="1" t="s">
        <v>4872</v>
      </c>
      <c r="C642" s="1"/>
    </row>
    <row r="643" spans="1:3" x14ac:dyDescent="0.2">
      <c r="A643" s="5">
        <v>45723.643725879629</v>
      </c>
      <c r="B643" s="1" t="s">
        <v>4873</v>
      </c>
      <c r="C643" s="1"/>
    </row>
    <row r="644" spans="1:3" x14ac:dyDescent="0.2">
      <c r="A644" s="5">
        <v>45723.643480729166</v>
      </c>
      <c r="B644" s="1" t="s">
        <v>4874</v>
      </c>
      <c r="C644" s="1"/>
    </row>
    <row r="645" spans="1:3" x14ac:dyDescent="0.2">
      <c r="A645" s="5">
        <v>45723.630799340273</v>
      </c>
      <c r="B645" s="1" t="s">
        <v>4875</v>
      </c>
      <c r="C645" s="1"/>
    </row>
    <row r="646" spans="1:3" x14ac:dyDescent="0.2">
      <c r="A646" s="5">
        <v>45723.629580821755</v>
      </c>
      <c r="B646" s="1" t="s">
        <v>4876</v>
      </c>
      <c r="C646" s="1"/>
    </row>
    <row r="647" spans="1:3" x14ac:dyDescent="0.2">
      <c r="A647" s="5">
        <v>45723.629236770837</v>
      </c>
      <c r="B647" s="1" t="s">
        <v>4877</v>
      </c>
      <c r="C647" s="1"/>
    </row>
    <row r="648" spans="1:3" x14ac:dyDescent="0.2">
      <c r="A648" s="5">
        <v>45723.628959467591</v>
      </c>
      <c r="B648" s="1" t="s">
        <v>4878</v>
      </c>
      <c r="C648" s="1"/>
    </row>
    <row r="649" spans="1:3" x14ac:dyDescent="0.2">
      <c r="A649" s="5">
        <v>45723.62894829861</v>
      </c>
      <c r="B649" s="1" t="s">
        <v>4879</v>
      </c>
      <c r="C649" s="1"/>
    </row>
    <row r="650" spans="1:3" x14ac:dyDescent="0.2">
      <c r="A650" s="5">
        <v>45723.628936886569</v>
      </c>
      <c r="B650" s="1" t="s">
        <v>4880</v>
      </c>
      <c r="C650" s="1"/>
    </row>
    <row r="651" spans="1:3" x14ac:dyDescent="0.2">
      <c r="A651" s="5">
        <v>45723.628534212963</v>
      </c>
      <c r="B651" s="1" t="s">
        <v>4881</v>
      </c>
      <c r="C651" s="1"/>
    </row>
    <row r="652" spans="1:3" x14ac:dyDescent="0.2">
      <c r="A652" s="5">
        <v>45723.627872604164</v>
      </c>
      <c r="B652" s="1" t="s">
        <v>4882</v>
      </c>
      <c r="C652" s="1"/>
    </row>
    <row r="653" spans="1:3" x14ac:dyDescent="0.2">
      <c r="A653" s="5">
        <v>45723.627556678242</v>
      </c>
      <c r="B653" s="1" t="s">
        <v>4883</v>
      </c>
      <c r="C653" s="1"/>
    </row>
    <row r="654" spans="1:3" x14ac:dyDescent="0.2">
      <c r="A654" s="5">
        <v>45723.626980590278</v>
      </c>
      <c r="B654" s="1" t="s">
        <v>4884</v>
      </c>
      <c r="C654" s="1"/>
    </row>
    <row r="655" spans="1:3" x14ac:dyDescent="0.2">
      <c r="A655" s="5">
        <v>45723.626898171293</v>
      </c>
      <c r="B655" s="1" t="s">
        <v>4885</v>
      </c>
      <c r="C655" s="1"/>
    </row>
    <row r="656" spans="1:3" x14ac:dyDescent="0.2">
      <c r="A656" s="5">
        <v>45723.626767650465</v>
      </c>
      <c r="B656" s="1" t="s">
        <v>4886</v>
      </c>
      <c r="C656" s="1"/>
    </row>
    <row r="657" spans="1:3" x14ac:dyDescent="0.2">
      <c r="A657" s="5">
        <v>45723.626301643519</v>
      </c>
      <c r="B657" s="1" t="s">
        <v>4887</v>
      </c>
      <c r="C657" s="1"/>
    </row>
    <row r="658" spans="1:3" x14ac:dyDescent="0.2">
      <c r="A658" s="5">
        <v>45723.626038877315</v>
      </c>
      <c r="B658" s="1" t="s">
        <v>4888</v>
      </c>
      <c r="C658" s="1"/>
    </row>
    <row r="659" spans="1:3" x14ac:dyDescent="0.2">
      <c r="A659" s="5">
        <v>45723.623997106479</v>
      </c>
      <c r="B659" s="1" t="s">
        <v>4889</v>
      </c>
      <c r="C659" s="1"/>
    </row>
    <row r="660" spans="1:3" x14ac:dyDescent="0.2">
      <c r="A660" s="5">
        <v>45723.621451608793</v>
      </c>
      <c r="B660" s="1" t="s">
        <v>4890</v>
      </c>
      <c r="C660" s="1"/>
    </row>
    <row r="661" spans="1:3" x14ac:dyDescent="0.2">
      <c r="A661" s="5">
        <v>45723.620970995369</v>
      </c>
      <c r="B661" s="1" t="s">
        <v>4891</v>
      </c>
      <c r="C661" s="1"/>
    </row>
    <row r="662" spans="1:3" x14ac:dyDescent="0.2">
      <c r="A662" s="5">
        <v>45723.619193611114</v>
      </c>
      <c r="B662" s="1" t="s">
        <v>4892</v>
      </c>
      <c r="C662" s="1"/>
    </row>
    <row r="663" spans="1:3" x14ac:dyDescent="0.2">
      <c r="A663" s="5">
        <v>45723.616788993051</v>
      </c>
      <c r="B663" s="1" t="s">
        <v>4893</v>
      </c>
      <c r="C663" s="1"/>
    </row>
    <row r="664" spans="1:3" x14ac:dyDescent="0.2">
      <c r="A664" s="5">
        <v>45723.616471840272</v>
      </c>
      <c r="B664" s="1" t="s">
        <v>4894</v>
      </c>
      <c r="C664" s="1"/>
    </row>
    <row r="665" spans="1:3" x14ac:dyDescent="0.2">
      <c r="A665" s="5">
        <v>45723.616424618056</v>
      </c>
      <c r="B665" s="1" t="s">
        <v>4895</v>
      </c>
      <c r="C665" s="1"/>
    </row>
    <row r="666" spans="1:3" x14ac:dyDescent="0.2">
      <c r="A666" s="5">
        <v>45723.616354004625</v>
      </c>
      <c r="B666" s="1" t="s">
        <v>4896</v>
      </c>
      <c r="C666" s="1"/>
    </row>
    <row r="667" spans="1:3" x14ac:dyDescent="0.2">
      <c r="A667" s="5">
        <v>45723.616083090281</v>
      </c>
      <c r="B667" s="1" t="s">
        <v>4897</v>
      </c>
      <c r="C667" s="1"/>
    </row>
    <row r="668" spans="1:3" x14ac:dyDescent="0.2">
      <c r="A668" s="5">
        <v>45723.615969097227</v>
      </c>
      <c r="B668" s="1" t="s">
        <v>4898</v>
      </c>
      <c r="C668" s="1"/>
    </row>
    <row r="669" spans="1:3" x14ac:dyDescent="0.2">
      <c r="A669" s="5">
        <v>45723.611586122686</v>
      </c>
      <c r="B669" s="1" t="s">
        <v>4899</v>
      </c>
      <c r="C669" s="1"/>
    </row>
    <row r="670" spans="1:3" x14ac:dyDescent="0.2">
      <c r="A670" s="5">
        <v>45723.611215162033</v>
      </c>
      <c r="B670" s="1" t="s">
        <v>4900</v>
      </c>
      <c r="C670" s="1"/>
    </row>
    <row r="671" spans="1:3" x14ac:dyDescent="0.2">
      <c r="A671" s="5">
        <v>45723.609232696763</v>
      </c>
      <c r="B671" s="1" t="s">
        <v>4901</v>
      </c>
      <c r="C671" s="1"/>
    </row>
    <row r="672" spans="1:3" x14ac:dyDescent="0.2">
      <c r="A672" s="5">
        <v>45723.607154432873</v>
      </c>
      <c r="B672" s="1" t="s">
        <v>4902</v>
      </c>
      <c r="C672" s="1"/>
    </row>
    <row r="673" spans="1:3" x14ac:dyDescent="0.2">
      <c r="A673" s="5">
        <v>45723.605354953703</v>
      </c>
      <c r="B673" s="1" t="s">
        <v>4903</v>
      </c>
      <c r="C673" s="1"/>
    </row>
    <row r="674" spans="1:3" x14ac:dyDescent="0.2">
      <c r="A674" s="5">
        <v>45723.604288194445</v>
      </c>
      <c r="B674" s="1" t="s">
        <v>4904</v>
      </c>
      <c r="C674" s="1"/>
    </row>
    <row r="675" spans="1:3" x14ac:dyDescent="0.2">
      <c r="A675" s="5">
        <v>45723.603488055553</v>
      </c>
      <c r="B675" s="1" t="s">
        <v>4905</v>
      </c>
      <c r="C675" s="1"/>
    </row>
    <row r="676" spans="1:3" x14ac:dyDescent="0.2">
      <c r="A676" s="5">
        <v>45723.603017314817</v>
      </c>
      <c r="B676" s="1" t="s">
        <v>4906</v>
      </c>
      <c r="C676" s="1"/>
    </row>
    <row r="677" spans="1:3" x14ac:dyDescent="0.2">
      <c r="A677" s="5">
        <v>45723.601334351857</v>
      </c>
      <c r="B677" s="1" t="s">
        <v>4907</v>
      </c>
      <c r="C677" s="1"/>
    </row>
    <row r="678" spans="1:3" x14ac:dyDescent="0.2">
      <c r="A678" s="5">
        <v>45723.600707777776</v>
      </c>
      <c r="B678" s="1" t="s">
        <v>4908</v>
      </c>
      <c r="C678" s="1"/>
    </row>
    <row r="679" spans="1:3" x14ac:dyDescent="0.2">
      <c r="A679" s="5">
        <v>45723.597823240736</v>
      </c>
      <c r="B679" s="1" t="s">
        <v>4909</v>
      </c>
      <c r="C679" s="1"/>
    </row>
    <row r="680" spans="1:3" x14ac:dyDescent="0.2">
      <c r="A680" s="5">
        <v>45723.597459386576</v>
      </c>
      <c r="B680" s="1" t="s">
        <v>4910</v>
      </c>
      <c r="C680" s="1"/>
    </row>
    <row r="681" spans="1:3" x14ac:dyDescent="0.2">
      <c r="A681" s="5">
        <v>45723.595091805561</v>
      </c>
      <c r="B681" s="1" t="s">
        <v>4911</v>
      </c>
      <c r="C681" s="1"/>
    </row>
    <row r="682" spans="1:3" x14ac:dyDescent="0.2">
      <c r="A682" s="5">
        <v>45723.594511481482</v>
      </c>
      <c r="B682" s="1" t="s">
        <v>4912</v>
      </c>
      <c r="C682" s="1"/>
    </row>
    <row r="683" spans="1:3" x14ac:dyDescent="0.2">
      <c r="A683" s="5">
        <v>45723.59301045139</v>
      </c>
      <c r="B683" s="1" t="s">
        <v>4913</v>
      </c>
      <c r="C683" s="1"/>
    </row>
    <row r="684" spans="1:3" x14ac:dyDescent="0.2">
      <c r="A684" s="5">
        <v>45700.42935387732</v>
      </c>
      <c r="B684" s="1" t="s">
        <v>4914</v>
      </c>
      <c r="C684" s="1"/>
    </row>
    <row r="685" spans="1:3" x14ac:dyDescent="0.2">
      <c r="A685" s="5">
        <v>45700.428894976852</v>
      </c>
      <c r="B685" s="1" t="s">
        <v>4915</v>
      </c>
      <c r="C685" s="1"/>
    </row>
    <row r="686" spans="1:3" x14ac:dyDescent="0.2">
      <c r="A686" s="5">
        <v>45700.422658923606</v>
      </c>
      <c r="B686" s="1" t="s">
        <v>4916</v>
      </c>
      <c r="C686" s="1"/>
    </row>
    <row r="687" spans="1:3" x14ac:dyDescent="0.2">
      <c r="A687" s="5">
        <v>45700.422269664356</v>
      </c>
      <c r="B687" s="1" t="s">
        <v>4917</v>
      </c>
      <c r="C687" s="1"/>
    </row>
    <row r="688" spans="1:3" x14ac:dyDescent="0.2">
      <c r="A688" s="5">
        <v>45700.421877939814</v>
      </c>
      <c r="B688" s="1" t="s">
        <v>4918</v>
      </c>
      <c r="C688" s="1"/>
    </row>
    <row r="689" spans="1:3" x14ac:dyDescent="0.2">
      <c r="A689" s="5">
        <v>45700.42149054398</v>
      </c>
      <c r="B689" s="1" t="s">
        <v>4919</v>
      </c>
      <c r="C689" s="1"/>
    </row>
    <row r="690" spans="1:3" x14ac:dyDescent="0.2">
      <c r="A690" s="5">
        <v>45700.42116244213</v>
      </c>
      <c r="B690" s="1" t="s">
        <v>4920</v>
      </c>
      <c r="C690" s="1"/>
    </row>
    <row r="691" spans="1:3" x14ac:dyDescent="0.2">
      <c r="A691" s="5">
        <v>45700.421067870368</v>
      </c>
      <c r="B691" s="1" t="s">
        <v>4921</v>
      </c>
      <c r="C691" s="1"/>
    </row>
    <row r="692" spans="1:3" x14ac:dyDescent="0.2">
      <c r="A692" s="5">
        <v>45700.421036493055</v>
      </c>
      <c r="B692" s="1" t="s">
        <v>4922</v>
      </c>
      <c r="C692" s="1"/>
    </row>
    <row r="693" spans="1:3" x14ac:dyDescent="0.2">
      <c r="A693" s="5">
        <v>45700.420797523147</v>
      </c>
      <c r="B693" s="1" t="s">
        <v>4923</v>
      </c>
      <c r="C693" s="1"/>
    </row>
    <row r="694" spans="1:3" x14ac:dyDescent="0.2">
      <c r="A694" s="5">
        <v>45700.420656006943</v>
      </c>
      <c r="B694" s="1" t="s">
        <v>4924</v>
      </c>
      <c r="C694" s="1"/>
    </row>
    <row r="695" spans="1:3" x14ac:dyDescent="0.2">
      <c r="A695" s="5">
        <v>45700.420620914352</v>
      </c>
      <c r="B695" s="1" t="s">
        <v>4925</v>
      </c>
      <c r="C695" s="1"/>
    </row>
    <row r="696" spans="1:3" x14ac:dyDescent="0.2">
      <c r="A696" s="5">
        <v>45700.420427997684</v>
      </c>
      <c r="B696" s="1" t="s">
        <v>4926</v>
      </c>
      <c r="C696" s="1"/>
    </row>
    <row r="697" spans="1:3" x14ac:dyDescent="0.2">
      <c r="A697" s="5">
        <v>45700.420143692128</v>
      </c>
      <c r="B697" s="1" t="s">
        <v>4927</v>
      </c>
      <c r="C697" s="1"/>
    </row>
    <row r="698" spans="1:3" x14ac:dyDescent="0.2">
      <c r="A698" s="5">
        <v>45700.420031504633</v>
      </c>
      <c r="B698" s="1" t="s">
        <v>4928</v>
      </c>
      <c r="C698" s="1"/>
    </row>
    <row r="699" spans="1:3" x14ac:dyDescent="0.2">
      <c r="A699" s="5">
        <v>45700.419467557869</v>
      </c>
      <c r="B699" s="1" t="s">
        <v>4929</v>
      </c>
      <c r="C699" s="1"/>
    </row>
    <row r="700" spans="1:3" x14ac:dyDescent="0.2">
      <c r="A700" s="5">
        <v>45700.419402280095</v>
      </c>
      <c r="B700" s="1" t="s">
        <v>4930</v>
      </c>
      <c r="C700" s="1"/>
    </row>
    <row r="701" spans="1:3" x14ac:dyDescent="0.2">
      <c r="A701" s="5">
        <v>45700.419101782405</v>
      </c>
      <c r="B701" s="1" t="s">
        <v>4931</v>
      </c>
      <c r="C701" s="1"/>
    </row>
    <row r="702" spans="1:3" x14ac:dyDescent="0.2">
      <c r="A702" s="5">
        <v>45700.4190624537</v>
      </c>
      <c r="B702" s="1" t="s">
        <v>4932</v>
      </c>
      <c r="C702" s="1"/>
    </row>
    <row r="703" spans="1:3" x14ac:dyDescent="0.2">
      <c r="A703" s="5">
        <v>45700.418794722224</v>
      </c>
      <c r="B703" s="1" t="s">
        <v>4933</v>
      </c>
      <c r="C703" s="1"/>
    </row>
    <row r="704" spans="1:3" x14ac:dyDescent="0.2">
      <c r="A704" s="5">
        <v>45700.418427731478</v>
      </c>
      <c r="B704" s="1" t="s">
        <v>4934</v>
      </c>
      <c r="C704" s="1"/>
    </row>
    <row r="705" spans="1:3" x14ac:dyDescent="0.2">
      <c r="A705" s="5">
        <v>45700.417820034723</v>
      </c>
      <c r="B705" s="1" t="s">
        <v>4935</v>
      </c>
      <c r="C705" s="1"/>
    </row>
    <row r="706" spans="1:3" x14ac:dyDescent="0.2">
      <c r="A706" s="5">
        <v>45700.417450775465</v>
      </c>
      <c r="B706" s="1" t="s">
        <v>4936</v>
      </c>
      <c r="C706" s="1"/>
    </row>
    <row r="707" spans="1:3" x14ac:dyDescent="0.2">
      <c r="A707" s="5">
        <v>45700.416236782403</v>
      </c>
      <c r="B707" s="1" t="s">
        <v>4937</v>
      </c>
      <c r="C707" s="1"/>
    </row>
    <row r="708" spans="1:3" x14ac:dyDescent="0.2">
      <c r="A708" s="5">
        <v>45700.415492766202</v>
      </c>
      <c r="B708" s="1" t="s">
        <v>4938</v>
      </c>
      <c r="C708" s="1"/>
    </row>
    <row r="709" spans="1:3" x14ac:dyDescent="0.2">
      <c r="A709" s="5">
        <v>45700.414493518518</v>
      </c>
      <c r="B709" s="1" t="s">
        <v>4939</v>
      </c>
      <c r="C709" s="1"/>
    </row>
    <row r="710" spans="1:3" x14ac:dyDescent="0.2">
      <c r="A710" s="5">
        <v>45700.414101261573</v>
      </c>
      <c r="B710" s="1" t="s">
        <v>4940</v>
      </c>
      <c r="C710" s="1"/>
    </row>
    <row r="711" spans="1:3" x14ac:dyDescent="0.2">
      <c r="A711" s="5">
        <v>45700.41408368056</v>
      </c>
      <c r="B711" s="1" t="s">
        <v>4941</v>
      </c>
      <c r="C711" s="1"/>
    </row>
    <row r="712" spans="1:3" x14ac:dyDescent="0.2">
      <c r="A712" s="5">
        <v>45700.413713437505</v>
      </c>
      <c r="B712" s="1" t="s">
        <v>4942</v>
      </c>
      <c r="C712" s="1"/>
    </row>
    <row r="713" spans="1:3" x14ac:dyDescent="0.2">
      <c r="A713" s="5">
        <v>45700.413619224535</v>
      </c>
      <c r="B713" s="1" t="s">
        <v>4943</v>
      </c>
      <c r="C713" s="1"/>
    </row>
    <row r="714" spans="1:3" x14ac:dyDescent="0.2">
      <c r="A714" s="5">
        <v>45700.413525115742</v>
      </c>
      <c r="B714" s="1" t="s">
        <v>4944</v>
      </c>
      <c r="C714" s="1"/>
    </row>
    <row r="715" spans="1:3" x14ac:dyDescent="0.2">
      <c r="A715" s="5">
        <v>45700.413242222217</v>
      </c>
      <c r="B715" s="1" t="s">
        <v>4945</v>
      </c>
      <c r="C715" s="1"/>
    </row>
    <row r="716" spans="1:3" x14ac:dyDescent="0.2">
      <c r="A716" s="5">
        <v>45700.412861759258</v>
      </c>
      <c r="B716" s="1" t="s">
        <v>4946</v>
      </c>
      <c r="C716" s="1"/>
    </row>
    <row r="717" spans="1:3" x14ac:dyDescent="0.2">
      <c r="A717" s="5">
        <v>45700.412697569445</v>
      </c>
      <c r="B717" s="1" t="s">
        <v>4947</v>
      </c>
      <c r="C717" s="1"/>
    </row>
    <row r="718" spans="1:3" x14ac:dyDescent="0.2">
      <c r="A718" s="5">
        <v>45700.412543333332</v>
      </c>
      <c r="B718" s="1" t="s">
        <v>4948</v>
      </c>
      <c r="C718" s="1"/>
    </row>
    <row r="719" spans="1:3" x14ac:dyDescent="0.2">
      <c r="A719" s="5">
        <v>45700.412299606483</v>
      </c>
      <c r="B719" s="1" t="s">
        <v>4949</v>
      </c>
      <c r="C719" s="1"/>
    </row>
    <row r="720" spans="1:3" x14ac:dyDescent="0.2">
      <c r="A720" s="5">
        <v>45700.412015046299</v>
      </c>
      <c r="B720" s="1" t="s">
        <v>4950</v>
      </c>
      <c r="C720" s="1"/>
    </row>
    <row r="721" spans="1:3" x14ac:dyDescent="0.2">
      <c r="A721" s="5">
        <v>45700.411957488424</v>
      </c>
      <c r="B721" s="1" t="s">
        <v>4951</v>
      </c>
      <c r="C721" s="1"/>
    </row>
    <row r="722" spans="1:3" x14ac:dyDescent="0.2">
      <c r="A722" s="5">
        <v>45700.411523402778</v>
      </c>
      <c r="B722" s="1" t="s">
        <v>4952</v>
      </c>
      <c r="C722" s="1"/>
    </row>
    <row r="723" spans="1:3" x14ac:dyDescent="0.2">
      <c r="A723" s="5">
        <v>45700.410284594909</v>
      </c>
      <c r="B723" s="1" t="s">
        <v>4953</v>
      </c>
      <c r="C723" s="1"/>
    </row>
    <row r="724" spans="1:3" x14ac:dyDescent="0.2">
      <c r="A724" s="5">
        <v>45700.40947219907</v>
      </c>
      <c r="B724" s="1" t="s">
        <v>4954</v>
      </c>
      <c r="C724" s="1"/>
    </row>
    <row r="725" spans="1:3" x14ac:dyDescent="0.2">
      <c r="A725" s="5">
        <v>45700.405404305551</v>
      </c>
      <c r="B725" s="1" t="s">
        <v>4955</v>
      </c>
      <c r="C725" s="1"/>
    </row>
    <row r="726" spans="1:3" x14ac:dyDescent="0.2">
      <c r="A726" s="5">
        <v>45700.405232754631</v>
      </c>
      <c r="B726" s="1" t="s">
        <v>4956</v>
      </c>
      <c r="C726" s="1"/>
    </row>
    <row r="727" spans="1:3" x14ac:dyDescent="0.2">
      <c r="A727" s="5">
        <v>45700.404726284723</v>
      </c>
      <c r="B727" s="1" t="s">
        <v>4957</v>
      </c>
      <c r="C727" s="1"/>
    </row>
    <row r="728" spans="1:3" x14ac:dyDescent="0.2">
      <c r="A728" s="5">
        <v>45700.404599756948</v>
      </c>
      <c r="B728" s="1" t="s">
        <v>4958</v>
      </c>
      <c r="C728" s="1"/>
    </row>
    <row r="729" spans="1:3" x14ac:dyDescent="0.2">
      <c r="A729" s="5">
        <v>45700.404287800928</v>
      </c>
      <c r="B729" s="1" t="s">
        <v>4959</v>
      </c>
      <c r="C729" s="1"/>
    </row>
    <row r="730" spans="1:3" x14ac:dyDescent="0.2">
      <c r="A730" s="5">
        <v>45700.403189131946</v>
      </c>
      <c r="B730" s="1" t="s">
        <v>4960</v>
      </c>
      <c r="C730" s="1"/>
    </row>
    <row r="731" spans="1:3" x14ac:dyDescent="0.2">
      <c r="A731" s="5">
        <v>45700.402973101853</v>
      </c>
      <c r="B731" s="1" t="s">
        <v>4961</v>
      </c>
      <c r="C731" s="1"/>
    </row>
    <row r="732" spans="1:3" x14ac:dyDescent="0.2">
      <c r="A732" s="5">
        <v>45700.402613506943</v>
      </c>
      <c r="B732" s="1" t="s">
        <v>4962</v>
      </c>
      <c r="C732" s="1"/>
    </row>
    <row r="733" spans="1:3" x14ac:dyDescent="0.2">
      <c r="A733" s="5">
        <v>45700.402464062499</v>
      </c>
      <c r="B733" s="1" t="s">
        <v>4963</v>
      </c>
      <c r="C733" s="1"/>
    </row>
    <row r="734" spans="1:3" x14ac:dyDescent="0.2">
      <c r="A734" s="5">
        <v>45700.402278263893</v>
      </c>
      <c r="B734" s="1" t="s">
        <v>4964</v>
      </c>
      <c r="C734" s="1"/>
    </row>
    <row r="735" spans="1:3" x14ac:dyDescent="0.2">
      <c r="A735" s="5">
        <v>45700.399908125</v>
      </c>
      <c r="B735" s="1" t="s">
        <v>4965</v>
      </c>
      <c r="C735" s="1"/>
    </row>
    <row r="736" spans="1:3" x14ac:dyDescent="0.2">
      <c r="A736" s="5">
        <v>45700.399865821761</v>
      </c>
      <c r="B736" s="1" t="s">
        <v>4966</v>
      </c>
      <c r="C736" s="1"/>
    </row>
    <row r="737" spans="1:3" x14ac:dyDescent="0.2">
      <c r="A737" s="5">
        <v>45700.399680821763</v>
      </c>
      <c r="B737" s="1" t="s">
        <v>4967</v>
      </c>
      <c r="C737" s="1"/>
    </row>
    <row r="738" spans="1:3" x14ac:dyDescent="0.2">
      <c r="A738" s="5">
        <v>45700.399400891205</v>
      </c>
      <c r="B738" s="1" t="s">
        <v>4968</v>
      </c>
      <c r="C738" s="1"/>
    </row>
    <row r="739" spans="1:3" x14ac:dyDescent="0.2">
      <c r="A739" s="5">
        <v>45700.39830079861</v>
      </c>
      <c r="B739" s="1" t="s">
        <v>4969</v>
      </c>
      <c r="C739" s="1"/>
    </row>
    <row r="740" spans="1:3" x14ac:dyDescent="0.2">
      <c r="A740" s="5">
        <v>45700.397658576388</v>
      </c>
      <c r="B740" s="1" t="s">
        <v>4970</v>
      </c>
      <c r="C740" s="1"/>
    </row>
    <row r="741" spans="1:3" x14ac:dyDescent="0.2">
      <c r="A741" s="5">
        <v>45700.396734016205</v>
      </c>
      <c r="B741" s="1" t="s">
        <v>4971</v>
      </c>
      <c r="C741" s="1"/>
    </row>
    <row r="742" spans="1:3" x14ac:dyDescent="0.2">
      <c r="A742" s="5">
        <v>45700.377682210645</v>
      </c>
      <c r="B742" s="1" t="s">
        <v>4972</v>
      </c>
      <c r="C742" s="1"/>
    </row>
    <row r="743" spans="1:3" x14ac:dyDescent="0.2">
      <c r="A743" s="5">
        <v>45700.329635497685</v>
      </c>
      <c r="B743" s="1" t="s">
        <v>4973</v>
      </c>
      <c r="C743" s="1"/>
    </row>
    <row r="744" spans="1:3" x14ac:dyDescent="0.2">
      <c r="A744" s="5">
        <v>45692.336429525458</v>
      </c>
      <c r="B744" s="1" t="s">
        <v>4974</v>
      </c>
      <c r="C744" s="1"/>
    </row>
    <row r="745" spans="1:3" x14ac:dyDescent="0.2">
      <c r="A745" s="5">
        <v>45692.331211631943</v>
      </c>
      <c r="B745" s="1" t="s">
        <v>4975</v>
      </c>
      <c r="C745" s="1"/>
    </row>
    <row r="746" spans="1:3" x14ac:dyDescent="0.2">
      <c r="A746" s="5">
        <v>45692.307907905095</v>
      </c>
      <c r="B746" s="1" t="s">
        <v>4976</v>
      </c>
      <c r="C746" s="1"/>
    </row>
    <row r="747" spans="1:3" x14ac:dyDescent="0.2">
      <c r="A747" s="5">
        <v>45679.430876828701</v>
      </c>
      <c r="B747" s="1" t="s">
        <v>4977</v>
      </c>
      <c r="C747" s="1"/>
    </row>
    <row r="748" spans="1:3" x14ac:dyDescent="0.2">
      <c r="A748" s="5">
        <v>45679.430419861106</v>
      </c>
      <c r="B748" s="1" t="s">
        <v>4978</v>
      </c>
      <c r="C748" s="1"/>
    </row>
    <row r="749" spans="1:3" x14ac:dyDescent="0.2">
      <c r="A749" s="5">
        <v>45679.413355787037</v>
      </c>
      <c r="B749" s="1" t="s">
        <v>4979</v>
      </c>
      <c r="C749" s="1"/>
    </row>
    <row r="750" spans="1:3" x14ac:dyDescent="0.2">
      <c r="A750" s="5">
        <v>45679.379171817127</v>
      </c>
      <c r="B750" s="1" t="s">
        <v>4980</v>
      </c>
      <c r="C750" s="1"/>
    </row>
    <row r="751" spans="1:3" x14ac:dyDescent="0.2">
      <c r="A751" s="5">
        <v>45679.35352478009</v>
      </c>
      <c r="B751" s="1" t="s">
        <v>4981</v>
      </c>
      <c r="C751" s="1"/>
    </row>
    <row r="752" spans="1:3" x14ac:dyDescent="0.2">
      <c r="A752" s="5">
        <v>45679.352737037036</v>
      </c>
      <c r="B752" s="1" t="s">
        <v>4982</v>
      </c>
      <c r="C752" s="1"/>
    </row>
    <row r="753" spans="1:3" x14ac:dyDescent="0.2">
      <c r="A753" s="5">
        <v>45679.251767002315</v>
      </c>
      <c r="B753" s="1" t="s">
        <v>4983</v>
      </c>
      <c r="C753" s="1"/>
    </row>
    <row r="754" spans="1:3" x14ac:dyDescent="0.2">
      <c r="A754" s="5">
        <v>45679.251371678241</v>
      </c>
      <c r="B754" s="1" t="s">
        <v>4984</v>
      </c>
      <c r="C754" s="1"/>
    </row>
    <row r="755" spans="1:3" x14ac:dyDescent="0.2">
      <c r="A755" s="5">
        <v>45678.665620196756</v>
      </c>
      <c r="B755" s="1" t="s">
        <v>4985</v>
      </c>
      <c r="C755" s="1"/>
    </row>
    <row r="756" spans="1:3" x14ac:dyDescent="0.2">
      <c r="A756" s="5">
        <v>45678.664913773144</v>
      </c>
      <c r="B756" s="1" t="s">
        <v>4986</v>
      </c>
      <c r="C756" s="1"/>
    </row>
    <row r="757" spans="1:3" x14ac:dyDescent="0.2">
      <c r="A757" s="5">
        <v>45678.656848379629</v>
      </c>
      <c r="B757" s="1" t="s">
        <v>4987</v>
      </c>
      <c r="C757" s="1"/>
    </row>
    <row r="758" spans="1:3" x14ac:dyDescent="0.2">
      <c r="A758" s="5">
        <v>45678.656496898147</v>
      </c>
      <c r="B758" s="1" t="s">
        <v>4988</v>
      </c>
      <c r="C758" s="1"/>
    </row>
    <row r="759" spans="1:3" x14ac:dyDescent="0.2">
      <c r="A759" s="5">
        <v>45678.653140636576</v>
      </c>
      <c r="B759" s="1" t="s">
        <v>4989</v>
      </c>
      <c r="C759" s="1"/>
    </row>
    <row r="760" spans="1:3" x14ac:dyDescent="0.2">
      <c r="A760" s="5">
        <v>45678.641045937504</v>
      </c>
      <c r="B760" s="1" t="s">
        <v>4990</v>
      </c>
      <c r="C760" s="1"/>
    </row>
    <row r="761" spans="1:3" x14ac:dyDescent="0.2">
      <c r="A761" s="5">
        <v>45678.640677210649</v>
      </c>
      <c r="B761" s="1" t="s">
        <v>4991</v>
      </c>
      <c r="C761" s="1"/>
    </row>
    <row r="762" spans="1:3" x14ac:dyDescent="0.2">
      <c r="A762" s="5">
        <v>45678.640276840277</v>
      </c>
      <c r="B762" s="1" t="s">
        <v>4992</v>
      </c>
      <c r="C762" s="1"/>
    </row>
    <row r="763" spans="1:3" x14ac:dyDescent="0.2">
      <c r="A763" s="5">
        <v>45678.638654953698</v>
      </c>
      <c r="B763" s="1" t="s">
        <v>4993</v>
      </c>
      <c r="C763" s="1"/>
    </row>
    <row r="764" spans="1:3" x14ac:dyDescent="0.2">
      <c r="A764" s="5">
        <v>45678.638225995368</v>
      </c>
      <c r="B764" s="1" t="s">
        <v>4994</v>
      </c>
      <c r="C764" s="1"/>
    </row>
    <row r="765" spans="1:3" x14ac:dyDescent="0.2">
      <c r="A765" s="5">
        <v>45678.637823414349</v>
      </c>
      <c r="B765" s="1" t="s">
        <v>4995</v>
      </c>
      <c r="C765" s="1"/>
    </row>
    <row r="766" spans="1:3" x14ac:dyDescent="0.2">
      <c r="A766" s="5">
        <v>45678.6333872338</v>
      </c>
      <c r="B766" s="1" t="s">
        <v>4996</v>
      </c>
      <c r="C766" s="1"/>
    </row>
    <row r="767" spans="1:3" x14ac:dyDescent="0.2">
      <c r="A767" s="5">
        <v>45678.632824918983</v>
      </c>
      <c r="B767" s="1" t="s">
        <v>4997</v>
      </c>
      <c r="C767" s="1"/>
    </row>
    <row r="768" spans="1:3" x14ac:dyDescent="0.2">
      <c r="A768" s="5">
        <v>45678.632685405093</v>
      </c>
      <c r="B768" s="1" t="s">
        <v>4998</v>
      </c>
      <c r="C768" s="1"/>
    </row>
    <row r="769" spans="1:3" x14ac:dyDescent="0.2">
      <c r="A769" s="5">
        <v>45678.632403715281</v>
      </c>
      <c r="B769" s="1" t="s">
        <v>4999</v>
      </c>
      <c r="C769" s="1"/>
    </row>
    <row r="770" spans="1:3" x14ac:dyDescent="0.2">
      <c r="A770" s="5">
        <v>45678.632058599542</v>
      </c>
      <c r="B770" s="1" t="s">
        <v>5000</v>
      </c>
      <c r="C770" s="1"/>
    </row>
    <row r="771" spans="1:3" x14ac:dyDescent="0.2">
      <c r="A771" s="5">
        <v>45678.631635821759</v>
      </c>
      <c r="B771" s="1" t="s">
        <v>5001</v>
      </c>
      <c r="C771" s="1"/>
    </row>
    <row r="772" spans="1:3" x14ac:dyDescent="0.2">
      <c r="A772" s="5">
        <v>45678.631282858798</v>
      </c>
      <c r="B772" s="1" t="s">
        <v>5002</v>
      </c>
      <c r="C772" s="1"/>
    </row>
    <row r="773" spans="1:3" x14ac:dyDescent="0.2">
      <c r="A773" s="5">
        <v>45678.630637592592</v>
      </c>
      <c r="B773" s="1" t="s">
        <v>5003</v>
      </c>
      <c r="C773" s="1"/>
    </row>
    <row r="774" spans="1:3" x14ac:dyDescent="0.2">
      <c r="A774" s="5">
        <v>45678.630328148152</v>
      </c>
      <c r="B774" s="1" t="s">
        <v>5004</v>
      </c>
      <c r="C774" s="1"/>
    </row>
    <row r="775" spans="1:3" x14ac:dyDescent="0.2">
      <c r="A775" s="5">
        <v>45678.629236793982</v>
      </c>
      <c r="B775" s="1" t="s">
        <v>5005</v>
      </c>
      <c r="C775" s="1"/>
    </row>
    <row r="776" spans="1:3" x14ac:dyDescent="0.2">
      <c r="A776" s="5">
        <v>45678.628447395837</v>
      </c>
      <c r="B776" s="1" t="s">
        <v>5006</v>
      </c>
      <c r="C776" s="1"/>
    </row>
    <row r="777" spans="1:3" x14ac:dyDescent="0.2">
      <c r="A777" s="5">
        <v>45678.626990543984</v>
      </c>
      <c r="B777" s="1" t="s">
        <v>5007</v>
      </c>
      <c r="C777" s="1"/>
    </row>
    <row r="778" spans="1:3" x14ac:dyDescent="0.2">
      <c r="A778" s="5">
        <v>45678.626699224536</v>
      </c>
      <c r="B778" s="1" t="s">
        <v>5008</v>
      </c>
      <c r="C778" s="1"/>
    </row>
    <row r="779" spans="1:3" x14ac:dyDescent="0.2">
      <c r="A779" s="5">
        <v>45678.626062581017</v>
      </c>
      <c r="B779" s="1" t="s">
        <v>5009</v>
      </c>
      <c r="C779" s="1"/>
    </row>
    <row r="780" spans="1:3" x14ac:dyDescent="0.2">
      <c r="A780" s="5">
        <v>45678.626048634258</v>
      </c>
      <c r="B780" s="1" t="s">
        <v>5010</v>
      </c>
      <c r="C780" s="1"/>
    </row>
    <row r="781" spans="1:3" x14ac:dyDescent="0.2">
      <c r="A781" s="5">
        <v>45678.624418796295</v>
      </c>
      <c r="B781" s="1" t="s">
        <v>5011</v>
      </c>
      <c r="C781" s="1"/>
    </row>
    <row r="782" spans="1:3" x14ac:dyDescent="0.2">
      <c r="A782" s="5">
        <v>45678.624384907409</v>
      </c>
      <c r="B782" s="1" t="s">
        <v>5012</v>
      </c>
      <c r="C782" s="1"/>
    </row>
    <row r="783" spans="1:3" x14ac:dyDescent="0.2">
      <c r="A783" s="5">
        <v>45678.623881354171</v>
      </c>
      <c r="B783" s="1" t="s">
        <v>5013</v>
      </c>
      <c r="C783" s="1"/>
    </row>
    <row r="784" spans="1:3" x14ac:dyDescent="0.2">
      <c r="A784" s="5">
        <v>45678.623666562504</v>
      </c>
      <c r="B784" s="1" t="s">
        <v>5014</v>
      </c>
      <c r="C784" s="1"/>
    </row>
    <row r="785" spans="1:3" x14ac:dyDescent="0.2">
      <c r="A785" s="5">
        <v>45678.623061041668</v>
      </c>
      <c r="B785" s="1" t="s">
        <v>5015</v>
      </c>
      <c r="C785" s="1"/>
    </row>
    <row r="786" spans="1:3" x14ac:dyDescent="0.2">
      <c r="A786" s="5">
        <v>45678.62264854167</v>
      </c>
      <c r="B786" s="1" t="s">
        <v>5016</v>
      </c>
      <c r="C786" s="1"/>
    </row>
    <row r="787" spans="1:3" x14ac:dyDescent="0.2">
      <c r="A787" s="5">
        <v>45678.622507268519</v>
      </c>
      <c r="B787" s="1" t="s">
        <v>5017</v>
      </c>
      <c r="C787" s="1"/>
    </row>
    <row r="788" spans="1:3" x14ac:dyDescent="0.2">
      <c r="A788" s="5">
        <v>45678.622223888888</v>
      </c>
      <c r="B788" s="1" t="s">
        <v>5018</v>
      </c>
      <c r="C788" s="1"/>
    </row>
    <row r="789" spans="1:3" x14ac:dyDescent="0.2">
      <c r="A789" s="5">
        <v>45678.621461863426</v>
      </c>
      <c r="B789" s="1" t="s">
        <v>5019</v>
      </c>
      <c r="C789" s="1"/>
    </row>
    <row r="790" spans="1:3" x14ac:dyDescent="0.2">
      <c r="A790" s="5">
        <v>45678.620227743057</v>
      </c>
      <c r="B790" s="1" t="s">
        <v>5020</v>
      </c>
      <c r="C790" s="1"/>
    </row>
    <row r="791" spans="1:3" x14ac:dyDescent="0.2">
      <c r="A791" s="5">
        <v>45677.346293564813</v>
      </c>
      <c r="B791" s="1" t="s">
        <v>5021</v>
      </c>
      <c r="C791" s="1"/>
    </row>
    <row r="792" spans="1:3" x14ac:dyDescent="0.2">
      <c r="A792" s="5">
        <v>45677.344497592596</v>
      </c>
      <c r="B792" s="1" t="s">
        <v>5022</v>
      </c>
      <c r="C792" s="1"/>
    </row>
    <row r="793" spans="1:3" x14ac:dyDescent="0.2">
      <c r="A793" s="5">
        <v>45677.325890717591</v>
      </c>
      <c r="B793" s="1" t="s">
        <v>5023</v>
      </c>
      <c r="C793" s="1"/>
    </row>
    <row r="794" spans="1:3" x14ac:dyDescent="0.2">
      <c r="A794" s="5">
        <v>45677.312909895831</v>
      </c>
      <c r="B794" s="1" t="s">
        <v>5024</v>
      </c>
      <c r="C794" s="1"/>
    </row>
    <row r="795" spans="1:3" x14ac:dyDescent="0.2">
      <c r="A795" s="5">
        <v>45672.421734837961</v>
      </c>
      <c r="B795" s="1" t="s">
        <v>5025</v>
      </c>
      <c r="C795" s="1"/>
    </row>
    <row r="796" spans="1:3" x14ac:dyDescent="0.2">
      <c r="A796" s="5">
        <v>45672.421484513892</v>
      </c>
      <c r="B796" s="1" t="s">
        <v>5026</v>
      </c>
      <c r="C796" s="1"/>
    </row>
    <row r="797" spans="1:3" x14ac:dyDescent="0.2">
      <c r="A797" s="5">
        <v>45667.681218703699</v>
      </c>
      <c r="B797" s="1" t="s">
        <v>5027</v>
      </c>
      <c r="C797" s="1"/>
    </row>
    <row r="798" spans="1:3" x14ac:dyDescent="0.2">
      <c r="A798" s="5">
        <v>45667.378959293987</v>
      </c>
      <c r="B798" s="1" t="s">
        <v>5028</v>
      </c>
      <c r="C798" s="1"/>
    </row>
    <row r="799" spans="1:3" x14ac:dyDescent="0.2">
      <c r="A799" s="5">
        <v>45667.378657685185</v>
      </c>
      <c r="B799" s="1" t="s">
        <v>5029</v>
      </c>
      <c r="C799" s="1"/>
    </row>
    <row r="800" spans="1:3" x14ac:dyDescent="0.2">
      <c r="A800" s="5">
        <v>45667.376396261578</v>
      </c>
      <c r="B800" s="1" t="s">
        <v>5030</v>
      </c>
      <c r="C800" s="1"/>
    </row>
    <row r="801" spans="1:3" x14ac:dyDescent="0.2">
      <c r="A801" s="5">
        <v>45667.372858460643</v>
      </c>
      <c r="B801" s="1" t="s">
        <v>5031</v>
      </c>
      <c r="C801" s="1"/>
    </row>
    <row r="802" spans="1:3" x14ac:dyDescent="0.2">
      <c r="A802" s="5">
        <v>45667.372550300926</v>
      </c>
      <c r="B802" s="1" t="s">
        <v>5032</v>
      </c>
      <c r="C802" s="1"/>
    </row>
    <row r="803" spans="1:3" x14ac:dyDescent="0.2">
      <c r="A803" s="5">
        <v>45666.602037291668</v>
      </c>
      <c r="B803" s="1" t="s">
        <v>5033</v>
      </c>
      <c r="C803" s="1"/>
    </row>
    <row r="804" spans="1:3" x14ac:dyDescent="0.2">
      <c r="A804" s="5">
        <v>45666.601636400461</v>
      </c>
      <c r="B804" s="1" t="s">
        <v>5034</v>
      </c>
      <c r="C804" s="1"/>
    </row>
    <row r="805" spans="1:3" x14ac:dyDescent="0.2">
      <c r="A805" s="5">
        <v>45666.389204837964</v>
      </c>
      <c r="B805" s="1" t="s">
        <v>5035</v>
      </c>
      <c r="C805" s="1"/>
    </row>
    <row r="806" spans="1:3" x14ac:dyDescent="0.2">
      <c r="A806" s="5">
        <v>45666.388525023147</v>
      </c>
      <c r="B806" s="1" t="s">
        <v>5036</v>
      </c>
      <c r="C806" s="1"/>
    </row>
    <row r="807" spans="1:3" x14ac:dyDescent="0.2">
      <c r="A807" s="5">
        <v>45665.667534837965</v>
      </c>
      <c r="B807" s="1" t="s">
        <v>5037</v>
      </c>
      <c r="C807" s="1"/>
    </row>
    <row r="808" spans="1:3" x14ac:dyDescent="0.2">
      <c r="A808" s="5">
        <v>45665.367027025466</v>
      </c>
      <c r="B808" s="1" t="s">
        <v>5038</v>
      </c>
      <c r="C808" s="1"/>
    </row>
    <row r="809" spans="1:3" x14ac:dyDescent="0.2">
      <c r="A809" s="5">
        <v>45664.583943645834</v>
      </c>
      <c r="B809" s="1" t="s">
        <v>5039</v>
      </c>
      <c r="C809" s="1"/>
    </row>
    <row r="810" spans="1:3" x14ac:dyDescent="0.2">
      <c r="A810" s="5">
        <v>45664.571587256942</v>
      </c>
      <c r="B810" s="1" t="s">
        <v>5040</v>
      </c>
      <c r="C810" s="1"/>
    </row>
    <row r="811" spans="1:3" x14ac:dyDescent="0.2">
      <c r="A811" s="5">
        <v>45664.571163379631</v>
      </c>
      <c r="B811" s="1" t="s">
        <v>5041</v>
      </c>
      <c r="C811" s="1"/>
    </row>
    <row r="812" spans="1:3" x14ac:dyDescent="0.2">
      <c r="A812" s="5">
        <v>45664.391056296299</v>
      </c>
      <c r="B812" s="1" t="s">
        <v>5042</v>
      </c>
      <c r="C812" s="1"/>
    </row>
    <row r="813" spans="1:3" x14ac:dyDescent="0.2">
      <c r="A813" s="5">
        <v>45664.378962430557</v>
      </c>
      <c r="B813" s="1" t="s">
        <v>5043</v>
      </c>
      <c r="C813" s="1"/>
    </row>
    <row r="814" spans="1:3" x14ac:dyDescent="0.2">
      <c r="A814" s="5">
        <v>45664.34929435185</v>
      </c>
      <c r="B814" s="1" t="s">
        <v>5044</v>
      </c>
      <c r="C814" s="1"/>
    </row>
    <row r="815" spans="1:3" x14ac:dyDescent="0.2">
      <c r="A815" s="5">
        <v>45664.347601331014</v>
      </c>
      <c r="B815" s="1" t="s">
        <v>5045</v>
      </c>
      <c r="C815" s="1"/>
    </row>
    <row r="816" spans="1:3" x14ac:dyDescent="0.2">
      <c r="A816" s="5">
        <v>45664.324433703703</v>
      </c>
      <c r="B816" s="1" t="s">
        <v>5046</v>
      </c>
      <c r="C816" s="1"/>
    </row>
    <row r="817" spans="1:3" x14ac:dyDescent="0.2">
      <c r="A817" s="5">
        <v>45663.514955682869</v>
      </c>
      <c r="B817" s="1" t="s">
        <v>5047</v>
      </c>
      <c r="C817" s="1"/>
    </row>
    <row r="818" spans="1:3" x14ac:dyDescent="0.2">
      <c r="A818" s="5">
        <v>45663.514928425924</v>
      </c>
      <c r="B818" s="1" t="s">
        <v>5048</v>
      </c>
      <c r="C818" s="1"/>
    </row>
    <row r="819" spans="1:3" x14ac:dyDescent="0.2">
      <c r="A819" s="5">
        <v>45663.468040324078</v>
      </c>
      <c r="B819" s="1" t="s">
        <v>5049</v>
      </c>
      <c r="C819" s="1"/>
    </row>
    <row r="820" spans="1:3" x14ac:dyDescent="0.2">
      <c r="A820" s="5">
        <v>45663.46233199074</v>
      </c>
      <c r="B820" s="1" t="s">
        <v>5050</v>
      </c>
      <c r="C820" s="1"/>
    </row>
    <row r="821" spans="1:3" x14ac:dyDescent="0.2">
      <c r="A821" s="5">
        <v>45663.461857326387</v>
      </c>
      <c r="B821" s="1" t="s">
        <v>5051</v>
      </c>
      <c r="C821" s="1"/>
    </row>
    <row r="822" spans="1:3" x14ac:dyDescent="0.2">
      <c r="A822" s="5">
        <v>45663.461461643514</v>
      </c>
      <c r="B822" s="1" t="s">
        <v>5052</v>
      </c>
      <c r="C822" s="1"/>
    </row>
    <row r="823" spans="1:3" x14ac:dyDescent="0.2">
      <c r="A823" s="5">
        <v>45663.459379351851</v>
      </c>
      <c r="B823" s="1" t="s">
        <v>5053</v>
      </c>
      <c r="C823" s="1"/>
    </row>
    <row r="824" spans="1:3" x14ac:dyDescent="0.2">
      <c r="A824" s="5">
        <v>45663.451658391205</v>
      </c>
      <c r="B824" s="1" t="s">
        <v>5054</v>
      </c>
      <c r="C824" s="1"/>
    </row>
    <row r="825" spans="1:3" x14ac:dyDescent="0.2">
      <c r="A825" s="5">
        <v>45663.449538090281</v>
      </c>
      <c r="B825" s="1" t="s">
        <v>5055</v>
      </c>
      <c r="C825" s="1"/>
    </row>
    <row r="826" spans="1:3" x14ac:dyDescent="0.2">
      <c r="A826" s="5">
        <v>45663.448720567132</v>
      </c>
      <c r="B826" s="1" t="s">
        <v>5056</v>
      </c>
      <c r="C826" s="1"/>
    </row>
    <row r="827" spans="1:3" x14ac:dyDescent="0.2">
      <c r="A827" s="5">
        <v>45663.433614340276</v>
      </c>
      <c r="B827" s="1" t="s">
        <v>5057</v>
      </c>
      <c r="C827" s="1"/>
    </row>
    <row r="828" spans="1:3" x14ac:dyDescent="0.2">
      <c r="A828" s="5">
        <v>45663.429569502317</v>
      </c>
      <c r="B828" s="1" t="s">
        <v>5058</v>
      </c>
      <c r="C828" s="1"/>
    </row>
    <row r="829" spans="1:3" x14ac:dyDescent="0.2">
      <c r="A829" s="5">
        <v>45663.394731296299</v>
      </c>
      <c r="B829" s="1" t="s">
        <v>5059</v>
      </c>
      <c r="C829" s="1"/>
    </row>
    <row r="830" spans="1:3" x14ac:dyDescent="0.2">
      <c r="A830" s="5">
        <v>45663.326837754634</v>
      </c>
      <c r="B830" s="1" t="s">
        <v>5060</v>
      </c>
      <c r="C830" s="1"/>
    </row>
    <row r="831" spans="1:3" x14ac:dyDescent="0.2">
      <c r="A831" s="5">
        <v>45660.658911076389</v>
      </c>
      <c r="B831" s="1" t="s">
        <v>5061</v>
      </c>
      <c r="C831" s="1"/>
    </row>
    <row r="832" spans="1:3" x14ac:dyDescent="0.2">
      <c r="A832" s="5">
        <v>45660.628413819446</v>
      </c>
      <c r="B832" s="1" t="s">
        <v>5062</v>
      </c>
      <c r="C832" s="1"/>
    </row>
    <row r="833" spans="1:3" x14ac:dyDescent="0.2">
      <c r="A833" s="5">
        <v>45660.625703275466</v>
      </c>
      <c r="B833" s="1" t="s">
        <v>5063</v>
      </c>
      <c r="C833" s="1"/>
    </row>
    <row r="834" spans="1:3" x14ac:dyDescent="0.2">
      <c r="A834" s="5">
        <v>45660.599978599537</v>
      </c>
      <c r="B834" s="1" t="s">
        <v>5064</v>
      </c>
      <c r="C834" s="1"/>
    </row>
    <row r="835" spans="1:3" x14ac:dyDescent="0.2">
      <c r="A835" s="5">
        <v>45660.357175069439</v>
      </c>
      <c r="B835" s="1" t="s">
        <v>5065</v>
      </c>
      <c r="C835" s="1"/>
    </row>
    <row r="836" spans="1:3" x14ac:dyDescent="0.2">
      <c r="A836" s="5">
        <v>45638.560454479171</v>
      </c>
      <c r="B836" s="1" t="s">
        <v>5066</v>
      </c>
      <c r="C836" s="1"/>
    </row>
    <row r="837" spans="1:3" x14ac:dyDescent="0.2">
      <c r="A837" s="5">
        <v>45636.434527766207</v>
      </c>
      <c r="B837" s="1" t="s">
        <v>5067</v>
      </c>
      <c r="C837" s="1"/>
    </row>
    <row r="838" spans="1:3" x14ac:dyDescent="0.2">
      <c r="A838" s="5">
        <v>45636.379023217596</v>
      </c>
      <c r="B838" s="1" t="s">
        <v>5068</v>
      </c>
      <c r="C838" s="1"/>
    </row>
    <row r="839" spans="1:3" x14ac:dyDescent="0.2">
      <c r="A839" s="5">
        <v>45636.336945717594</v>
      </c>
      <c r="B839" s="1" t="s">
        <v>5069</v>
      </c>
      <c r="C839" s="1"/>
    </row>
    <row r="840" spans="1:3" x14ac:dyDescent="0.2">
      <c r="A840" s="5">
        <v>45636.33373914352</v>
      </c>
      <c r="B840" s="1" t="s">
        <v>5070</v>
      </c>
      <c r="C840" s="1"/>
    </row>
    <row r="841" spans="1:3" x14ac:dyDescent="0.2">
      <c r="A841" s="5">
        <v>45636.333686111117</v>
      </c>
      <c r="B841" s="1" t="s">
        <v>5071</v>
      </c>
      <c r="C841" s="1"/>
    </row>
    <row r="842" spans="1:3" x14ac:dyDescent="0.2">
      <c r="A842" s="5">
        <v>45636.331356782408</v>
      </c>
      <c r="B842" s="1" t="s">
        <v>5072</v>
      </c>
      <c r="C842" s="1"/>
    </row>
    <row r="843" spans="1:3" x14ac:dyDescent="0.2">
      <c r="A843" s="5">
        <v>45636.330641597218</v>
      </c>
      <c r="B843" s="1" t="s">
        <v>5073</v>
      </c>
      <c r="C843" s="1"/>
    </row>
    <row r="844" spans="1:3" x14ac:dyDescent="0.2">
      <c r="A844" s="5">
        <v>45635.404056030093</v>
      </c>
      <c r="B844" s="1" t="s">
        <v>5074</v>
      </c>
      <c r="C844" s="1"/>
    </row>
    <row r="845" spans="1:3" x14ac:dyDescent="0.2">
      <c r="A845" s="5">
        <v>45635.400381712963</v>
      </c>
      <c r="B845" s="1" t="s">
        <v>5075</v>
      </c>
      <c r="C845" s="1"/>
    </row>
    <row r="846" spans="1:3" x14ac:dyDescent="0.2">
      <c r="A846" s="5">
        <v>45635.372510312503</v>
      </c>
      <c r="B846" s="1" t="s">
        <v>5076</v>
      </c>
      <c r="C846" s="1"/>
    </row>
    <row r="847" spans="1:3" x14ac:dyDescent="0.2">
      <c r="A847" s="5">
        <v>45635.363347881939</v>
      </c>
      <c r="B847" s="1" t="s">
        <v>5077</v>
      </c>
      <c r="C847" s="1"/>
    </row>
    <row r="848" spans="1:3" x14ac:dyDescent="0.2">
      <c r="A848" s="5">
        <v>45635.355013275461</v>
      </c>
      <c r="B848" s="1" t="s">
        <v>5078</v>
      </c>
      <c r="C848" s="1"/>
    </row>
    <row r="849" spans="1:3" x14ac:dyDescent="0.2">
      <c r="A849" s="5">
        <v>45635.353851412037</v>
      </c>
      <c r="B849" s="1" t="s">
        <v>5079</v>
      </c>
      <c r="C849" s="1"/>
    </row>
    <row r="850" spans="1:3" x14ac:dyDescent="0.2">
      <c r="A850" s="5">
        <v>45635.351849895829</v>
      </c>
      <c r="B850" s="1" t="s">
        <v>5080</v>
      </c>
      <c r="C850" s="1"/>
    </row>
    <row r="851" spans="1:3" x14ac:dyDescent="0.2">
      <c r="A851" s="5">
        <v>45635.306958078705</v>
      </c>
      <c r="B851" s="1" t="s">
        <v>5081</v>
      </c>
      <c r="C851" s="1"/>
    </row>
    <row r="852" spans="1:3" x14ac:dyDescent="0.2">
      <c r="A852" s="5">
        <v>45632.683140601854</v>
      </c>
      <c r="B852" s="1" t="s">
        <v>5082</v>
      </c>
      <c r="C852" s="1"/>
    </row>
    <row r="853" spans="1:3" x14ac:dyDescent="0.2">
      <c r="A853" s="5">
        <v>45632.677900844908</v>
      </c>
      <c r="B853" s="1" t="s">
        <v>5083</v>
      </c>
      <c r="C853" s="1"/>
    </row>
    <row r="854" spans="1:3" x14ac:dyDescent="0.2">
      <c r="A854" s="5">
        <v>45632.597286655087</v>
      </c>
      <c r="B854" s="1" t="s">
        <v>5084</v>
      </c>
      <c r="C854" s="1"/>
    </row>
    <row r="855" spans="1:3" x14ac:dyDescent="0.2">
      <c r="A855" s="5">
        <v>45632.595913923607</v>
      </c>
      <c r="B855" s="1" t="s">
        <v>5085</v>
      </c>
      <c r="C855" s="1"/>
    </row>
    <row r="856" spans="1:3" x14ac:dyDescent="0.2">
      <c r="A856" s="5">
        <v>45632.593919212959</v>
      </c>
      <c r="B856" s="1" t="s">
        <v>5086</v>
      </c>
      <c r="C856" s="1"/>
    </row>
    <row r="857" spans="1:3" x14ac:dyDescent="0.2">
      <c r="A857" s="5">
        <v>45632.590986238429</v>
      </c>
      <c r="B857" s="1" t="s">
        <v>5087</v>
      </c>
      <c r="C857" s="1"/>
    </row>
    <row r="858" spans="1:3" x14ac:dyDescent="0.2">
      <c r="A858" s="5">
        <v>45632.589245254625</v>
      </c>
      <c r="B858" s="1" t="s">
        <v>5088</v>
      </c>
      <c r="C858" s="1"/>
    </row>
    <row r="859" spans="1:3" x14ac:dyDescent="0.2">
      <c r="A859" s="5">
        <v>45632.406770324073</v>
      </c>
      <c r="B859" s="1" t="s">
        <v>5089</v>
      </c>
      <c r="C859" s="1"/>
    </row>
    <row r="860" spans="1:3" x14ac:dyDescent="0.2">
      <c r="A860" s="5">
        <v>45632.387624537034</v>
      </c>
      <c r="B860" s="1" t="s">
        <v>5090</v>
      </c>
      <c r="C860" s="1"/>
    </row>
    <row r="861" spans="1:3" x14ac:dyDescent="0.2">
      <c r="A861" s="5">
        <v>45632.337236724532</v>
      </c>
      <c r="B861" s="1" t="s">
        <v>5091</v>
      </c>
      <c r="C861" s="1"/>
    </row>
    <row r="862" spans="1:3" x14ac:dyDescent="0.2">
      <c r="A862" s="5">
        <v>45632.325865624996</v>
      </c>
      <c r="B862" s="1" t="s">
        <v>5092</v>
      </c>
      <c r="C862" s="1"/>
    </row>
    <row r="863" spans="1:3" x14ac:dyDescent="0.2">
      <c r="A863" s="5">
        <v>45631.475950833337</v>
      </c>
      <c r="B863" s="1" t="s">
        <v>5093</v>
      </c>
      <c r="C863" s="1"/>
    </row>
    <row r="864" spans="1:3" x14ac:dyDescent="0.2">
      <c r="A864" s="5">
        <v>45631.467963692128</v>
      </c>
      <c r="B864" s="1" t="s">
        <v>5094</v>
      </c>
      <c r="C864" s="1"/>
    </row>
    <row r="865" spans="1:3" x14ac:dyDescent="0.2">
      <c r="A865" s="5">
        <v>45631.467599039352</v>
      </c>
      <c r="B865" s="1" t="s">
        <v>5095</v>
      </c>
      <c r="C865" s="1"/>
    </row>
    <row r="866" spans="1:3" x14ac:dyDescent="0.2">
      <c r="A866" s="5">
        <v>45631.467300254633</v>
      </c>
      <c r="B866" s="1" t="s">
        <v>5096</v>
      </c>
      <c r="C866" s="1"/>
    </row>
    <row r="867" spans="1:3" x14ac:dyDescent="0.2">
      <c r="A867" s="5">
        <v>45631.445155370369</v>
      </c>
      <c r="B867" s="1" t="s">
        <v>5097</v>
      </c>
      <c r="C867" s="1"/>
    </row>
    <row r="868" spans="1:3" x14ac:dyDescent="0.2">
      <c r="A868" s="5">
        <v>45631.420798425926</v>
      </c>
      <c r="B868" s="1" t="s">
        <v>5098</v>
      </c>
      <c r="C868" s="1"/>
    </row>
    <row r="869" spans="1:3" x14ac:dyDescent="0.2">
      <c r="A869" s="5">
        <v>45631.318656840274</v>
      </c>
      <c r="B869" s="1" t="s">
        <v>5099</v>
      </c>
      <c r="C869" s="1"/>
    </row>
    <row r="870" spans="1:3" x14ac:dyDescent="0.2">
      <c r="A870" s="5">
        <v>45614.505958923612</v>
      </c>
      <c r="B870" s="1" t="s">
        <v>5100</v>
      </c>
      <c r="C870" s="1"/>
    </row>
    <row r="871" spans="1:3" x14ac:dyDescent="0.2">
      <c r="A871" s="5">
        <v>45614.377730358799</v>
      </c>
      <c r="B871" s="1" t="s">
        <v>5101</v>
      </c>
      <c r="C871" s="1"/>
    </row>
    <row r="872" spans="1:3" x14ac:dyDescent="0.2">
      <c r="A872" s="5">
        <v>45614.365889270834</v>
      </c>
      <c r="B872" s="1" t="s">
        <v>5102</v>
      </c>
      <c r="C872" s="1"/>
    </row>
    <row r="873" spans="1:3" x14ac:dyDescent="0.2">
      <c r="A873" s="5">
        <v>45614.347980694445</v>
      </c>
      <c r="B873" s="1" t="s">
        <v>5103</v>
      </c>
      <c r="C873" s="1"/>
    </row>
    <row r="874" spans="1:3" x14ac:dyDescent="0.2">
      <c r="A874" s="5">
        <v>45614.305163865742</v>
      </c>
      <c r="B874" s="1" t="s">
        <v>5104</v>
      </c>
      <c r="C874" s="1"/>
    </row>
    <row r="875" spans="1:3" x14ac:dyDescent="0.2">
      <c r="A875" s="5">
        <v>45611.414269722227</v>
      </c>
      <c r="B875" s="1" t="s">
        <v>5105</v>
      </c>
      <c r="C875" s="1"/>
    </row>
    <row r="876" spans="1:3" x14ac:dyDescent="0.2">
      <c r="A876" s="5">
        <v>45611.393734942132</v>
      </c>
      <c r="B876" s="1" t="s">
        <v>5106</v>
      </c>
      <c r="C876" s="1"/>
    </row>
    <row r="877" spans="1:3" x14ac:dyDescent="0.2">
      <c r="A877" s="5">
        <v>45611.391926539349</v>
      </c>
      <c r="B877" s="1" t="s">
        <v>5107</v>
      </c>
      <c r="C877" s="1"/>
    </row>
    <row r="878" spans="1:3" x14ac:dyDescent="0.2">
      <c r="A878" s="5">
        <v>45611.385457164353</v>
      </c>
      <c r="B878" s="1" t="s">
        <v>5108</v>
      </c>
      <c r="C878" s="1"/>
    </row>
    <row r="879" spans="1:3" x14ac:dyDescent="0.2">
      <c r="A879" s="5">
        <v>45610.592920914351</v>
      </c>
      <c r="B879" s="1" t="s">
        <v>5109</v>
      </c>
      <c r="C879" s="1"/>
    </row>
    <row r="880" spans="1:3" x14ac:dyDescent="0.2">
      <c r="A880" s="5">
        <v>45610.592509386574</v>
      </c>
      <c r="B880" s="1" t="s">
        <v>5110</v>
      </c>
      <c r="C880" s="1"/>
    </row>
    <row r="881" spans="1:3" x14ac:dyDescent="0.2">
      <c r="A881" s="5">
        <v>45610.410117650463</v>
      </c>
      <c r="B881" s="1" t="s">
        <v>5111</v>
      </c>
      <c r="C881" s="1"/>
    </row>
    <row r="882" spans="1:3" x14ac:dyDescent="0.2">
      <c r="A882" s="5">
        <v>45610.401070428241</v>
      </c>
      <c r="B882" s="1" t="s">
        <v>5112</v>
      </c>
      <c r="C882" s="1"/>
    </row>
    <row r="883" spans="1:3" x14ac:dyDescent="0.2">
      <c r="A883" s="5">
        <v>45610.392860324078</v>
      </c>
      <c r="B883" s="1" t="s">
        <v>5113</v>
      </c>
      <c r="C883" s="1"/>
    </row>
    <row r="884" spans="1:3" x14ac:dyDescent="0.2">
      <c r="A884" s="5">
        <v>45610.390267557872</v>
      </c>
      <c r="B884" s="1" t="s">
        <v>5114</v>
      </c>
      <c r="C884" s="1"/>
    </row>
    <row r="885" spans="1:3" x14ac:dyDescent="0.2">
      <c r="A885" s="5">
        <v>45610.386654050926</v>
      </c>
      <c r="B885" s="1" t="s">
        <v>5115</v>
      </c>
      <c r="C885" s="1"/>
    </row>
    <row r="886" spans="1:3" x14ac:dyDescent="0.2">
      <c r="A886" s="5">
        <v>45610.362217638889</v>
      </c>
      <c r="B886" s="1" t="s">
        <v>5116</v>
      </c>
      <c r="C886" s="1"/>
    </row>
    <row r="887" spans="1:3" x14ac:dyDescent="0.2">
      <c r="A887" s="5">
        <v>45609.62439975694</v>
      </c>
      <c r="B887" s="1" t="s">
        <v>5117</v>
      </c>
      <c r="C887" s="1"/>
    </row>
    <row r="888" spans="1:3" x14ac:dyDescent="0.2">
      <c r="A888" s="5">
        <v>45609.36980241898</v>
      </c>
      <c r="B888" s="1" t="s">
        <v>5118</v>
      </c>
      <c r="C888" s="1"/>
    </row>
    <row r="889" spans="1:3" x14ac:dyDescent="0.2">
      <c r="A889" s="5">
        <v>45604.663049525465</v>
      </c>
      <c r="B889" s="1" t="s">
        <v>5119</v>
      </c>
      <c r="C889" s="1"/>
    </row>
    <row r="890" spans="1:3" x14ac:dyDescent="0.2">
      <c r="A890" s="5">
        <v>45604.447628900467</v>
      </c>
      <c r="B890" s="1" t="s">
        <v>5120</v>
      </c>
      <c r="C890" s="1"/>
    </row>
    <row r="891" spans="1:3" x14ac:dyDescent="0.2">
      <c r="A891" s="5">
        <v>45603.444111886573</v>
      </c>
      <c r="B891" s="1" t="s">
        <v>5121</v>
      </c>
      <c r="C891" s="1"/>
    </row>
    <row r="892" spans="1:3" x14ac:dyDescent="0.2">
      <c r="A892" s="5">
        <v>45603.443731296298</v>
      </c>
      <c r="B892" s="1" t="s">
        <v>5122</v>
      </c>
      <c r="C892" s="1"/>
    </row>
    <row r="893" spans="1:3" x14ac:dyDescent="0.2">
      <c r="A893" s="5">
        <v>45603.443341215279</v>
      </c>
      <c r="B893" s="1" t="s">
        <v>5123</v>
      </c>
      <c r="C893" s="1"/>
    </row>
    <row r="894" spans="1:3" x14ac:dyDescent="0.2">
      <c r="A894" s="5">
        <v>45603.439624189814</v>
      </c>
      <c r="B894" s="1" t="s">
        <v>5124</v>
      </c>
      <c r="C894" s="1"/>
    </row>
    <row r="895" spans="1:3" x14ac:dyDescent="0.2">
      <c r="A895" s="5">
        <v>45603.428401851852</v>
      </c>
      <c r="B895" s="1" t="s">
        <v>5125</v>
      </c>
      <c r="C895" s="1"/>
    </row>
    <row r="896" spans="1:3" x14ac:dyDescent="0.2">
      <c r="A896" s="5">
        <v>45603.352852835647</v>
      </c>
      <c r="B896" s="1" t="s">
        <v>5126</v>
      </c>
      <c r="C896" s="1"/>
    </row>
    <row r="897" spans="1:3" x14ac:dyDescent="0.2">
      <c r="A897" s="5">
        <v>45603.33736553241</v>
      </c>
      <c r="B897" s="1" t="s">
        <v>5127</v>
      </c>
      <c r="C897" s="1"/>
    </row>
    <row r="898" spans="1:3" x14ac:dyDescent="0.2">
      <c r="A898" s="5">
        <v>45603.336392013887</v>
      </c>
      <c r="B898" s="1" t="s">
        <v>5128</v>
      </c>
      <c r="C898" s="1"/>
    </row>
    <row r="899" spans="1:3" x14ac:dyDescent="0.2">
      <c r="A899" s="5">
        <v>45603.332420729166</v>
      </c>
      <c r="B899" s="1" t="s">
        <v>5129</v>
      </c>
      <c r="C899" s="1"/>
    </row>
    <row r="900" spans="1:3" x14ac:dyDescent="0.2">
      <c r="A900" s="5">
        <v>45603.328034166669</v>
      </c>
      <c r="B900" s="1" t="s">
        <v>5130</v>
      </c>
      <c r="C900" s="1"/>
    </row>
    <row r="901" spans="1:3" x14ac:dyDescent="0.2">
      <c r="A901" s="5">
        <v>45602.631130462963</v>
      </c>
      <c r="B901" s="1" t="s">
        <v>5131</v>
      </c>
      <c r="C901" s="1"/>
    </row>
    <row r="902" spans="1:3" x14ac:dyDescent="0.2">
      <c r="A902" s="5">
        <v>45602.355278912037</v>
      </c>
      <c r="B902" s="1" t="s">
        <v>5132</v>
      </c>
      <c r="C902" s="1"/>
    </row>
    <row r="903" spans="1:3" x14ac:dyDescent="0.2">
      <c r="A903" s="5">
        <v>45601.641567025465</v>
      </c>
      <c r="B903" s="1" t="s">
        <v>5133</v>
      </c>
      <c r="C903" s="1"/>
    </row>
    <row r="904" spans="1:3" x14ac:dyDescent="0.2">
      <c r="A904" s="5">
        <v>45574.318682094905</v>
      </c>
      <c r="B904" s="1" t="s">
        <v>5134</v>
      </c>
      <c r="C904" s="1"/>
    </row>
    <row r="905" spans="1:3" x14ac:dyDescent="0.2">
      <c r="A905" s="5">
        <v>45573.645866967592</v>
      </c>
      <c r="B905" s="1" t="s">
        <v>5135</v>
      </c>
      <c r="C905" s="1"/>
    </row>
    <row r="906" spans="1:3" x14ac:dyDescent="0.2">
      <c r="A906" s="5">
        <v>45573.62617427083</v>
      </c>
      <c r="B906" s="1" t="s">
        <v>5136</v>
      </c>
      <c r="C906" s="1"/>
    </row>
    <row r="907" spans="1:3" x14ac:dyDescent="0.2">
      <c r="A907" s="5">
        <v>45573.617424791664</v>
      </c>
      <c r="B907" s="1" t="s">
        <v>5137</v>
      </c>
      <c r="C907" s="1"/>
    </row>
    <row r="908" spans="1:3" x14ac:dyDescent="0.2">
      <c r="A908" s="5">
        <v>45573.346519502316</v>
      </c>
      <c r="B908" s="1" t="s">
        <v>5138</v>
      </c>
      <c r="C908" s="1"/>
    </row>
    <row r="909" spans="1:3" x14ac:dyDescent="0.2">
      <c r="A909" s="5">
        <v>45572.369697592592</v>
      </c>
      <c r="B909" s="1" t="s">
        <v>5139</v>
      </c>
      <c r="C909" s="1"/>
    </row>
    <row r="910" spans="1:3" x14ac:dyDescent="0.2">
      <c r="A910" s="5">
        <v>45572.368834814813</v>
      </c>
      <c r="B910" s="1" t="s">
        <v>5140</v>
      </c>
      <c r="C910" s="1"/>
    </row>
    <row r="911" spans="1:3" x14ac:dyDescent="0.2">
      <c r="A911" s="5">
        <v>45572.307348518516</v>
      </c>
      <c r="B911" s="1" t="s">
        <v>5141</v>
      </c>
      <c r="C911" s="1"/>
    </row>
    <row r="912" spans="1:3" x14ac:dyDescent="0.2">
      <c r="A912" s="5">
        <v>45572.303583252316</v>
      </c>
      <c r="B912" s="1" t="s">
        <v>5142</v>
      </c>
      <c r="C912" s="1"/>
    </row>
    <row r="913" spans="1:3" x14ac:dyDescent="0.2">
      <c r="A913" s="5">
        <v>45569.738438159722</v>
      </c>
      <c r="B913" s="1" t="s">
        <v>5143</v>
      </c>
      <c r="C913" s="1"/>
    </row>
    <row r="914" spans="1:3" x14ac:dyDescent="0.2">
      <c r="A914" s="5">
        <v>45569.645126817129</v>
      </c>
      <c r="B914" s="1" t="s">
        <v>5144</v>
      </c>
      <c r="C914" s="1"/>
    </row>
    <row r="915" spans="1:3" x14ac:dyDescent="0.2">
      <c r="A915" s="5">
        <v>45569.644755914356</v>
      </c>
      <c r="B915" s="1" t="s">
        <v>5145</v>
      </c>
      <c r="C915" s="1"/>
    </row>
    <row r="916" spans="1:3" x14ac:dyDescent="0.2">
      <c r="A916" s="5">
        <v>45569.617128240745</v>
      </c>
      <c r="B916" s="1" t="s">
        <v>5146</v>
      </c>
      <c r="C916" s="1"/>
    </row>
    <row r="917" spans="1:3" x14ac:dyDescent="0.2">
      <c r="A917" s="5">
        <v>45569.596568587964</v>
      </c>
      <c r="B917" s="1" t="s">
        <v>5147</v>
      </c>
      <c r="C917" s="1"/>
    </row>
    <row r="918" spans="1:3" x14ac:dyDescent="0.2">
      <c r="A918" s="5">
        <v>45569.542731493057</v>
      </c>
      <c r="B918" s="1" t="s">
        <v>5148</v>
      </c>
      <c r="C918" s="1"/>
    </row>
    <row r="919" spans="1:3" x14ac:dyDescent="0.2">
      <c r="A919" s="5">
        <v>45569.471985358796</v>
      </c>
      <c r="B919" s="1" t="s">
        <v>5149</v>
      </c>
      <c r="C919" s="1"/>
    </row>
    <row r="920" spans="1:3" x14ac:dyDescent="0.2">
      <c r="A920" s="5">
        <v>45569.422333541668</v>
      </c>
      <c r="B920" s="1" t="s">
        <v>5150</v>
      </c>
      <c r="C920" s="1"/>
    </row>
    <row r="921" spans="1:3" x14ac:dyDescent="0.2">
      <c r="A921" s="5">
        <v>45569.381671527779</v>
      </c>
      <c r="B921" s="1" t="s">
        <v>5151</v>
      </c>
      <c r="C921" s="1"/>
    </row>
    <row r="922" spans="1:3" x14ac:dyDescent="0.2">
      <c r="A922" s="5">
        <v>45568.723698287038</v>
      </c>
      <c r="B922" s="1" t="s">
        <v>5152</v>
      </c>
      <c r="C922" s="1"/>
    </row>
    <row r="923" spans="1:3" x14ac:dyDescent="0.2">
      <c r="A923" s="5">
        <v>45568.377053564815</v>
      </c>
      <c r="B923" s="1" t="s">
        <v>5153</v>
      </c>
      <c r="C923" s="1"/>
    </row>
    <row r="924" spans="1:3" x14ac:dyDescent="0.2">
      <c r="A924" s="5">
        <v>45568.362962106483</v>
      </c>
      <c r="B924" s="1" t="s">
        <v>5154</v>
      </c>
      <c r="C924" s="1"/>
    </row>
    <row r="925" spans="1:3" x14ac:dyDescent="0.2">
      <c r="A925" s="5">
        <v>45568.362005798612</v>
      </c>
      <c r="B925" s="1" t="s">
        <v>5155</v>
      </c>
      <c r="C925" s="1"/>
    </row>
    <row r="926" spans="1:3" x14ac:dyDescent="0.2">
      <c r="A926" s="5">
        <v>45568.359799675927</v>
      </c>
      <c r="B926" s="1" t="s">
        <v>5156</v>
      </c>
      <c r="C926" s="1"/>
    </row>
    <row r="927" spans="1:3" x14ac:dyDescent="0.2">
      <c r="A927" s="5">
        <v>45568.323516053242</v>
      </c>
      <c r="B927" s="1" t="s">
        <v>5157</v>
      </c>
      <c r="C927" s="1"/>
    </row>
    <row r="928" spans="1:3" x14ac:dyDescent="0.2">
      <c r="A928" s="5">
        <v>45568.310288298613</v>
      </c>
      <c r="B928" s="1" t="s">
        <v>5158</v>
      </c>
      <c r="C928" s="1"/>
    </row>
    <row r="929" spans="1:3" x14ac:dyDescent="0.2">
      <c r="A929" s="5">
        <v>45567.666135023144</v>
      </c>
      <c r="B929" s="1" t="s">
        <v>5159</v>
      </c>
      <c r="C929" s="1"/>
    </row>
    <row r="930" spans="1:3" x14ac:dyDescent="0.2">
      <c r="A930" s="5">
        <v>45567.663905127316</v>
      </c>
      <c r="B930" s="1" t="s">
        <v>5160</v>
      </c>
      <c r="C930" s="1"/>
    </row>
    <row r="931" spans="1:3" x14ac:dyDescent="0.2">
      <c r="A931" s="5">
        <v>45567.636904363426</v>
      </c>
      <c r="B931" s="1" t="s">
        <v>5161</v>
      </c>
      <c r="C931" s="1"/>
    </row>
    <row r="932" spans="1:3" x14ac:dyDescent="0.2">
      <c r="A932" s="5">
        <v>45567.510527939812</v>
      </c>
      <c r="B932" s="1" t="s">
        <v>5162</v>
      </c>
      <c r="C932" s="1"/>
    </row>
    <row r="933" spans="1:3" x14ac:dyDescent="0.2">
      <c r="A933" s="5">
        <v>45567.499580439813</v>
      </c>
      <c r="B933" s="1" t="s">
        <v>5163</v>
      </c>
      <c r="C933" s="1"/>
    </row>
    <row r="934" spans="1:3" x14ac:dyDescent="0.2">
      <c r="A934" s="5">
        <v>45567.352732511572</v>
      </c>
      <c r="B934" s="1" t="s">
        <v>5164</v>
      </c>
      <c r="C934" s="1"/>
    </row>
    <row r="935" spans="1:3" x14ac:dyDescent="0.2">
      <c r="A935" s="5">
        <v>45567.352331967588</v>
      </c>
      <c r="B935" s="1" t="s">
        <v>5165</v>
      </c>
      <c r="C935" s="1"/>
    </row>
    <row r="936" spans="1:3" x14ac:dyDescent="0.2">
      <c r="A936" s="5">
        <v>45567.319896550922</v>
      </c>
      <c r="B936" s="1" t="s">
        <v>5166</v>
      </c>
      <c r="C936" s="1"/>
    </row>
    <row r="937" spans="1:3" x14ac:dyDescent="0.2">
      <c r="A937" s="5">
        <v>45556.399802476852</v>
      </c>
      <c r="B937" s="1" t="s">
        <v>5167</v>
      </c>
      <c r="C937" s="1"/>
    </row>
    <row r="938" spans="1:3" x14ac:dyDescent="0.2">
      <c r="A938" s="5">
        <v>45553.347109826384</v>
      </c>
      <c r="B938" s="1" t="s">
        <v>5168</v>
      </c>
      <c r="C938" s="1"/>
    </row>
    <row r="939" spans="1:3" x14ac:dyDescent="0.2">
      <c r="A939" s="5">
        <v>45553.33851001157</v>
      </c>
      <c r="B939" s="1" t="s">
        <v>5169</v>
      </c>
      <c r="C939" s="1"/>
    </row>
    <row r="940" spans="1:3" x14ac:dyDescent="0.2">
      <c r="A940" s="5">
        <v>45553.315518854171</v>
      </c>
      <c r="B940" s="1" t="s">
        <v>5170</v>
      </c>
      <c r="C940" s="1"/>
    </row>
    <row r="941" spans="1:3" x14ac:dyDescent="0.2">
      <c r="A941" s="5">
        <v>45553.311194293987</v>
      </c>
      <c r="B941" s="1" t="s">
        <v>5171</v>
      </c>
      <c r="C941" s="1"/>
    </row>
    <row r="942" spans="1:3" x14ac:dyDescent="0.2">
      <c r="A942" s="5">
        <v>45553.310163587965</v>
      </c>
      <c r="B942" s="1" t="s">
        <v>5172</v>
      </c>
      <c r="C942" s="1"/>
    </row>
    <row r="943" spans="1:3" x14ac:dyDescent="0.2">
      <c r="A943" s="5">
        <v>45553.306308703701</v>
      </c>
      <c r="B943" s="1" t="s">
        <v>5173</v>
      </c>
      <c r="C943" s="1"/>
    </row>
    <row r="944" spans="1:3" x14ac:dyDescent="0.2">
      <c r="A944" s="5">
        <v>45553.30506027778</v>
      </c>
      <c r="B944" s="1" t="s">
        <v>5174</v>
      </c>
      <c r="C944" s="1"/>
    </row>
    <row r="945" spans="1:3" x14ac:dyDescent="0.2">
      <c r="A945" s="5">
        <v>45553.303582002314</v>
      </c>
      <c r="B945" s="1" t="s">
        <v>5175</v>
      </c>
      <c r="C945" s="1"/>
    </row>
    <row r="946" spans="1:3" x14ac:dyDescent="0.2">
      <c r="A946" s="5">
        <v>45552.370792314818</v>
      </c>
      <c r="B946" s="1" t="s">
        <v>5176</v>
      </c>
      <c r="C946" s="1"/>
    </row>
    <row r="947" spans="1:3" x14ac:dyDescent="0.2">
      <c r="A947" s="5">
        <v>45547.416534548611</v>
      </c>
      <c r="B947" s="1" t="s">
        <v>5177</v>
      </c>
      <c r="C947" s="1"/>
    </row>
    <row r="948" spans="1:3" x14ac:dyDescent="0.2">
      <c r="A948" s="5">
        <v>45546.604806678239</v>
      </c>
      <c r="B948" s="1" t="s">
        <v>5178</v>
      </c>
      <c r="C948" s="1"/>
    </row>
    <row r="949" spans="1:3" x14ac:dyDescent="0.2">
      <c r="A949" s="5">
        <v>45546.591089374997</v>
      </c>
      <c r="B949" s="1" t="s">
        <v>5179</v>
      </c>
      <c r="C949" s="1"/>
    </row>
    <row r="950" spans="1:3" x14ac:dyDescent="0.2">
      <c r="A950" s="5">
        <v>45546.540163750004</v>
      </c>
      <c r="B950" s="1" t="s">
        <v>5180</v>
      </c>
      <c r="C950" s="1"/>
    </row>
    <row r="951" spans="1:3" x14ac:dyDescent="0.2">
      <c r="A951" s="5">
        <v>45544.669961377316</v>
      </c>
      <c r="B951" s="1" t="s">
        <v>5181</v>
      </c>
      <c r="C951" s="1"/>
    </row>
    <row r="952" spans="1:3" x14ac:dyDescent="0.2">
      <c r="A952" s="5">
        <v>45544.526683356482</v>
      </c>
      <c r="B952" s="1" t="s">
        <v>5182</v>
      </c>
      <c r="C952" s="1"/>
    </row>
    <row r="953" spans="1:3" x14ac:dyDescent="0.2">
      <c r="A953" s="5">
        <v>45544.481153472225</v>
      </c>
      <c r="B953" s="1" t="s">
        <v>5183</v>
      </c>
      <c r="C953" s="1"/>
    </row>
    <row r="954" spans="1:3" x14ac:dyDescent="0.2">
      <c r="A954" s="5">
        <v>45544.458021898143</v>
      </c>
      <c r="B954" s="1" t="s">
        <v>5184</v>
      </c>
      <c r="C954" s="1"/>
    </row>
    <row r="955" spans="1:3" x14ac:dyDescent="0.2">
      <c r="A955" s="5">
        <v>45544.446597280097</v>
      </c>
      <c r="B955" s="1" t="s">
        <v>5185</v>
      </c>
      <c r="C955" s="1"/>
    </row>
    <row r="956" spans="1:3" x14ac:dyDescent="0.2">
      <c r="A956" s="5">
        <v>45544.445142291668</v>
      </c>
      <c r="B956" s="1" t="s">
        <v>5186</v>
      </c>
      <c r="C956" s="1"/>
    </row>
    <row r="957" spans="1:3" x14ac:dyDescent="0.2">
      <c r="A957" s="5">
        <v>45544.441060567129</v>
      </c>
      <c r="B957" s="1" t="s">
        <v>5187</v>
      </c>
      <c r="C957" s="1"/>
    </row>
    <row r="958" spans="1:3" x14ac:dyDescent="0.2">
      <c r="A958" s="5">
        <v>45544.434390162038</v>
      </c>
      <c r="B958" s="1" t="s">
        <v>5188</v>
      </c>
      <c r="C958" s="1"/>
    </row>
    <row r="959" spans="1:3" x14ac:dyDescent="0.2">
      <c r="A959" s="5">
        <v>45544.361953622691</v>
      </c>
      <c r="B959" s="1" t="s">
        <v>5189</v>
      </c>
      <c r="C959" s="1"/>
    </row>
    <row r="960" spans="1:3" x14ac:dyDescent="0.2">
      <c r="A960" s="5">
        <v>45541.667106898152</v>
      </c>
      <c r="B960" s="1" t="s">
        <v>5190</v>
      </c>
      <c r="C960" s="1"/>
    </row>
    <row r="961" spans="1:3" x14ac:dyDescent="0.2">
      <c r="A961" s="5">
        <v>45541.400103935186</v>
      </c>
      <c r="B961" s="1" t="s">
        <v>5191</v>
      </c>
      <c r="C961" s="1"/>
    </row>
    <row r="962" spans="1:3" x14ac:dyDescent="0.2">
      <c r="A962" s="5">
        <v>45540.477022870371</v>
      </c>
      <c r="B962" s="1" t="s">
        <v>5192</v>
      </c>
      <c r="C962" s="1"/>
    </row>
    <row r="963" spans="1:3" x14ac:dyDescent="0.2">
      <c r="A963" s="5">
        <v>45540.455051805555</v>
      </c>
      <c r="B963" s="1" t="s">
        <v>5193</v>
      </c>
      <c r="C963" s="1"/>
    </row>
    <row r="964" spans="1:3" x14ac:dyDescent="0.2">
      <c r="A964" s="5">
        <v>45540.357160023152</v>
      </c>
      <c r="B964" s="1" t="s">
        <v>5194</v>
      </c>
      <c r="C964" s="1"/>
    </row>
    <row r="965" spans="1:3" x14ac:dyDescent="0.2">
      <c r="A965" s="5">
        <v>45540.353596550922</v>
      </c>
      <c r="B965" s="1" t="s">
        <v>5195</v>
      </c>
      <c r="C965" s="1"/>
    </row>
    <row r="966" spans="1:3" x14ac:dyDescent="0.2">
      <c r="A966" s="5">
        <v>45540.351708912036</v>
      </c>
      <c r="B966" s="1" t="s">
        <v>5196</v>
      </c>
      <c r="C966" s="1"/>
    </row>
    <row r="967" spans="1:3" x14ac:dyDescent="0.2">
      <c r="A967" s="5">
        <v>45540.34343706019</v>
      </c>
      <c r="B967" s="1" t="s">
        <v>5197</v>
      </c>
      <c r="C967" s="1"/>
    </row>
    <row r="968" spans="1:3" x14ac:dyDescent="0.2">
      <c r="A968" s="5">
        <v>45540.341962523147</v>
      </c>
      <c r="B968" s="1" t="s">
        <v>5198</v>
      </c>
      <c r="C968" s="1"/>
    </row>
    <row r="969" spans="1:3" x14ac:dyDescent="0.2">
      <c r="A969" s="5">
        <v>45540.339738240742</v>
      </c>
      <c r="B969" s="1" t="s">
        <v>5199</v>
      </c>
      <c r="C969" s="1"/>
    </row>
    <row r="970" spans="1:3" x14ac:dyDescent="0.2">
      <c r="A970" s="5">
        <v>45540.334524722217</v>
      </c>
      <c r="B970" s="1" t="s">
        <v>5200</v>
      </c>
      <c r="C970" s="1"/>
    </row>
    <row r="971" spans="1:3" x14ac:dyDescent="0.2">
      <c r="A971" s="5">
        <v>45539.591044918983</v>
      </c>
      <c r="B971" s="1" t="s">
        <v>5201</v>
      </c>
      <c r="C971" s="1"/>
    </row>
    <row r="972" spans="1:3" x14ac:dyDescent="0.2">
      <c r="A972" s="5">
        <v>45525.43920818287</v>
      </c>
      <c r="B972" s="1" t="s">
        <v>5202</v>
      </c>
      <c r="C972" s="1"/>
    </row>
    <row r="973" spans="1:3" x14ac:dyDescent="0.2">
      <c r="A973" s="5">
        <v>45524.680461041666</v>
      </c>
      <c r="B973" s="1" t="s">
        <v>5203</v>
      </c>
      <c r="C973" s="1"/>
    </row>
    <row r="974" spans="1:3" x14ac:dyDescent="0.2">
      <c r="A974" s="5">
        <v>45523.383148958332</v>
      </c>
      <c r="B974" s="1" t="s">
        <v>5204</v>
      </c>
      <c r="C974" s="1"/>
    </row>
    <row r="975" spans="1:3" x14ac:dyDescent="0.2">
      <c r="A975" s="5">
        <v>45523.347158067132</v>
      </c>
      <c r="B975" s="1" t="s">
        <v>5205</v>
      </c>
      <c r="C975" s="1"/>
    </row>
    <row r="976" spans="1:3" x14ac:dyDescent="0.2">
      <c r="A976" s="5">
        <v>45520.323119768524</v>
      </c>
      <c r="B976" s="1" t="s">
        <v>5206</v>
      </c>
      <c r="C976" s="1"/>
    </row>
    <row r="977" spans="1:3" x14ac:dyDescent="0.2">
      <c r="A977" s="5">
        <v>45520.320492453699</v>
      </c>
      <c r="B977" s="1" t="s">
        <v>5207</v>
      </c>
      <c r="C977" s="1"/>
    </row>
    <row r="978" spans="1:3" x14ac:dyDescent="0.2">
      <c r="A978" s="5">
        <v>45519.351391562501</v>
      </c>
      <c r="B978" s="1" t="s">
        <v>5208</v>
      </c>
      <c r="C978" s="1"/>
    </row>
    <row r="979" spans="1:3" x14ac:dyDescent="0.2">
      <c r="A979" s="5">
        <v>45519.351042083334</v>
      </c>
      <c r="B979" s="1" t="s">
        <v>5209</v>
      </c>
      <c r="C979" s="1"/>
    </row>
    <row r="980" spans="1:3" x14ac:dyDescent="0.2">
      <c r="A980" s="5">
        <v>45519.349326539348</v>
      </c>
      <c r="B980" s="1" t="s">
        <v>5210</v>
      </c>
      <c r="C980" s="1"/>
    </row>
    <row r="981" spans="1:3" x14ac:dyDescent="0.2">
      <c r="A981" s="5">
        <v>45518.628362719908</v>
      </c>
      <c r="B981" s="1" t="s">
        <v>5211</v>
      </c>
      <c r="C981" s="1"/>
    </row>
    <row r="982" spans="1:3" x14ac:dyDescent="0.2">
      <c r="A982" s="5">
        <v>45518.551680023149</v>
      </c>
      <c r="B982" s="1" t="s">
        <v>5212</v>
      </c>
      <c r="C982" s="1"/>
    </row>
    <row r="983" spans="1:3" x14ac:dyDescent="0.2">
      <c r="A983" s="5">
        <v>45518.4856515625</v>
      </c>
      <c r="B983" s="1" t="s">
        <v>5213</v>
      </c>
      <c r="C983" s="1"/>
    </row>
    <row r="984" spans="1:3" x14ac:dyDescent="0.2">
      <c r="A984" s="5">
        <v>45518.330539814815</v>
      </c>
      <c r="B984" s="1" t="s">
        <v>5214</v>
      </c>
      <c r="C984" s="1"/>
    </row>
    <row r="985" spans="1:3" x14ac:dyDescent="0.2">
      <c r="A985" s="5">
        <v>45518.328182037032</v>
      </c>
      <c r="B985" s="1" t="s">
        <v>5215</v>
      </c>
      <c r="C985" s="1"/>
    </row>
    <row r="986" spans="1:3" x14ac:dyDescent="0.2">
      <c r="A986" s="5">
        <v>45518.303698171294</v>
      </c>
      <c r="B986" s="1" t="s">
        <v>5216</v>
      </c>
      <c r="C986" s="1"/>
    </row>
    <row r="987" spans="1:3" x14ac:dyDescent="0.2">
      <c r="A987" s="5">
        <v>45517.64012880787</v>
      </c>
      <c r="B987" s="1" t="s">
        <v>5217</v>
      </c>
      <c r="C987" s="1"/>
    </row>
    <row r="988" spans="1:3" x14ac:dyDescent="0.2">
      <c r="A988" s="5">
        <v>45517.639284710647</v>
      </c>
      <c r="B988" s="1" t="s">
        <v>5218</v>
      </c>
      <c r="C988" s="1"/>
    </row>
    <row r="989" spans="1:3" x14ac:dyDescent="0.2">
      <c r="A989" s="5">
        <v>45517.632435150459</v>
      </c>
      <c r="B989" s="1" t="s">
        <v>5219</v>
      </c>
      <c r="C989" s="1"/>
    </row>
    <row r="990" spans="1:3" x14ac:dyDescent="0.2">
      <c r="A990" s="5">
        <v>45517.57524701389</v>
      </c>
      <c r="B990" s="1" t="s">
        <v>5220</v>
      </c>
      <c r="C990" s="1"/>
    </row>
    <row r="991" spans="1:3" x14ac:dyDescent="0.2">
      <c r="A991" s="5">
        <v>45517.533985925926</v>
      </c>
      <c r="B991" s="1" t="s">
        <v>5221</v>
      </c>
      <c r="C991" s="1"/>
    </row>
    <row r="992" spans="1:3" x14ac:dyDescent="0.2">
      <c r="A992" s="5">
        <v>45517.390534074075</v>
      </c>
      <c r="B992" s="1" t="s">
        <v>5222</v>
      </c>
      <c r="C992" s="1"/>
    </row>
    <row r="993" spans="1:3" x14ac:dyDescent="0.2">
      <c r="A993" s="5">
        <v>45517.387449861111</v>
      </c>
      <c r="B993" s="1" t="s">
        <v>5223</v>
      </c>
      <c r="C993" s="1"/>
    </row>
    <row r="994" spans="1:3" x14ac:dyDescent="0.2">
      <c r="A994" s="5">
        <v>45517.363478923609</v>
      </c>
      <c r="B994" s="1" t="s">
        <v>5224</v>
      </c>
      <c r="C994" s="1"/>
    </row>
    <row r="995" spans="1:3" x14ac:dyDescent="0.2">
      <c r="A995" s="5">
        <v>45517.355790937501</v>
      </c>
      <c r="B995" s="1" t="s">
        <v>5225</v>
      </c>
      <c r="C995" s="1"/>
    </row>
    <row r="996" spans="1:3" x14ac:dyDescent="0.2">
      <c r="A996" s="5">
        <v>45517.309313993057</v>
      </c>
      <c r="B996" s="1" t="s">
        <v>5226</v>
      </c>
      <c r="C996" s="1"/>
    </row>
    <row r="997" spans="1:3" x14ac:dyDescent="0.2">
      <c r="A997" s="5">
        <v>45517.291367337966</v>
      </c>
      <c r="B997" s="1" t="s">
        <v>5227</v>
      </c>
      <c r="C997" s="1"/>
    </row>
    <row r="998" spans="1:3" x14ac:dyDescent="0.2">
      <c r="A998" s="5">
        <v>45516.662799456019</v>
      </c>
      <c r="B998" s="1" t="s">
        <v>5228</v>
      </c>
      <c r="C998" s="1"/>
    </row>
    <row r="999" spans="1:3" x14ac:dyDescent="0.2">
      <c r="A999" s="5">
        <v>45516.661075428245</v>
      </c>
      <c r="B999" s="1" t="s">
        <v>5229</v>
      </c>
      <c r="C999" s="1"/>
    </row>
    <row r="1000" spans="1:3" x14ac:dyDescent="0.2">
      <c r="A1000" s="5">
        <v>45516.53491047454</v>
      </c>
      <c r="B1000" s="1" t="s">
        <v>5230</v>
      </c>
      <c r="C1000" s="1"/>
    </row>
    <row r="1001" spans="1:3" x14ac:dyDescent="0.2">
      <c r="A1001" s="5">
        <v>45516.2878690625</v>
      </c>
      <c r="B1001" s="1" t="s">
        <v>5231</v>
      </c>
      <c r="C1001" s="1"/>
    </row>
    <row r="1002" spans="1:3" x14ac:dyDescent="0.2">
      <c r="A1002" s="5">
        <v>45513.323653946762</v>
      </c>
      <c r="B1002" s="1" t="s">
        <v>5232</v>
      </c>
      <c r="C1002" s="1"/>
    </row>
    <row r="1003" spans="1:3" x14ac:dyDescent="0.2">
      <c r="A1003" s="5">
        <v>45513.323221122686</v>
      </c>
      <c r="B1003" s="1" t="s">
        <v>5233</v>
      </c>
      <c r="C1003" s="1"/>
    </row>
    <row r="1004" spans="1:3" x14ac:dyDescent="0.2">
      <c r="A1004" s="5">
        <v>45513.322813379629</v>
      </c>
      <c r="B1004" s="1" t="s">
        <v>5234</v>
      </c>
      <c r="C1004" s="1"/>
    </row>
    <row r="1005" spans="1:3" x14ac:dyDescent="0.2">
      <c r="A1005" s="5">
        <v>45511.432083252315</v>
      </c>
      <c r="B1005" s="1" t="s">
        <v>5235</v>
      </c>
      <c r="C1005" s="1"/>
    </row>
    <row r="1006" spans="1:3" x14ac:dyDescent="0.2">
      <c r="A1006" s="5">
        <v>45510.605410844903</v>
      </c>
      <c r="B1006" s="1" t="s">
        <v>5236</v>
      </c>
      <c r="C1006" s="1"/>
    </row>
    <row r="1007" spans="1:3" x14ac:dyDescent="0.2">
      <c r="A1007" s="5">
        <v>45498.355075775464</v>
      </c>
      <c r="B1007" s="1" t="s">
        <v>5237</v>
      </c>
      <c r="C1007" s="1"/>
    </row>
    <row r="1008" spans="1:3" x14ac:dyDescent="0.2">
      <c r="A1008" s="5">
        <v>45497.529699953702</v>
      </c>
      <c r="B1008" s="1" t="s">
        <v>5238</v>
      </c>
      <c r="C1008" s="1"/>
    </row>
    <row r="1009" spans="1:3" x14ac:dyDescent="0.2">
      <c r="A1009" s="5">
        <v>45497.318412349538</v>
      </c>
      <c r="B1009" s="1" t="s">
        <v>5239</v>
      </c>
      <c r="C1009" s="1"/>
    </row>
    <row r="1010" spans="1:3" x14ac:dyDescent="0.2">
      <c r="A1010" s="5">
        <v>45495.668622141202</v>
      </c>
      <c r="B1010" s="1" t="s">
        <v>5240</v>
      </c>
      <c r="C1010" s="1"/>
    </row>
    <row r="1011" spans="1:3" x14ac:dyDescent="0.2">
      <c r="A1011" s="5">
        <v>45495.668290868052</v>
      </c>
      <c r="B1011" s="1" t="s">
        <v>5241</v>
      </c>
      <c r="C1011" s="1"/>
    </row>
    <row r="1012" spans="1:3" x14ac:dyDescent="0.2">
      <c r="A1012" s="5">
        <v>45495.605100775458</v>
      </c>
      <c r="B1012" s="1" t="s">
        <v>5242</v>
      </c>
      <c r="C1012" s="1"/>
    </row>
    <row r="1013" spans="1:3" x14ac:dyDescent="0.2">
      <c r="A1013" s="5">
        <v>45495.603732337964</v>
      </c>
      <c r="B1013" s="1" t="s">
        <v>5243</v>
      </c>
      <c r="C1013" s="1"/>
    </row>
    <row r="1014" spans="1:3" x14ac:dyDescent="0.2">
      <c r="A1014" s="5">
        <v>45495.590450671298</v>
      </c>
      <c r="B1014" s="1" t="s">
        <v>5244</v>
      </c>
      <c r="C1014" s="1"/>
    </row>
    <row r="1015" spans="1:3" x14ac:dyDescent="0.2">
      <c r="A1015" s="5">
        <v>45495.583532395831</v>
      </c>
      <c r="B1015" s="1" t="s">
        <v>5245</v>
      </c>
      <c r="C1015" s="1"/>
    </row>
    <row r="1016" spans="1:3" x14ac:dyDescent="0.2">
      <c r="A1016" s="5">
        <v>45495.556854432871</v>
      </c>
      <c r="B1016" s="1" t="s">
        <v>5246</v>
      </c>
      <c r="C1016" s="1"/>
    </row>
    <row r="1017" spans="1:3" x14ac:dyDescent="0.2">
      <c r="A1017" s="5">
        <v>45495.535321006944</v>
      </c>
      <c r="B1017" s="1" t="s">
        <v>5247</v>
      </c>
      <c r="C1017" s="1"/>
    </row>
    <row r="1018" spans="1:3" x14ac:dyDescent="0.2">
      <c r="A1018" s="5">
        <v>45495.520810057875</v>
      </c>
      <c r="B1018" s="1" t="s">
        <v>5248</v>
      </c>
      <c r="C1018" s="1"/>
    </row>
    <row r="1019" spans="1:3" x14ac:dyDescent="0.2">
      <c r="A1019" s="5">
        <v>45495.516196944445</v>
      </c>
      <c r="B1019" s="1" t="s">
        <v>5249</v>
      </c>
      <c r="C1019" s="1"/>
    </row>
    <row r="1020" spans="1:3" x14ac:dyDescent="0.2">
      <c r="A1020" s="5">
        <v>45495.499864988422</v>
      </c>
      <c r="B1020" s="1" t="s">
        <v>5250</v>
      </c>
      <c r="C1020" s="1"/>
    </row>
    <row r="1021" spans="1:3" x14ac:dyDescent="0.2">
      <c r="A1021" s="5">
        <v>45495.485907557872</v>
      </c>
      <c r="B1021" s="1" t="s">
        <v>5251</v>
      </c>
      <c r="C1021" s="1"/>
    </row>
    <row r="1022" spans="1:3" x14ac:dyDescent="0.2">
      <c r="A1022" s="5">
        <v>45495.474413530093</v>
      </c>
      <c r="B1022" s="1" t="s">
        <v>5252</v>
      </c>
      <c r="C1022" s="1"/>
    </row>
    <row r="1023" spans="1:3" x14ac:dyDescent="0.2">
      <c r="A1023" s="5">
        <v>45495.469636979164</v>
      </c>
      <c r="B1023" s="1" t="s">
        <v>5253</v>
      </c>
      <c r="C1023" s="1"/>
    </row>
    <row r="1024" spans="1:3" x14ac:dyDescent="0.2">
      <c r="A1024" s="5">
        <v>45495.45913722222</v>
      </c>
      <c r="B1024" s="1" t="s">
        <v>5254</v>
      </c>
      <c r="C1024" s="1"/>
    </row>
    <row r="1025" spans="1:3" x14ac:dyDescent="0.2">
      <c r="A1025" s="5">
        <v>45495.456770810182</v>
      </c>
      <c r="B1025" s="1" t="s">
        <v>5255</v>
      </c>
      <c r="C1025" s="1"/>
    </row>
    <row r="1026" spans="1:3" x14ac:dyDescent="0.2">
      <c r="A1026" s="5">
        <v>45495.454658564813</v>
      </c>
      <c r="B1026" s="1" t="s">
        <v>5256</v>
      </c>
      <c r="C1026" s="1"/>
    </row>
    <row r="1027" spans="1:3" x14ac:dyDescent="0.2">
      <c r="A1027" s="5">
        <v>45495.454225439811</v>
      </c>
      <c r="B1027" s="1" t="s">
        <v>5257</v>
      </c>
      <c r="C1027" s="1"/>
    </row>
    <row r="1028" spans="1:3" x14ac:dyDescent="0.2">
      <c r="A1028" s="5">
        <v>45495.453502141201</v>
      </c>
      <c r="B1028" s="1" t="s">
        <v>5258</v>
      </c>
      <c r="C1028" s="1"/>
    </row>
    <row r="1029" spans="1:3" x14ac:dyDescent="0.2">
      <c r="A1029" s="5">
        <v>45495.451986967593</v>
      </c>
      <c r="B1029" s="1" t="s">
        <v>5259</v>
      </c>
      <c r="C1029" s="1"/>
    </row>
    <row r="1030" spans="1:3" x14ac:dyDescent="0.2">
      <c r="A1030" s="5">
        <v>45495.450585451385</v>
      </c>
      <c r="B1030" s="1" t="s">
        <v>5260</v>
      </c>
      <c r="C1030" s="1"/>
    </row>
    <row r="1031" spans="1:3" x14ac:dyDescent="0.2">
      <c r="A1031" s="5">
        <v>45495.450414722218</v>
      </c>
      <c r="B1031" s="1" t="s">
        <v>5261</v>
      </c>
      <c r="C1031" s="1"/>
    </row>
    <row r="1032" spans="1:3" x14ac:dyDescent="0.2">
      <c r="A1032" s="5">
        <v>45495.450058194445</v>
      </c>
      <c r="B1032" s="1" t="s">
        <v>5262</v>
      </c>
      <c r="C1032" s="1"/>
    </row>
    <row r="1033" spans="1:3" x14ac:dyDescent="0.2">
      <c r="A1033" s="5">
        <v>45495.44978693287</v>
      </c>
      <c r="B1033" s="1" t="s">
        <v>5263</v>
      </c>
      <c r="C1033" s="1"/>
    </row>
    <row r="1034" spans="1:3" x14ac:dyDescent="0.2">
      <c r="A1034" s="5">
        <v>45495.449510659717</v>
      </c>
      <c r="B1034" s="1" t="s">
        <v>5264</v>
      </c>
      <c r="C1034" s="1"/>
    </row>
    <row r="1035" spans="1:3" x14ac:dyDescent="0.2">
      <c r="A1035" s="5">
        <v>45495.446859965276</v>
      </c>
      <c r="B1035" s="1" t="s">
        <v>5265</v>
      </c>
      <c r="C1035" s="1"/>
    </row>
    <row r="1036" spans="1:3" x14ac:dyDescent="0.2">
      <c r="A1036" s="5">
        <v>45495.446605289355</v>
      </c>
      <c r="B1036" s="1" t="s">
        <v>5266</v>
      </c>
      <c r="C1036" s="1"/>
    </row>
    <row r="1037" spans="1:3" x14ac:dyDescent="0.2">
      <c r="A1037" s="5">
        <v>45495.444904525459</v>
      </c>
      <c r="B1037" s="1" t="s">
        <v>5267</v>
      </c>
      <c r="C1037" s="1"/>
    </row>
    <row r="1038" spans="1:3" x14ac:dyDescent="0.2">
      <c r="A1038" s="5">
        <v>45495.443507476855</v>
      </c>
      <c r="B1038" s="1" t="s">
        <v>5268</v>
      </c>
      <c r="C1038" s="1"/>
    </row>
    <row r="1039" spans="1:3" x14ac:dyDescent="0.2">
      <c r="A1039" s="5">
        <v>45495.443420902782</v>
      </c>
      <c r="B1039" s="1" t="s">
        <v>5269</v>
      </c>
      <c r="C1039" s="1"/>
    </row>
    <row r="1040" spans="1:3" x14ac:dyDescent="0.2">
      <c r="A1040" s="5">
        <v>45495.441709583334</v>
      </c>
      <c r="B1040" s="1" t="s">
        <v>5270</v>
      </c>
      <c r="C1040" s="1"/>
    </row>
    <row r="1041" spans="1:3" x14ac:dyDescent="0.2">
      <c r="A1041" s="5">
        <v>45488.621751053244</v>
      </c>
      <c r="B1041" s="1" t="s">
        <v>5271</v>
      </c>
      <c r="C1041" s="1"/>
    </row>
    <row r="1042" spans="1:3" x14ac:dyDescent="0.2">
      <c r="A1042" s="5">
        <v>45485.685031516201</v>
      </c>
      <c r="B1042" s="1" t="s">
        <v>5272</v>
      </c>
      <c r="C1042" s="1"/>
    </row>
    <row r="1043" spans="1:3" x14ac:dyDescent="0.2">
      <c r="A1043" s="5">
        <v>45483.313404548608</v>
      </c>
      <c r="B1043" s="1" t="s">
        <v>5273</v>
      </c>
      <c r="C1043" s="1"/>
    </row>
    <row r="1044" spans="1:3" x14ac:dyDescent="0.2">
      <c r="A1044" s="5">
        <v>45483.313025034724</v>
      </c>
      <c r="B1044" s="1" t="s">
        <v>5274</v>
      </c>
      <c r="C1044" s="1"/>
    </row>
    <row r="1045" spans="1:3" x14ac:dyDescent="0.2">
      <c r="A1045" s="5">
        <v>45482.403681875003</v>
      </c>
      <c r="B1045" s="1" t="s">
        <v>5275</v>
      </c>
      <c r="C1045" s="1"/>
    </row>
    <row r="1046" spans="1:3" x14ac:dyDescent="0.2">
      <c r="A1046" s="5">
        <v>45482.403449942125</v>
      </c>
      <c r="B1046" s="1" t="s">
        <v>5276</v>
      </c>
      <c r="C1046" s="1"/>
    </row>
    <row r="1047" spans="1:3" x14ac:dyDescent="0.2">
      <c r="A1047" s="5">
        <v>45482.402967546295</v>
      </c>
      <c r="B1047" s="1" t="s">
        <v>5277</v>
      </c>
      <c r="C1047" s="1"/>
    </row>
    <row r="1048" spans="1:3" x14ac:dyDescent="0.2">
      <c r="A1048" s="5">
        <v>45482.380125219905</v>
      </c>
      <c r="B1048" s="1" t="s">
        <v>5278</v>
      </c>
      <c r="C1048" s="1"/>
    </row>
    <row r="1049" spans="1:3" x14ac:dyDescent="0.2">
      <c r="A1049" s="5">
        <v>45482.37974329861</v>
      </c>
      <c r="B1049" s="1" t="s">
        <v>5279</v>
      </c>
      <c r="C1049" s="1"/>
    </row>
    <row r="1050" spans="1:3" x14ac:dyDescent="0.2">
      <c r="A1050" s="5">
        <v>45482.377358275466</v>
      </c>
      <c r="B1050" s="1" t="s">
        <v>5280</v>
      </c>
      <c r="C1050" s="1"/>
    </row>
    <row r="1051" spans="1:3" x14ac:dyDescent="0.2">
      <c r="A1051" s="5">
        <v>45482.376678252316</v>
      </c>
      <c r="B1051" s="1" t="s">
        <v>5281</v>
      </c>
      <c r="C1051" s="1"/>
    </row>
    <row r="1052" spans="1:3" x14ac:dyDescent="0.2">
      <c r="A1052" s="5">
        <v>45482.372949386576</v>
      </c>
      <c r="B1052" s="1" t="s">
        <v>5282</v>
      </c>
      <c r="C1052" s="1"/>
    </row>
    <row r="1053" spans="1:3" x14ac:dyDescent="0.2">
      <c r="A1053" s="5">
        <v>45482.372617615736</v>
      </c>
      <c r="B1053" s="1" t="s">
        <v>5283</v>
      </c>
      <c r="C1053" s="1"/>
    </row>
    <row r="1054" spans="1:3" x14ac:dyDescent="0.2">
      <c r="A1054" s="5">
        <v>45482.372254016205</v>
      </c>
      <c r="B1054" s="1" t="s">
        <v>5284</v>
      </c>
      <c r="C1054" s="1"/>
    </row>
    <row r="1055" spans="1:3" x14ac:dyDescent="0.2">
      <c r="A1055" s="5">
        <v>45482.360607916664</v>
      </c>
      <c r="B1055" s="1" t="s">
        <v>5285</v>
      </c>
      <c r="C1055" s="1"/>
    </row>
    <row r="1056" spans="1:3" x14ac:dyDescent="0.2">
      <c r="A1056" s="5">
        <v>45482.355449432871</v>
      </c>
      <c r="B1056" s="1" t="s">
        <v>5286</v>
      </c>
      <c r="C1056" s="1"/>
    </row>
    <row r="1057" spans="1:3" x14ac:dyDescent="0.2">
      <c r="A1057" s="5">
        <v>45482.355077974542</v>
      </c>
      <c r="B1057" s="1" t="s">
        <v>5287</v>
      </c>
      <c r="C1057" s="1"/>
    </row>
    <row r="1058" spans="1:3" x14ac:dyDescent="0.2">
      <c r="A1058" s="5">
        <v>45482.351284722223</v>
      </c>
      <c r="B1058" s="1" t="s">
        <v>5288</v>
      </c>
      <c r="C1058" s="1"/>
    </row>
    <row r="1059" spans="1:3" x14ac:dyDescent="0.2">
      <c r="A1059" s="5">
        <v>45482.350644976847</v>
      </c>
      <c r="B1059" s="1" t="s">
        <v>5289</v>
      </c>
      <c r="C1059" s="1"/>
    </row>
    <row r="1060" spans="1:3" x14ac:dyDescent="0.2">
      <c r="A1060" s="5">
        <v>45482.350622754631</v>
      </c>
      <c r="B1060" s="1" t="s">
        <v>5290</v>
      </c>
      <c r="C1060" s="1"/>
    </row>
    <row r="1061" spans="1:3" x14ac:dyDescent="0.2">
      <c r="A1061" s="5">
        <v>45482.350126851852</v>
      </c>
      <c r="B1061" s="1" t="s">
        <v>5291</v>
      </c>
      <c r="C1061" s="1"/>
    </row>
    <row r="1062" spans="1:3" x14ac:dyDescent="0.2">
      <c r="A1062" s="5">
        <v>45482.349647905095</v>
      </c>
      <c r="B1062" s="1" t="s">
        <v>5292</v>
      </c>
      <c r="C1062" s="1"/>
    </row>
    <row r="1063" spans="1:3" x14ac:dyDescent="0.2">
      <c r="A1063" s="5">
        <v>45482.349412129624</v>
      </c>
      <c r="B1063" s="1" t="s">
        <v>5293</v>
      </c>
      <c r="C1063" s="1"/>
    </row>
    <row r="1064" spans="1:3" x14ac:dyDescent="0.2">
      <c r="A1064" s="5">
        <v>45482.34849981482</v>
      </c>
      <c r="B1064" s="1" t="s">
        <v>5294</v>
      </c>
      <c r="C1064" s="1"/>
    </row>
    <row r="1065" spans="1:3" x14ac:dyDescent="0.2">
      <c r="A1065" s="5">
        <v>45482.34778625</v>
      </c>
      <c r="B1065" s="1" t="s">
        <v>5295</v>
      </c>
      <c r="C1065" s="1"/>
    </row>
    <row r="1066" spans="1:3" x14ac:dyDescent="0.2">
      <c r="A1066" s="5">
        <v>45482.346978993053</v>
      </c>
      <c r="B1066" s="1" t="s">
        <v>5296</v>
      </c>
      <c r="C1066" s="1"/>
    </row>
    <row r="1067" spans="1:3" x14ac:dyDescent="0.2">
      <c r="A1067" s="5">
        <v>45482.345442592588</v>
      </c>
      <c r="B1067" s="1" t="s">
        <v>5297</v>
      </c>
      <c r="C1067" s="1"/>
    </row>
    <row r="1068" spans="1:3" x14ac:dyDescent="0.2">
      <c r="A1068" s="5">
        <v>45482.345214004628</v>
      </c>
      <c r="B1068" s="1" t="s">
        <v>5298</v>
      </c>
      <c r="C1068" s="1"/>
    </row>
    <row r="1069" spans="1:3" x14ac:dyDescent="0.2">
      <c r="A1069" s="5">
        <v>45482.344932685184</v>
      </c>
      <c r="B1069" s="1" t="s">
        <v>5299</v>
      </c>
      <c r="C1069" s="1"/>
    </row>
    <row r="1070" spans="1:3" x14ac:dyDescent="0.2">
      <c r="A1070" s="5">
        <v>45482.342483587963</v>
      </c>
      <c r="B1070" s="1" t="s">
        <v>5300</v>
      </c>
      <c r="C1070" s="1"/>
    </row>
    <row r="1071" spans="1:3" x14ac:dyDescent="0.2">
      <c r="A1071" s="5">
        <v>45482.341612986114</v>
      </c>
      <c r="B1071" s="1" t="s">
        <v>5301</v>
      </c>
      <c r="C1071" s="1"/>
    </row>
    <row r="1072" spans="1:3" x14ac:dyDescent="0.2">
      <c r="A1072" s="5">
        <v>45482.341574791666</v>
      </c>
      <c r="B1072" s="1" t="s">
        <v>5302</v>
      </c>
      <c r="C1072" s="1"/>
    </row>
    <row r="1073" spans="1:3" x14ac:dyDescent="0.2">
      <c r="A1073" s="5">
        <v>45482.341132743051</v>
      </c>
      <c r="B1073" s="1" t="s">
        <v>5303</v>
      </c>
      <c r="C1073" s="1"/>
    </row>
    <row r="1074" spans="1:3" x14ac:dyDescent="0.2">
      <c r="A1074" s="5">
        <v>45482.337413668982</v>
      </c>
      <c r="B1074" s="1" t="s">
        <v>5304</v>
      </c>
      <c r="C1074" s="1"/>
    </row>
    <row r="1075" spans="1:3" x14ac:dyDescent="0.2">
      <c r="A1075" s="5">
        <v>45482.331452766201</v>
      </c>
      <c r="B1075" s="1" t="s">
        <v>5305</v>
      </c>
      <c r="C1075" s="1"/>
    </row>
    <row r="1076" spans="1:3" x14ac:dyDescent="0.2">
      <c r="A1076" s="5">
        <v>45482.293118912035</v>
      </c>
      <c r="B1076" s="1" t="s">
        <v>5306</v>
      </c>
      <c r="C1076" s="1"/>
    </row>
    <row r="1077" spans="1:3" x14ac:dyDescent="0.2">
      <c r="A1077" s="5">
        <v>45481.655935868053</v>
      </c>
      <c r="B1077" s="1" t="s">
        <v>5307</v>
      </c>
      <c r="C1077" s="1"/>
    </row>
    <row r="1078" spans="1:3" x14ac:dyDescent="0.2">
      <c r="A1078" s="5">
        <v>45481.655502280089</v>
      </c>
      <c r="B1078" s="1" t="s">
        <v>5308</v>
      </c>
      <c r="C1078" s="1"/>
    </row>
    <row r="1079" spans="1:3" x14ac:dyDescent="0.2">
      <c r="A1079" s="5">
        <v>45481.623267291667</v>
      </c>
      <c r="B1079" s="1" t="s">
        <v>5309</v>
      </c>
      <c r="C1079" s="1"/>
    </row>
    <row r="1080" spans="1:3" x14ac:dyDescent="0.2">
      <c r="A1080" s="5">
        <v>45481.608004861111</v>
      </c>
      <c r="B1080" s="1" t="s">
        <v>5310</v>
      </c>
      <c r="C1080" s="1"/>
    </row>
    <row r="1081" spans="1:3" x14ac:dyDescent="0.2">
      <c r="A1081" s="5">
        <v>45481.512656585648</v>
      </c>
      <c r="B1081" s="1" t="s">
        <v>5311</v>
      </c>
      <c r="C1081" s="1"/>
    </row>
    <row r="1082" spans="1:3" x14ac:dyDescent="0.2">
      <c r="A1082" s="5">
        <v>45481.511432511572</v>
      </c>
      <c r="B1082" s="1" t="s">
        <v>5312</v>
      </c>
      <c r="C1082" s="1"/>
    </row>
    <row r="1083" spans="1:3" x14ac:dyDescent="0.2">
      <c r="A1083" s="5">
        <v>45481.478777951386</v>
      </c>
      <c r="B1083" s="1" t="s">
        <v>5313</v>
      </c>
      <c r="C1083" s="1"/>
    </row>
    <row r="1084" spans="1:3" x14ac:dyDescent="0.2">
      <c r="A1084" s="5">
        <v>45481.478527581014</v>
      </c>
      <c r="B1084" s="1" t="s">
        <v>5314</v>
      </c>
      <c r="C1084" s="1"/>
    </row>
    <row r="1085" spans="1:3" x14ac:dyDescent="0.2">
      <c r="A1085" s="5">
        <v>45481.450157662039</v>
      </c>
      <c r="B1085" s="1" t="s">
        <v>5315</v>
      </c>
      <c r="C1085" s="1"/>
    </row>
    <row r="1086" spans="1:3" x14ac:dyDescent="0.2">
      <c r="A1086" s="5">
        <v>45481.446919398149</v>
      </c>
      <c r="B1086" s="1" t="s">
        <v>5316</v>
      </c>
      <c r="C1086" s="1"/>
    </row>
    <row r="1087" spans="1:3" x14ac:dyDescent="0.2">
      <c r="A1087" s="5">
        <v>45481.446404456015</v>
      </c>
      <c r="B1087" s="1" t="s">
        <v>5317</v>
      </c>
      <c r="C1087" s="1"/>
    </row>
    <row r="1088" spans="1:3" x14ac:dyDescent="0.2">
      <c r="A1088" s="5">
        <v>45481.423030324077</v>
      </c>
      <c r="B1088" s="1" t="s">
        <v>5318</v>
      </c>
      <c r="C1088" s="1"/>
    </row>
    <row r="1089" spans="1:3" x14ac:dyDescent="0.2">
      <c r="A1089" s="5">
        <v>45481.408280254633</v>
      </c>
      <c r="B1089" s="1" t="s">
        <v>5319</v>
      </c>
      <c r="C1089" s="1"/>
    </row>
    <row r="1090" spans="1:3" x14ac:dyDescent="0.2">
      <c r="A1090" s="5">
        <v>45481.405658067131</v>
      </c>
      <c r="B1090" s="1" t="s">
        <v>5320</v>
      </c>
      <c r="C1090" s="1"/>
    </row>
    <row r="1091" spans="1:3" x14ac:dyDescent="0.2">
      <c r="A1091" s="5">
        <v>45481.349681782405</v>
      </c>
      <c r="B1091" s="1" t="s">
        <v>5321</v>
      </c>
      <c r="C1091" s="1"/>
    </row>
    <row r="1092" spans="1:3" x14ac:dyDescent="0.2">
      <c r="A1092" s="5">
        <v>45477.309473437504</v>
      </c>
      <c r="B1092" s="1" t="s">
        <v>5322</v>
      </c>
      <c r="C1092" s="1"/>
    </row>
    <row r="1093" spans="1:3" x14ac:dyDescent="0.2">
      <c r="A1093" s="5">
        <v>45476.330727407403</v>
      </c>
      <c r="B1093" s="1" t="s">
        <v>5323</v>
      </c>
      <c r="C1093" s="1"/>
    </row>
    <row r="1094" spans="1:3" x14ac:dyDescent="0.2">
      <c r="A1094" s="5">
        <v>45476.330387037036</v>
      </c>
      <c r="B1094" s="1" t="s">
        <v>5324</v>
      </c>
      <c r="C1094" s="1"/>
    </row>
    <row r="1095" spans="1:3" x14ac:dyDescent="0.2">
      <c r="A1095" s="5">
        <v>45476.33004630787</v>
      </c>
      <c r="B1095" s="1" t="s">
        <v>5325</v>
      </c>
      <c r="C1095" s="1"/>
    </row>
    <row r="1096" spans="1:3" x14ac:dyDescent="0.2">
      <c r="A1096" s="5">
        <v>45456.370002800926</v>
      </c>
      <c r="B1096" s="1" t="s">
        <v>5326</v>
      </c>
      <c r="C1096" s="1"/>
    </row>
    <row r="1097" spans="1:3" x14ac:dyDescent="0.2">
      <c r="A1097" s="5">
        <v>45455.648347812501</v>
      </c>
      <c r="B1097" s="1" t="s">
        <v>5327</v>
      </c>
      <c r="C1097" s="1"/>
    </row>
    <row r="1098" spans="1:3" x14ac:dyDescent="0.2">
      <c r="A1098" s="5">
        <v>45455.642070312504</v>
      </c>
      <c r="B1098" s="1" t="s">
        <v>5328</v>
      </c>
      <c r="C1098" s="1"/>
    </row>
    <row r="1099" spans="1:3" x14ac:dyDescent="0.2">
      <c r="A1099" s="5">
        <v>45455.638166087963</v>
      </c>
      <c r="B1099" s="1" t="s">
        <v>5329</v>
      </c>
      <c r="C1099" s="1"/>
    </row>
    <row r="1100" spans="1:3" x14ac:dyDescent="0.2">
      <c r="A1100" s="5">
        <v>45455.619359629629</v>
      </c>
      <c r="B1100" s="1" t="s">
        <v>5330</v>
      </c>
      <c r="C1100" s="1"/>
    </row>
    <row r="1101" spans="1:3" x14ac:dyDescent="0.2">
      <c r="A1101" s="5">
        <v>45455.608227743054</v>
      </c>
      <c r="B1101" s="1" t="s">
        <v>5331</v>
      </c>
      <c r="C1101" s="1"/>
    </row>
    <row r="1102" spans="1:3" x14ac:dyDescent="0.2">
      <c r="A1102" s="5">
        <v>45455.599991365743</v>
      </c>
      <c r="B1102" s="1" t="s">
        <v>5332</v>
      </c>
      <c r="C1102" s="1"/>
    </row>
    <row r="1103" spans="1:3" x14ac:dyDescent="0.2">
      <c r="A1103" s="5">
        <v>45455.599192013891</v>
      </c>
      <c r="B1103" s="1" t="s">
        <v>5333</v>
      </c>
      <c r="C1103" s="1"/>
    </row>
    <row r="1104" spans="1:3" x14ac:dyDescent="0.2">
      <c r="A1104" s="5">
        <v>45455.597113287033</v>
      </c>
      <c r="B1104" s="1" t="s">
        <v>5334</v>
      </c>
      <c r="C1104" s="1"/>
    </row>
    <row r="1105" spans="1:3" x14ac:dyDescent="0.2">
      <c r="A1105" s="5">
        <v>45455.596573333329</v>
      </c>
      <c r="B1105" s="1" t="s">
        <v>5335</v>
      </c>
      <c r="C1105" s="1"/>
    </row>
    <row r="1106" spans="1:3" x14ac:dyDescent="0.2">
      <c r="A1106" s="5">
        <v>45455.595981469909</v>
      </c>
      <c r="B1106" s="1" t="s">
        <v>5336</v>
      </c>
      <c r="C1106" s="1"/>
    </row>
    <row r="1107" spans="1:3" x14ac:dyDescent="0.2">
      <c r="A1107" s="5">
        <v>45455.594640659721</v>
      </c>
      <c r="B1107" s="1" t="s">
        <v>5337</v>
      </c>
      <c r="C1107" s="1"/>
    </row>
    <row r="1108" spans="1:3" x14ac:dyDescent="0.2">
      <c r="A1108" s="5">
        <v>45455.594278530094</v>
      </c>
      <c r="B1108" s="1" t="s">
        <v>5338</v>
      </c>
      <c r="C1108" s="1"/>
    </row>
    <row r="1109" spans="1:3" x14ac:dyDescent="0.2">
      <c r="A1109" s="5">
        <v>45455.593668298607</v>
      </c>
      <c r="B1109" s="1" t="s">
        <v>5339</v>
      </c>
      <c r="C1109" s="1"/>
    </row>
    <row r="1110" spans="1:3" x14ac:dyDescent="0.2">
      <c r="A1110" s="5">
        <v>45455.593608657407</v>
      </c>
      <c r="B1110" s="1" t="s">
        <v>5340</v>
      </c>
      <c r="C1110" s="1"/>
    </row>
    <row r="1111" spans="1:3" x14ac:dyDescent="0.2">
      <c r="A1111" s="5">
        <v>45455.591619537037</v>
      </c>
      <c r="B1111" s="1" t="s">
        <v>5341</v>
      </c>
      <c r="C1111" s="1"/>
    </row>
    <row r="1112" spans="1:3" x14ac:dyDescent="0.2">
      <c r="A1112" s="5">
        <v>45455.591261006943</v>
      </c>
      <c r="B1112" s="1" t="s">
        <v>5342</v>
      </c>
      <c r="C1112" s="1"/>
    </row>
    <row r="1113" spans="1:3" x14ac:dyDescent="0.2">
      <c r="A1113" s="5">
        <v>45455.591002025467</v>
      </c>
      <c r="B1113" s="1" t="s">
        <v>5343</v>
      </c>
      <c r="C1113" s="1"/>
    </row>
    <row r="1114" spans="1:3" x14ac:dyDescent="0.2">
      <c r="A1114" s="5">
        <v>45455.59090328704</v>
      </c>
      <c r="B1114" s="1" t="s">
        <v>5344</v>
      </c>
      <c r="C1114" s="1"/>
    </row>
    <row r="1115" spans="1:3" x14ac:dyDescent="0.2">
      <c r="A1115" s="5">
        <v>45455.59043236111</v>
      </c>
      <c r="B1115" s="1" t="s">
        <v>5345</v>
      </c>
      <c r="C1115" s="1"/>
    </row>
    <row r="1116" spans="1:3" x14ac:dyDescent="0.2">
      <c r="A1116" s="5">
        <v>45455.586622060189</v>
      </c>
      <c r="B1116" s="1" t="s">
        <v>5346</v>
      </c>
      <c r="C1116" s="1"/>
    </row>
    <row r="1117" spans="1:3" x14ac:dyDescent="0.2">
      <c r="A1117" s="5">
        <v>45454.652398159727</v>
      </c>
      <c r="B1117" s="1" t="s">
        <v>5347</v>
      </c>
      <c r="C1117" s="1"/>
    </row>
    <row r="1118" spans="1:3" x14ac:dyDescent="0.2">
      <c r="A1118" s="5">
        <v>45454.418511932869</v>
      </c>
      <c r="B1118" s="1" t="s">
        <v>5348</v>
      </c>
      <c r="C1118" s="1"/>
    </row>
    <row r="1119" spans="1:3" x14ac:dyDescent="0.2">
      <c r="A1119" s="5">
        <v>45454.368034537038</v>
      </c>
      <c r="B1119" s="1" t="s">
        <v>5349</v>
      </c>
      <c r="C1119" s="1"/>
    </row>
    <row r="1120" spans="1:3" x14ac:dyDescent="0.2">
      <c r="A1120" s="5">
        <v>45454.352572303236</v>
      </c>
      <c r="B1120" s="1" t="s">
        <v>5350</v>
      </c>
      <c r="C1120" s="1"/>
    </row>
    <row r="1121" spans="1:3" x14ac:dyDescent="0.2">
      <c r="A1121" s="5">
        <v>45454.348733472223</v>
      </c>
      <c r="B1121" s="1" t="s">
        <v>5351</v>
      </c>
      <c r="C1121" s="1"/>
    </row>
    <row r="1122" spans="1:3" x14ac:dyDescent="0.2">
      <c r="A1122" s="5">
        <v>45454.345817453708</v>
      </c>
      <c r="B1122" s="1" t="s">
        <v>5352</v>
      </c>
      <c r="C1122" s="1"/>
    </row>
    <row r="1123" spans="1:3" x14ac:dyDescent="0.2">
      <c r="A1123" s="5">
        <v>45454.339473946762</v>
      </c>
      <c r="B1123" s="1" t="s">
        <v>5353</v>
      </c>
      <c r="C1123" s="1"/>
    </row>
    <row r="1124" spans="1:3" x14ac:dyDescent="0.2">
      <c r="A1124" s="5">
        <v>45454.298253645829</v>
      </c>
      <c r="B1124" s="1" t="s">
        <v>5354</v>
      </c>
      <c r="C1124" s="1"/>
    </row>
    <row r="1125" spans="1:3" x14ac:dyDescent="0.2">
      <c r="A1125" s="5">
        <v>45453.496257685183</v>
      </c>
      <c r="B1125" s="1" t="s">
        <v>5355</v>
      </c>
      <c r="C1125" s="1"/>
    </row>
    <row r="1126" spans="1:3" x14ac:dyDescent="0.2">
      <c r="A1126" s="5">
        <v>45453.415264618059</v>
      </c>
      <c r="B1126" s="1" t="s">
        <v>5356</v>
      </c>
      <c r="C1126" s="1"/>
    </row>
    <row r="1127" spans="1:3" x14ac:dyDescent="0.2">
      <c r="A1127" s="5">
        <v>45453.404300821756</v>
      </c>
      <c r="B1127" s="1" t="s">
        <v>5357</v>
      </c>
      <c r="C1127" s="1"/>
    </row>
    <row r="1128" spans="1:3" x14ac:dyDescent="0.2">
      <c r="A1128" s="5">
        <v>45453.379816064815</v>
      </c>
      <c r="B1128" s="1" t="s">
        <v>5358</v>
      </c>
      <c r="C1128" s="1"/>
    </row>
    <row r="1129" spans="1:3" x14ac:dyDescent="0.2">
      <c r="A1129" s="5">
        <v>45453.378881759258</v>
      </c>
      <c r="B1129" s="1" t="s">
        <v>5359</v>
      </c>
      <c r="C1129" s="1"/>
    </row>
    <row r="1130" spans="1:3" x14ac:dyDescent="0.2">
      <c r="A1130" s="5">
        <v>45453.364563391202</v>
      </c>
      <c r="B1130" s="1" t="s">
        <v>5360</v>
      </c>
      <c r="C1130" s="1"/>
    </row>
    <row r="1131" spans="1:3" x14ac:dyDescent="0.2">
      <c r="A1131" s="5">
        <v>45449.606000381944</v>
      </c>
      <c r="B1131" s="1" t="s">
        <v>5361</v>
      </c>
      <c r="C1131" s="1"/>
    </row>
    <row r="1132" spans="1:3" x14ac:dyDescent="0.2">
      <c r="A1132" s="5">
        <v>45449.375490115737</v>
      </c>
      <c r="B1132" s="1" t="s">
        <v>5362</v>
      </c>
      <c r="C1132" s="1"/>
    </row>
    <row r="1133" spans="1:3" x14ac:dyDescent="0.2">
      <c r="A1133" s="5">
        <v>45448.610869942131</v>
      </c>
      <c r="B1133" s="1" t="s">
        <v>5363</v>
      </c>
      <c r="C1133" s="1"/>
    </row>
    <row r="1134" spans="1:3" x14ac:dyDescent="0.2">
      <c r="A1134" s="5">
        <v>45448.557940451385</v>
      </c>
      <c r="B1134" s="1" t="s">
        <v>5364</v>
      </c>
      <c r="C1134" s="1"/>
    </row>
    <row r="1135" spans="1:3" x14ac:dyDescent="0.2">
      <c r="A1135" s="5">
        <v>45448.454583692132</v>
      </c>
      <c r="B1135" s="1" t="s">
        <v>5365</v>
      </c>
      <c r="C1135" s="1"/>
    </row>
    <row r="1136" spans="1:3" x14ac:dyDescent="0.2">
      <c r="A1136" s="5">
        <v>45448.454575833333</v>
      </c>
      <c r="B1136" s="1" t="s">
        <v>5366</v>
      </c>
      <c r="C1136" s="1"/>
    </row>
    <row r="1137" spans="1:3" x14ac:dyDescent="0.2">
      <c r="A1137" s="5">
        <v>45448.454054259259</v>
      </c>
      <c r="B1137" s="1" t="s">
        <v>5367</v>
      </c>
      <c r="C1137" s="1"/>
    </row>
    <row r="1138" spans="1:3" x14ac:dyDescent="0.2">
      <c r="A1138" s="5">
        <v>45448.453030717588</v>
      </c>
      <c r="B1138" s="1" t="s">
        <v>5368</v>
      </c>
      <c r="C1138" s="1"/>
    </row>
    <row r="1139" spans="1:3" x14ac:dyDescent="0.2">
      <c r="A1139" s="5">
        <v>45448.446506249995</v>
      </c>
      <c r="B1139" s="1" t="s">
        <v>5369</v>
      </c>
      <c r="C1139" s="1"/>
    </row>
    <row r="1140" spans="1:3" x14ac:dyDescent="0.2">
      <c r="A1140" s="5">
        <v>45448.408672164354</v>
      </c>
      <c r="B1140" s="1" t="s">
        <v>5370</v>
      </c>
      <c r="C1140" s="1"/>
    </row>
    <row r="1141" spans="1:3" x14ac:dyDescent="0.2">
      <c r="A1141" s="5">
        <v>45448.377960127313</v>
      </c>
      <c r="B1141" s="1" t="s">
        <v>5371</v>
      </c>
      <c r="C1141" s="1"/>
    </row>
    <row r="1142" spans="1:3" x14ac:dyDescent="0.2">
      <c r="A1142" s="5">
        <v>45448.373790046295</v>
      </c>
      <c r="B1142" s="1" t="s">
        <v>5372</v>
      </c>
      <c r="C1142" s="1"/>
    </row>
    <row r="1143" spans="1:3" x14ac:dyDescent="0.2">
      <c r="A1143" s="5">
        <v>45448.326293379629</v>
      </c>
      <c r="B1143" s="1" t="s">
        <v>5373</v>
      </c>
      <c r="C1143" s="1"/>
    </row>
    <row r="1144" spans="1:3" x14ac:dyDescent="0.2">
      <c r="A1144" s="5">
        <v>45447.399354513887</v>
      </c>
      <c r="B1144" s="1" t="s">
        <v>5374</v>
      </c>
      <c r="C1144" s="1"/>
    </row>
    <row r="1145" spans="1:3" x14ac:dyDescent="0.2">
      <c r="A1145" s="5">
        <v>45447.395148819443</v>
      </c>
      <c r="B1145" s="1" t="s">
        <v>5375</v>
      </c>
      <c r="C1145" s="1"/>
    </row>
    <row r="1146" spans="1:3" x14ac:dyDescent="0.2">
      <c r="A1146" s="5">
        <v>45447.380175162034</v>
      </c>
      <c r="B1146" s="1" t="s">
        <v>5376</v>
      </c>
      <c r="C1146" s="1"/>
    </row>
    <row r="1147" spans="1:3" x14ac:dyDescent="0.2">
      <c r="A1147" s="5">
        <v>45447.367005509259</v>
      </c>
      <c r="B1147" s="1" t="s">
        <v>5377</v>
      </c>
      <c r="C1147" s="1"/>
    </row>
    <row r="1148" spans="1:3" x14ac:dyDescent="0.2">
      <c r="A1148" s="5">
        <v>45447.351657187501</v>
      </c>
      <c r="B1148" s="1" t="s">
        <v>5378</v>
      </c>
      <c r="C1148" s="1"/>
    </row>
    <row r="1149" spans="1:3" x14ac:dyDescent="0.2">
      <c r="A1149" s="5"/>
      <c r="B1149" s="1"/>
      <c r="C1149" s="1"/>
    </row>
    <row r="1150" spans="1:3" x14ac:dyDescent="0.2">
      <c r="A1150" s="5">
        <v>45446.62953416667</v>
      </c>
      <c r="B1150" s="1" t="s">
        <v>5379</v>
      </c>
      <c r="C1150" s="1"/>
    </row>
    <row r="1151" spans="1:3" x14ac:dyDescent="0.2">
      <c r="A1151" s="5">
        <v>45446.626306724538</v>
      </c>
      <c r="B1151" s="1" t="s">
        <v>5380</v>
      </c>
      <c r="C1151" s="1"/>
    </row>
    <row r="1152" spans="1:3" x14ac:dyDescent="0.2">
      <c r="A1152" s="5">
        <v>45446.54716825232</v>
      </c>
      <c r="B1152" s="1" t="s">
        <v>5381</v>
      </c>
      <c r="C1152" s="1"/>
    </row>
    <row r="1153" spans="1:3" x14ac:dyDescent="0.2">
      <c r="A1153" s="5">
        <v>45446.546764155093</v>
      </c>
      <c r="B1153" s="1" t="s">
        <v>5382</v>
      </c>
      <c r="C1153" s="1"/>
    </row>
    <row r="1154" spans="1:3" x14ac:dyDescent="0.2">
      <c r="A1154" s="5">
        <v>45446.490447511576</v>
      </c>
      <c r="B1154" s="1" t="s">
        <v>5383</v>
      </c>
      <c r="C1154" s="1"/>
    </row>
    <row r="1155" spans="1:3" x14ac:dyDescent="0.2">
      <c r="A1155" s="5">
        <v>45446.488882812497</v>
      </c>
      <c r="B1155" s="1" t="s">
        <v>5384</v>
      </c>
      <c r="C1155" s="1"/>
    </row>
    <row r="1156" spans="1:3" x14ac:dyDescent="0.2">
      <c r="A1156" s="5">
        <v>45446.488107777783</v>
      </c>
      <c r="B1156" s="1" t="s">
        <v>5385</v>
      </c>
      <c r="C1156" s="1"/>
    </row>
    <row r="1157" spans="1:3" x14ac:dyDescent="0.2">
      <c r="A1157" s="5">
        <v>45446.486252361108</v>
      </c>
      <c r="B1157" s="1" t="s">
        <v>5386</v>
      </c>
      <c r="C1157" s="1"/>
    </row>
    <row r="1158" spans="1:3" x14ac:dyDescent="0.2">
      <c r="A1158" s="5">
        <v>45446.483883946756</v>
      </c>
      <c r="B1158" s="1" t="s">
        <v>5387</v>
      </c>
      <c r="C1158" s="1"/>
    </row>
    <row r="1159" spans="1:3" x14ac:dyDescent="0.2">
      <c r="A1159" s="5">
        <v>45446.48353646991</v>
      </c>
      <c r="B1159" s="1" t="s">
        <v>5388</v>
      </c>
      <c r="C1159" s="1"/>
    </row>
    <row r="1160" spans="1:3" x14ac:dyDescent="0.2">
      <c r="A1160" s="5">
        <v>45446.481351111113</v>
      </c>
      <c r="B1160" s="1" t="s">
        <v>5389</v>
      </c>
      <c r="C1160" s="1"/>
    </row>
    <row r="1161" spans="1:3" x14ac:dyDescent="0.2">
      <c r="A1161" s="5">
        <v>45446.481200856477</v>
      </c>
      <c r="B1161" s="1" t="s">
        <v>5390</v>
      </c>
      <c r="C1161" s="1"/>
    </row>
    <row r="1162" spans="1:3" x14ac:dyDescent="0.2">
      <c r="A1162" s="5">
        <v>45446.480612997686</v>
      </c>
      <c r="B1162" s="1" t="s">
        <v>5391</v>
      </c>
      <c r="C1162" s="1"/>
    </row>
    <row r="1163" spans="1:3" x14ac:dyDescent="0.2">
      <c r="A1163" s="5">
        <v>45446.480285428246</v>
      </c>
      <c r="B1163" s="1" t="s">
        <v>5392</v>
      </c>
      <c r="C1163" s="1"/>
    </row>
    <row r="1164" spans="1:3" x14ac:dyDescent="0.2">
      <c r="A1164" s="5">
        <v>45446.442812569439</v>
      </c>
      <c r="B1164" s="1" t="s">
        <v>5393</v>
      </c>
      <c r="C1164" s="1"/>
    </row>
    <row r="1165" spans="1:3" x14ac:dyDescent="0.2">
      <c r="A1165" s="5">
        <v>45446.437570752314</v>
      </c>
      <c r="B1165" s="1" t="s">
        <v>5394</v>
      </c>
      <c r="C1165" s="1"/>
    </row>
    <row r="1166" spans="1:3" x14ac:dyDescent="0.2">
      <c r="A1166" s="5">
        <v>45446.437564953703</v>
      </c>
      <c r="B1166" s="1" t="s">
        <v>5395</v>
      </c>
      <c r="C1166" s="1"/>
    </row>
    <row r="1167" spans="1:3" x14ac:dyDescent="0.2">
      <c r="A1167" s="5">
        <v>45446.437501134264</v>
      </c>
      <c r="B1167" s="1" t="s">
        <v>5396</v>
      </c>
      <c r="C1167" s="1"/>
    </row>
    <row r="1168" spans="1:3" x14ac:dyDescent="0.2">
      <c r="A1168" s="5">
        <v>45446.43636180555</v>
      </c>
      <c r="B1168" s="1" t="s">
        <v>5397</v>
      </c>
      <c r="C1168" s="1"/>
    </row>
    <row r="1169" spans="1:3" x14ac:dyDescent="0.2">
      <c r="A1169" s="5">
        <v>45446.43166850695</v>
      </c>
      <c r="B1169" s="1" t="s">
        <v>5398</v>
      </c>
      <c r="C1169" s="1"/>
    </row>
    <row r="1170" spans="1:3" x14ac:dyDescent="0.2">
      <c r="A1170" s="5">
        <v>45446.4283453588</v>
      </c>
      <c r="B1170" s="1" t="s">
        <v>5399</v>
      </c>
      <c r="C1170" s="1"/>
    </row>
    <row r="1171" spans="1:3" x14ac:dyDescent="0.2">
      <c r="A1171" s="5">
        <v>45446.427332997686</v>
      </c>
      <c r="B1171" s="1" t="s">
        <v>5400</v>
      </c>
      <c r="C1171" s="1"/>
    </row>
    <row r="1172" spans="1:3" x14ac:dyDescent="0.2">
      <c r="A1172" s="5">
        <v>45446.427294027773</v>
      </c>
      <c r="B1172" s="1" t="s">
        <v>5401</v>
      </c>
      <c r="C1172" s="1"/>
    </row>
    <row r="1173" spans="1:3" x14ac:dyDescent="0.2">
      <c r="A1173" s="5">
        <v>45446.423369942131</v>
      </c>
      <c r="B1173" s="1" t="s">
        <v>5402</v>
      </c>
      <c r="C1173" s="1"/>
    </row>
    <row r="1174" spans="1:3" x14ac:dyDescent="0.2">
      <c r="A1174" s="5">
        <v>45446.421239027783</v>
      </c>
      <c r="B1174" s="1" t="s">
        <v>5403</v>
      </c>
      <c r="C1174" s="1"/>
    </row>
    <row r="1175" spans="1:3" x14ac:dyDescent="0.2">
      <c r="A1175" s="5">
        <v>45446.420404699078</v>
      </c>
      <c r="B1175" s="1" t="s">
        <v>5404</v>
      </c>
      <c r="C1175" s="1"/>
    </row>
    <row r="1176" spans="1:3" x14ac:dyDescent="0.2">
      <c r="A1176" s="5">
        <v>45446.417401956016</v>
      </c>
      <c r="B1176" s="1" t="s">
        <v>5405</v>
      </c>
      <c r="C1176" s="1"/>
    </row>
    <row r="1177" spans="1:3" x14ac:dyDescent="0.2">
      <c r="A1177" s="5">
        <v>45440.413538449073</v>
      </c>
      <c r="B1177" s="1" t="s">
        <v>5406</v>
      </c>
      <c r="C1177" s="1"/>
    </row>
    <row r="1178" spans="1:3" x14ac:dyDescent="0.2">
      <c r="A1178" s="5">
        <v>45429.700034560185</v>
      </c>
      <c r="B1178" s="1" t="s">
        <v>5407</v>
      </c>
      <c r="C1178" s="1"/>
    </row>
    <row r="1179" spans="1:3" x14ac:dyDescent="0.2">
      <c r="A1179" s="5">
        <v>45429.303219918977</v>
      </c>
      <c r="B1179" s="1" t="s">
        <v>5408</v>
      </c>
      <c r="C1179" s="1"/>
    </row>
    <row r="1180" spans="1:3" x14ac:dyDescent="0.2">
      <c r="A1180" s="5">
        <v>45427.624507476852</v>
      </c>
      <c r="B1180" s="1" t="s">
        <v>5409</v>
      </c>
      <c r="C1180" s="1"/>
    </row>
    <row r="1181" spans="1:3" x14ac:dyDescent="0.2">
      <c r="A1181" s="5">
        <v>45427.594168773147</v>
      </c>
      <c r="B1181" s="1" t="s">
        <v>5410</v>
      </c>
      <c r="C1181" s="1"/>
    </row>
    <row r="1182" spans="1:3" x14ac:dyDescent="0.2">
      <c r="A1182" s="5">
        <v>45426.447830092591</v>
      </c>
      <c r="B1182" s="1" t="s">
        <v>5411</v>
      </c>
      <c r="C1182" s="1"/>
    </row>
    <row r="1183" spans="1:3" x14ac:dyDescent="0.2">
      <c r="A1183" s="5">
        <v>45426.446539444441</v>
      </c>
      <c r="B1183" s="1" t="s">
        <v>5412</v>
      </c>
      <c r="C1183" s="1"/>
    </row>
    <row r="1184" spans="1:3" x14ac:dyDescent="0.2">
      <c r="A1184" s="5">
        <v>45426.380621956021</v>
      </c>
      <c r="B1184" s="1" t="s">
        <v>5413</v>
      </c>
      <c r="C1184" s="1"/>
    </row>
    <row r="1185" spans="1:3" x14ac:dyDescent="0.2">
      <c r="A1185" s="5">
        <v>45425.388417048613</v>
      </c>
      <c r="B1185" s="1" t="s">
        <v>5414</v>
      </c>
      <c r="C1185" s="1"/>
    </row>
    <row r="1186" spans="1:3" x14ac:dyDescent="0.2">
      <c r="A1186" s="5">
        <v>45425.382230891206</v>
      </c>
      <c r="B1186" s="1" t="s">
        <v>5415</v>
      </c>
      <c r="C1186" s="1"/>
    </row>
    <row r="1187" spans="1:3" x14ac:dyDescent="0.2">
      <c r="A1187" s="5">
        <v>45420.655704999997</v>
      </c>
      <c r="B1187" s="1" t="s">
        <v>5416</v>
      </c>
      <c r="C1187" s="1"/>
    </row>
    <row r="1188" spans="1:3" x14ac:dyDescent="0.2">
      <c r="A1188" s="5">
        <v>45420.632332604167</v>
      </c>
      <c r="B1188" s="1" t="s">
        <v>5417</v>
      </c>
      <c r="C1188" s="1" t="s">
        <v>5418</v>
      </c>
    </row>
    <row r="1189" spans="1:3" x14ac:dyDescent="0.2">
      <c r="A1189" s="5">
        <v>45420.624074432868</v>
      </c>
      <c r="B1189" s="1" t="s">
        <v>5419</v>
      </c>
      <c r="C1189" s="1"/>
    </row>
    <row r="1190" spans="1:3" x14ac:dyDescent="0.2">
      <c r="A1190" s="5">
        <v>45420.624048194441</v>
      </c>
      <c r="B1190" s="1" t="s">
        <v>5420</v>
      </c>
      <c r="C1190" s="1" t="s">
        <v>5421</v>
      </c>
    </row>
    <row r="1191" spans="1:3" x14ac:dyDescent="0.2">
      <c r="A1191" s="5">
        <v>45420.62404263889</v>
      </c>
      <c r="B1191" s="1" t="s">
        <v>5422</v>
      </c>
      <c r="C1191" s="1" t="s">
        <v>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Monitoring</vt:lpstr>
      <vt:lpstr>Document Studio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ayu palangda</cp:lastModifiedBy>
  <dcterms:modified xsi:type="dcterms:W3CDTF">2026-04-09T02:32:14Z</dcterms:modified>
</cp:coreProperties>
</file>